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核心数据" sheetId="1" state="visible" r:id="rId3"/>
    <sheet name="年度收益" sheetId="2" state="visible" r:id="rId4"/>
    <sheet name="图表" sheetId="3" state="visible" r:id="rId5"/>
    <sheet name="参数说明" sheetId="4" state="visible" r:id="rId6"/>
    <sheet name="逐笔交易" sheetId="5" state="visible" r:id="rId7"/>
    <sheet name="资金曲线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WenQuanYi Zen Hei"/>
            <family val="2"/>
          </rPr>
          <t xml:space="preserve">含开仓、平仓手续费和滑点</t>
        </r>
      </text>
    </comment>
    <comment ref="L1" authorId="0">
      <text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平仓价 − 开仓价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WenQuanYi Zen Hei"/>
            <family val="2"/>
          </rPr>
          <t xml:space="preserve">方向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初始止损距离（</t>
        </r>
        <r>
          <rPr>
            <sz val="10"/>
            <rFont val="Arial"/>
            <family val="2"/>
          </rPr>
          <t xml:space="preserve">2.5 ATR</t>
        </r>
        <r>
          <rPr>
            <sz val="10"/>
            <rFont val="WenQuanYi Zen Hei"/>
            <family val="2"/>
          </rPr>
          <t xml:space="preserve">）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WenQuanYi Zen Hei"/>
            <family val="2"/>
          </rPr>
          <t xml:space="preserve">每日收盘按持仓浮动盈亏计算（回测程序输出）</t>
        </r>
      </text>
    </comment>
  </commentList>
</comments>
</file>

<file path=xl/sharedStrings.xml><?xml version="1.0" encoding="utf-8"?>
<sst xmlns="http://schemas.openxmlformats.org/spreadsheetml/2006/main" count="267" uniqueCount="135">
  <si>
    <r>
      <rPr>
        <b val="true"/>
        <sz val="13"/>
        <color rgb="FF000000"/>
        <rFont val="Arial"/>
        <family val="0"/>
        <charset val="1"/>
      </rPr>
      <t xml:space="preserve">S4 </t>
    </r>
    <r>
      <rPr>
        <b val="true"/>
        <sz val="13"/>
        <color rgb="FF000000"/>
        <rFont val="WenQuanYi Zen Hei"/>
        <family val="2"/>
      </rPr>
      <t xml:space="preserve">回测核心数据（</t>
    </r>
    <r>
      <rPr>
        <b val="true"/>
        <sz val="13"/>
        <color rgb="FF000000"/>
        <rFont val="Arial"/>
        <family val="0"/>
        <charset val="1"/>
      </rPr>
      <t xml:space="preserve">50 </t>
    </r>
    <r>
      <rPr>
        <b val="true"/>
        <sz val="13"/>
        <color rgb="FF000000"/>
        <rFont val="WenQuanYi Zen Hei"/>
        <family val="2"/>
      </rPr>
      <t xml:space="preserve">万本金，半仓，保证金 </t>
    </r>
    <r>
      <rPr>
        <b val="true"/>
        <sz val="13"/>
        <color rgb="FF000000"/>
        <rFont val="Arial"/>
        <family val="0"/>
        <charset val="1"/>
      </rPr>
      <t xml:space="preserve">12%</t>
    </r>
    <r>
      <rPr>
        <b val="true"/>
        <sz val="13"/>
        <color rgb="FF000000"/>
        <rFont val="WenQuanYi Zen Hei"/>
        <family val="2"/>
      </rPr>
      <t xml:space="preserve">，手续费交易所加一分钱，复利）</t>
    </r>
  </si>
  <si>
    <t xml:space="preserve">指标</t>
  </si>
  <si>
    <t xml:space="preserve">数值</t>
  </si>
  <si>
    <t xml:space="preserve">说明</t>
  </si>
  <si>
    <t xml:space="preserve">初始资金（元）</t>
  </si>
  <si>
    <t xml:space="preserve">期末权益（元）</t>
  </si>
  <si>
    <r>
      <rPr>
        <sz val="10"/>
        <color rgb="FF000000"/>
        <rFont val="Arial"/>
        <family val="0"/>
        <charset val="1"/>
      </rPr>
      <t xml:space="preserve">2026-10-29 </t>
    </r>
    <r>
      <rPr>
        <sz val="10"/>
        <color rgb="FF000000"/>
        <rFont val="WenQuanYi Zen Hei"/>
        <family val="2"/>
      </rPr>
      <t xml:space="preserve">收盘，含当时持仓的浮动盈亏</t>
    </r>
  </si>
  <si>
    <t xml:space="preserve">总收益率</t>
  </si>
  <si>
    <t xml:space="preserve">回测年数</t>
  </si>
  <si>
    <r>
      <rPr>
        <sz val="10"/>
        <color rgb="FF000000"/>
        <rFont val="Arial"/>
        <family val="0"/>
        <charset val="1"/>
      </rPr>
      <t xml:space="preserve">2013-03-22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2026-10-29</t>
    </r>
  </si>
  <si>
    <t xml:space="preserve">年化收益率</t>
  </si>
  <si>
    <t xml:space="preserve">最大回撤</t>
  </si>
  <si>
    <t xml:space="preserve">按每日收盘权益计算</t>
  </si>
  <si>
    <t xml:space="preserve">最大回撤谷底日期</t>
  </si>
  <si>
    <r>
      <rPr>
        <sz val="10"/>
        <color rgb="FF000000"/>
        <rFont val="WenQuanYi Zen Hei"/>
        <family val="2"/>
      </rPr>
      <t xml:space="preserve">卡玛比率（年化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最大回撤）</t>
    </r>
  </si>
  <si>
    <t xml:space="preserve">交易次数</t>
  </si>
  <si>
    <t xml:space="preserve">年均交易次数</t>
  </si>
  <si>
    <t xml:space="preserve">盈利笔数</t>
  </si>
  <si>
    <t xml:space="preserve">亏损笔数</t>
  </si>
  <si>
    <t xml:space="preserve">胜率</t>
  </si>
  <si>
    <t xml:space="preserve">平均盈利（元）</t>
  </si>
  <si>
    <t xml:space="preserve">平均亏损（元）</t>
  </si>
  <si>
    <t xml:space="preserve">盈亏比（按金额）</t>
  </si>
  <si>
    <t xml:space="preserve">复利时后期仓位巨大，金额口径被最后几年主导，参考价值有限</t>
  </si>
  <si>
    <t xml:space="preserve">平均盈利占当时权益</t>
  </si>
  <si>
    <t xml:space="preserve">平均亏损占当时权益</t>
  </si>
  <si>
    <t xml:space="preserve">盈亏比（按占权益比例）</t>
  </si>
  <si>
    <t xml:space="preserve">更能反映策略本身</t>
  </si>
  <si>
    <r>
      <rPr>
        <sz val="10"/>
        <color rgb="FF000000"/>
        <rFont val="WenQuanYi Zen Hei"/>
        <family val="2"/>
      </rPr>
      <t xml:space="preserve">利润因子（总盈利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总亏损）</t>
    </r>
  </si>
  <si>
    <t xml:space="preserve">每笔平均盈亏（元）</t>
  </si>
  <si>
    <t xml:space="preserve">单笔最大盈利（元）</t>
  </si>
  <si>
    <t xml:space="preserve">单笔最大盈利占权益</t>
  </si>
  <si>
    <t xml:space="preserve">单笔最大亏损（元）</t>
  </si>
  <si>
    <t xml:space="preserve">单笔最大亏损占权益</t>
  </si>
  <si>
    <t xml:space="preserve">最大连续亏损（笔）</t>
  </si>
  <si>
    <t xml:space="preserve">最大连续盈利（笔）</t>
  </si>
  <si>
    <t xml:space="preserve">平均持仓天数（交易日）</t>
  </si>
  <si>
    <t xml:space="preserve">盈利单平均持仓天数</t>
  </si>
  <si>
    <t xml:space="preserve">亏损单平均持仓天数</t>
  </si>
  <si>
    <r>
      <rPr>
        <sz val="10"/>
        <color rgb="FF000000"/>
        <rFont val="WenQuanYi Zen Hei"/>
        <family val="2"/>
      </rPr>
      <t xml:space="preserve">慢</t>
    </r>
    <r>
      <rPr>
        <sz val="10"/>
        <color rgb="FF000000"/>
        <rFont val="Arial"/>
        <family val="0"/>
        <charset val="1"/>
      </rPr>
      <t xml:space="preserve">SAR</t>
    </r>
    <r>
      <rPr>
        <sz val="10"/>
        <color rgb="FF000000"/>
        <rFont val="WenQuanYi Zen Hei"/>
        <family val="2"/>
      </rPr>
      <t xml:space="preserve">翻转离场笔数</t>
    </r>
  </si>
  <si>
    <t xml:space="preserve">止损离场笔数</t>
  </si>
  <si>
    <t xml:space="preserve">多单笔数</t>
  </si>
  <si>
    <t xml:space="preserve">多单胜率</t>
  </si>
  <si>
    <t xml:space="preserve">多单盈亏合计（元）</t>
  </si>
  <si>
    <t xml:space="preserve">空单笔数</t>
  </si>
  <si>
    <t xml:space="preserve">空单胜率</t>
  </si>
  <si>
    <t xml:space="preserve">空单盈亏合计（元）</t>
  </si>
  <si>
    <r>
      <rPr>
        <sz val="10"/>
        <color rgb="FF000000"/>
        <rFont val="WenQuanYi Zen Hei"/>
        <family val="2"/>
      </rPr>
      <t xml:space="preserve">平均名义杠杆（合约市值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权益）</t>
    </r>
  </si>
  <si>
    <t xml:space="preserve">最高名义杠杆</t>
  </si>
  <si>
    <t xml:space="preserve">对账：逐笔盈亏合计 − 权益增加</t>
  </si>
  <si>
    <r>
      <rPr>
        <sz val="10"/>
        <color rgb="FF000000"/>
        <rFont val="WenQuanYi Zen Hei"/>
        <family val="2"/>
      </rPr>
      <t xml:space="preserve">应为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（期末无持仓时）</t>
    </r>
  </si>
  <si>
    <r>
      <rPr>
        <b val="true"/>
        <sz val="11"/>
        <color rgb="FF000000"/>
        <rFont val="WenQuanYi Zen Hei"/>
        <family val="2"/>
      </rPr>
      <t xml:space="preserve">其他口径对照（</t>
    </r>
    <r>
      <rPr>
        <b val="true"/>
        <sz val="11"/>
        <color rgb="FF000000"/>
        <rFont val="Arial"/>
        <family val="0"/>
        <charset val="1"/>
      </rPr>
      <t xml:space="preserve">Python </t>
    </r>
    <r>
      <rPr>
        <b val="true"/>
        <sz val="11"/>
        <color rgb="FF000000"/>
        <rFont val="WenQuanYi Zen Hei"/>
        <family val="2"/>
      </rPr>
      <t xml:space="preserve">回测输出的数值）</t>
    </r>
  </si>
  <si>
    <t xml:space="preserve">口径</t>
  </si>
  <si>
    <t xml:space="preserve">盈亏比（金额）</t>
  </si>
  <si>
    <t xml:space="preserve">盈亏比（占权益）</t>
  </si>
  <si>
    <t xml:space="preserve">单笔最大亏损</t>
  </si>
  <si>
    <r>
      <rPr>
        <sz val="10"/>
        <color rgb="FF000000"/>
        <rFont val="WenQuanYi Zen Hei"/>
        <family val="2"/>
      </rPr>
      <t xml:space="preserve">样本内 </t>
    </r>
    <r>
      <rPr>
        <sz val="10"/>
        <color rgb="FF000000"/>
        <rFont val="Arial"/>
        <family val="0"/>
        <charset val="1"/>
      </rPr>
      <t xml:space="preserve">2013–2020</t>
    </r>
    <r>
      <rPr>
        <sz val="10"/>
        <color rgb="FF000000"/>
        <rFont val="WenQuanYi Zen Hei"/>
        <family val="2"/>
      </rPr>
      <t xml:space="preserve">（同设置）</t>
    </r>
  </si>
  <si>
    <r>
      <rPr>
        <sz val="10"/>
        <color rgb="FF000000"/>
        <rFont val="WenQuanYi Zen Hei"/>
        <family val="2"/>
      </rPr>
      <t xml:space="preserve">样本外 </t>
    </r>
    <r>
      <rPr>
        <sz val="10"/>
        <color rgb="FF000000"/>
        <rFont val="Arial"/>
        <family val="0"/>
        <charset val="1"/>
      </rPr>
      <t xml:space="preserve">2021–2026</t>
    </r>
    <r>
      <rPr>
        <sz val="10"/>
        <color rgb="FF000000"/>
        <rFont val="WenQuanYi Zen Hei"/>
        <family val="2"/>
      </rPr>
      <t xml:space="preserve">（同设置，从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万重新开始）</t>
    </r>
  </si>
  <si>
    <r>
      <rPr>
        <sz val="10"/>
        <color rgb="FF000000"/>
        <rFont val="WenQuanYi Zen Hei"/>
        <family val="2"/>
      </rPr>
      <t xml:space="preserve">不复利（每次按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万计算手数）</t>
    </r>
  </si>
  <si>
    <r>
      <rPr>
        <sz val="10"/>
        <color rgb="FF000000"/>
        <rFont val="WenQuanYi Zen Hei"/>
        <family val="2"/>
      </rPr>
      <t xml:space="preserve">保证金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</si>
  <si>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WenQuanYi Zen Hei"/>
        <family val="2"/>
      </rPr>
      <t xml:space="preserve">保证金 </t>
    </r>
    <r>
      <rPr>
        <sz val="10"/>
        <color rgb="FF000000"/>
        <rFont val="Arial"/>
        <family val="0"/>
        <charset val="1"/>
      </rPr>
      <t xml:space="preserve">20%</t>
    </r>
  </si>
  <si>
    <r>
      <rPr>
        <sz val="10"/>
        <color rgb="FF000000"/>
        <rFont val="WenQuanYi Zen Hei"/>
        <family val="2"/>
      </rPr>
      <t xml:space="preserve">按风险定仓：每笔止损亏损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权益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</si>
  <si>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WenQuanYi Zen Hei"/>
        <family val="2"/>
      </rPr>
      <t xml:space="preserve">按风险定仓：每笔止损亏损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权益 </t>
    </r>
    <r>
      <rPr>
        <sz val="10"/>
        <color rgb="FF000000"/>
        <rFont val="Arial"/>
        <family val="0"/>
        <charset val="1"/>
      </rPr>
      <t xml:space="preserve">8%</t>
    </r>
  </si>
  <si>
    <t xml:space="preserve">年份</t>
  </si>
  <si>
    <t xml:space="preserve">年末日期</t>
  </si>
  <si>
    <t xml:space="preserve">年初权益（元）</t>
  </si>
  <si>
    <t xml:space="preserve">年末权益（元）</t>
  </si>
  <si>
    <t xml:space="preserve">年收益率</t>
  </si>
  <si>
    <t xml:space="preserve">开仓笔数</t>
  </si>
  <si>
    <t xml:space="preserve">当年平仓盈亏（元）</t>
  </si>
  <si>
    <r>
      <rPr>
        <b val="true"/>
        <sz val="13"/>
        <color rgb="FF000000"/>
        <rFont val="Arial"/>
        <family val="0"/>
        <charset val="1"/>
      </rPr>
      <t xml:space="preserve">S4 </t>
    </r>
    <r>
      <rPr>
        <b val="true"/>
        <sz val="13"/>
        <color rgb="FF000000"/>
        <rFont val="WenQuanYi Zen Hei"/>
        <family val="2"/>
      </rPr>
      <t xml:space="preserve">焦煤加权回测：参数与交易规则</t>
    </r>
  </si>
  <si>
    <t xml:space="preserve">参数</t>
  </si>
  <si>
    <r>
      <rPr>
        <b val="true"/>
        <sz val="10"/>
        <color rgb="FF000000"/>
        <rFont val="WenQuanYi Zen Hei"/>
        <family val="2"/>
      </rPr>
      <t xml:space="preserve">说明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来源</t>
    </r>
  </si>
  <si>
    <t xml:space="preserve">用户设定</t>
  </si>
  <si>
    <t xml:space="preserve">每次开仓保证金占权益比例</t>
  </si>
  <si>
    <t xml:space="preserve">用户设定（半仓），每次按开仓时的账户权益计算手数（复利）</t>
  </si>
  <si>
    <t xml:space="preserve">保证金比例</t>
  </si>
  <si>
    <r>
      <rPr>
        <sz val="10"/>
        <color rgb="FF000000"/>
        <rFont val="WenQuanYi Zen Hei"/>
        <family val="2"/>
      </rPr>
      <t xml:space="preserve">交易所标准，期货公司不上浮；</t>
    </r>
    <r>
      <rPr>
        <sz val="10"/>
        <color rgb="FF000000"/>
        <rFont val="Arial"/>
        <family val="0"/>
        <charset val="1"/>
      </rPr>
      <t xml:space="preserve">12% </t>
    </r>
    <r>
      <rPr>
        <sz val="10"/>
        <color rgb="FF000000"/>
        <rFont val="WenQuanYi Zen Hei"/>
        <family val="2"/>
      </rPr>
      <t xml:space="preserve">来自网络搜索结果，未能在大商所官网核实</t>
    </r>
  </si>
  <si>
    <r>
      <rPr>
        <sz val="10"/>
        <color rgb="FF000000"/>
        <rFont val="WenQuanYi Zen Hei"/>
        <family val="2"/>
      </rPr>
      <t xml:space="preserve">合约乘数（吨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手）</t>
    </r>
  </si>
  <si>
    <t xml:space="preserve">大商所焦煤合约</t>
  </si>
  <si>
    <t xml:space="preserve">手续费率（每边，按成交额）</t>
  </si>
  <si>
    <t xml:space="preserve">交易所标准万分之一（网络资料，未核实）</t>
  </si>
  <si>
    <t xml:space="preserve">平今平仓手续费率</t>
  </si>
  <si>
    <r>
      <rPr>
        <sz val="10"/>
        <color rgb="FF000000"/>
        <rFont val="WenQuanYi Zen Hei"/>
        <family val="2"/>
      </rPr>
      <t xml:space="preserve">当天开当天平；</t>
    </r>
    <r>
      <rPr>
        <sz val="10"/>
        <color rgb="FF000000"/>
        <rFont val="Arial"/>
        <family val="0"/>
        <charset val="1"/>
      </rPr>
      <t xml:space="preserve">2025-08 </t>
    </r>
    <r>
      <rPr>
        <sz val="10"/>
        <color rgb="FF000000"/>
        <rFont val="WenQuanYi Zen Hei"/>
        <family val="2"/>
      </rPr>
      <t xml:space="preserve">起可能为万分之二（网络资料，未核实）</t>
    </r>
  </si>
  <si>
    <t xml:space="preserve">每边每手另加手续费（元）</t>
  </si>
  <si>
    <t xml:space="preserve">用户设定：交易所加一分钱</t>
  </si>
  <si>
    <r>
      <rPr>
        <sz val="10"/>
        <color rgb="FF000000"/>
        <rFont val="WenQuanYi Zen Hei"/>
        <family val="2"/>
      </rPr>
      <t xml:space="preserve">滑点（每边，元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吨）</t>
    </r>
  </si>
  <si>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个最小变动价位假设</t>
    </r>
  </si>
  <si>
    <t xml:space="preserve">回测数据</t>
  </si>
  <si>
    <t xml:space="preserve">焦煤加权日线</t>
  </si>
  <si>
    <r>
      <rPr>
        <sz val="10"/>
        <color rgb="FF000000"/>
        <rFont val="WenQuanYi Zen Hei"/>
        <family val="2"/>
      </rPr>
      <t xml:space="preserve">用户提供，</t>
    </r>
    <r>
      <rPr>
        <sz val="10"/>
        <color rgb="FF000000"/>
        <rFont val="Arial"/>
        <family val="0"/>
        <charset val="1"/>
      </rPr>
      <t xml:space="preserve">2013-03-22</t>
    </r>
    <r>
      <rPr>
        <sz val="10"/>
        <color rgb="FF000000"/>
        <rFont val="WenQuanYi Zen Hei"/>
        <family val="2"/>
      </rPr>
      <t xml:space="preserve">（上市首日）至 </t>
    </r>
    <r>
      <rPr>
        <sz val="10"/>
        <color rgb="FF000000"/>
        <rFont val="Arial"/>
        <family val="0"/>
        <charset val="1"/>
      </rPr>
      <t xml:space="preserve">2026-10-29</t>
    </r>
    <r>
      <rPr>
        <sz val="10"/>
        <color rgb="FF000000"/>
        <rFont val="WenQuanYi Zen Hei"/>
        <family val="2"/>
      </rPr>
      <t xml:space="preserve">，共 </t>
    </r>
    <r>
      <rPr>
        <sz val="10"/>
        <color rgb="FF000000"/>
        <rFont val="Arial"/>
        <family val="0"/>
        <charset val="1"/>
      </rPr>
      <t xml:space="preserve">3304 </t>
    </r>
    <r>
      <rPr>
        <sz val="10"/>
        <color rgb="FF000000"/>
        <rFont val="WenQuanYi Zen Hei"/>
        <family val="2"/>
      </rPr>
      <t xml:space="preserve">根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线</t>
    </r>
  </si>
  <si>
    <t xml:space="preserve">注意</t>
  </si>
  <si>
    <r>
      <rPr>
        <sz val="10"/>
        <color rgb="FF000000"/>
        <rFont val="WenQuanYi Zen Hei"/>
        <family val="2"/>
      </rPr>
      <t xml:space="preserve">“逐笔交易”“资金曲线”两张表是 </t>
    </r>
    <r>
      <rPr>
        <sz val="10"/>
        <color rgb="FF000000"/>
        <rFont val="Arial"/>
        <family val="0"/>
        <charset val="1"/>
      </rPr>
      <t xml:space="preserve">Python </t>
    </r>
    <r>
      <rPr>
        <sz val="10"/>
        <color rgb="FF000000"/>
        <rFont val="WenQuanYi Zen Hei"/>
        <family val="2"/>
      </rPr>
      <t xml:space="preserve">回测程序（</t>
    </r>
    <r>
      <rPr>
        <sz val="10"/>
        <color rgb="FF000000"/>
        <rFont val="Arial"/>
        <family val="0"/>
        <charset val="1"/>
      </rPr>
      <t xml:space="preserve">run_s4.py</t>
    </r>
    <r>
      <rPr>
        <sz val="10"/>
        <color rgb="FF000000"/>
        <rFont val="WenQuanYi Zen Hei"/>
        <family val="2"/>
      </rPr>
      <t xml:space="preserve">）的输出数值；修改上面的参数不会重新回测，需要重跑程序。“核心数据”“年度收益”由公式从这两张表计算。</t>
    </r>
  </si>
  <si>
    <t xml:space="preserve">交易规则（多空对称，以做多为例）</t>
  </si>
  <si>
    <t xml:space="preserve">用到的指标</t>
  </si>
  <si>
    <r>
      <rPr>
        <sz val="10"/>
        <color rgb="FF000000"/>
        <rFont val="WenQuanYi Zen Hei"/>
        <family val="2"/>
      </rPr>
      <t xml:space="preserve">灵敏 </t>
    </r>
    <r>
      <rPr>
        <sz val="10"/>
        <color rgb="FF000000"/>
        <rFont val="Arial"/>
        <family val="0"/>
        <charset val="1"/>
      </rPr>
      <t xml:space="preserve">SAR(5, 3%, 30%) </t>
    </r>
    <r>
      <rPr>
        <sz val="10"/>
        <color rgb="FF000000"/>
        <rFont val="WenQuanYi Zen Hei"/>
        <family val="2"/>
      </rPr>
      <t xml:space="preserve">抓转折；指标“</t>
    </r>
    <r>
      <rPr>
        <sz val="10"/>
        <color rgb="FF000000"/>
        <rFont val="Arial"/>
        <family val="0"/>
        <charset val="1"/>
      </rPr>
      <t xml:space="preserve">1”</t>
    </r>
    <r>
      <rPr>
        <sz val="10"/>
        <color rgb="FF000000"/>
        <rFont val="WenQuanYi Zen Hei"/>
        <family val="2"/>
      </rPr>
      <t xml:space="preserve">（简化 </t>
    </r>
    <r>
      <rPr>
        <sz val="10"/>
        <color rgb="FF000000"/>
        <rFont val="Arial"/>
        <family val="0"/>
        <charset val="1"/>
      </rPr>
      <t xml:space="preserve">STM = (MA5−MA20) + (DIF−DEA)×5 + (RSI14−50)/2</t>
    </r>
    <r>
      <rPr>
        <sz val="10"/>
        <color rgb="FF000000"/>
        <rFont val="WenQuanYi Zen Hei"/>
        <family val="2"/>
      </rPr>
      <t xml:space="preserve">）确认方向；慢 </t>
    </r>
    <r>
      <rPr>
        <sz val="10"/>
        <color rgb="FF000000"/>
        <rFont val="Arial"/>
        <family val="0"/>
        <charset val="1"/>
      </rPr>
      <t xml:space="preserve">SAR(10, 0.5%, 5%) </t>
    </r>
    <r>
      <rPr>
        <sz val="10"/>
        <color rgb="FF000000"/>
        <rFont val="WenQuanYi Zen Hei"/>
        <family val="2"/>
      </rPr>
      <t xml:space="preserve">跟踪止盈；</t>
    </r>
    <r>
      <rPr>
        <sz val="10"/>
        <color rgb="FF000000"/>
        <rFont val="Arial"/>
        <family val="0"/>
        <charset val="1"/>
      </rPr>
      <t xml:space="preserve">ATR(14) </t>
    </r>
    <r>
      <rPr>
        <sz val="10"/>
        <color rgb="FF000000"/>
        <rFont val="WenQuanYi Zen Hei"/>
        <family val="2"/>
      </rPr>
      <t xml:space="preserve">定止损</t>
    </r>
  </si>
  <si>
    <t xml:space="preserve">准备</t>
  </si>
  <si>
    <r>
      <rPr>
        <sz val="10"/>
        <color rgb="FF000000"/>
        <rFont val="WenQuanYi Zen Hei"/>
        <family val="2"/>
      </rPr>
      <t xml:space="preserve">灵敏 </t>
    </r>
    <r>
      <rPr>
        <sz val="10"/>
        <color rgb="FF000000"/>
        <rFont val="Arial"/>
        <family val="0"/>
        <charset val="1"/>
      </rPr>
      <t xml:space="preserve">SAR </t>
    </r>
    <r>
      <rPr>
        <sz val="10"/>
        <color rgb="FF000000"/>
        <rFont val="WenQuanYi Zen Hei"/>
        <family val="2"/>
      </rPr>
      <t xml:space="preserve">还在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线上方，指标“</t>
    </r>
    <r>
      <rPr>
        <sz val="10"/>
        <color rgb="FF000000"/>
        <rFont val="Arial"/>
        <family val="0"/>
        <charset val="1"/>
      </rPr>
      <t xml:space="preserve">1”</t>
    </r>
    <r>
      <rPr>
        <sz val="10"/>
        <color rgb="FF000000"/>
        <rFont val="WenQuanYi Zen Hei"/>
        <family val="2"/>
      </rPr>
      <t xml:space="preserve">已在零轴上方或绿柱快速缩短，价格逼近 </t>
    </r>
    <r>
      <rPr>
        <sz val="10"/>
        <color rgb="FF000000"/>
        <rFont val="Arial"/>
        <family val="0"/>
        <charset val="1"/>
      </rPr>
      <t xml:space="preserve">SAR </t>
    </r>
    <r>
      <rPr>
        <sz val="10"/>
        <color rgb="FF000000"/>
        <rFont val="WenQuanYi Zen Hei"/>
        <family val="2"/>
      </rPr>
      <t xml:space="preserve">点</t>
    </r>
  </si>
  <si>
    <t xml:space="preserve">进场</t>
  </si>
  <si>
    <r>
      <rPr>
        <sz val="10"/>
        <color rgb="FF000000"/>
        <rFont val="WenQuanYi Zen Hei"/>
        <family val="2"/>
      </rPr>
      <t xml:space="preserve">同一根日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线收盘时：灵敏 </t>
    </r>
    <r>
      <rPr>
        <sz val="10"/>
        <color rgb="FF000000"/>
        <rFont val="Arial"/>
        <family val="0"/>
        <charset val="1"/>
      </rPr>
      <t xml:space="preserve">SAR </t>
    </r>
    <r>
      <rPr>
        <sz val="10"/>
        <color rgb="FF000000"/>
        <rFont val="WenQuanYi Zen Hei"/>
        <family val="2"/>
      </rPr>
      <t xml:space="preserve">由空翻多，且指标“</t>
    </r>
    <r>
      <rPr>
        <sz val="10"/>
        <color rgb="FF000000"/>
        <rFont val="Arial"/>
        <family val="0"/>
        <charset val="1"/>
      </rPr>
      <t xml:space="preserve">1” &gt; 0 → </t>
    </r>
    <r>
      <rPr>
        <sz val="10"/>
        <color rgb="FF000000"/>
        <rFont val="WenQuanYi Zen Hei"/>
        <family val="2"/>
      </rPr>
      <t xml:space="preserve">次日开盘买入。翻转当天指标“</t>
    </r>
    <r>
      <rPr>
        <sz val="10"/>
        <color rgb="FF000000"/>
        <rFont val="Arial"/>
        <family val="0"/>
        <charset val="1"/>
      </rPr>
      <t xml:space="preserve">1”</t>
    </r>
    <r>
      <rPr>
        <sz val="10"/>
        <color rgb="FF000000"/>
        <rFont val="WenQuanYi Zen Hei"/>
        <family val="2"/>
      </rPr>
      <t xml:space="preserve">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则放弃这次信号</t>
    </r>
  </si>
  <si>
    <t xml:space="preserve">做空</t>
  </si>
  <si>
    <r>
      <rPr>
        <sz val="10"/>
        <color rgb="FF000000"/>
        <rFont val="WenQuanYi Zen Hei"/>
        <family val="2"/>
      </rPr>
      <t xml:space="preserve">灵敏 </t>
    </r>
    <r>
      <rPr>
        <sz val="10"/>
        <color rgb="FF000000"/>
        <rFont val="Arial"/>
        <family val="0"/>
        <charset val="1"/>
      </rPr>
      <t xml:space="preserve">SAR </t>
    </r>
    <r>
      <rPr>
        <sz val="10"/>
        <color rgb="FF000000"/>
        <rFont val="WenQuanYi Zen Hei"/>
        <family val="2"/>
      </rPr>
      <t xml:space="preserve">由多翻空，且指标“</t>
    </r>
    <r>
      <rPr>
        <sz val="10"/>
        <color rgb="FF000000"/>
        <rFont val="Arial"/>
        <family val="0"/>
        <charset val="1"/>
      </rPr>
      <t xml:space="preserve">1” &lt; 0 → </t>
    </r>
    <r>
      <rPr>
        <sz val="10"/>
        <color rgb="FF000000"/>
        <rFont val="WenQuanYi Zen Hei"/>
        <family val="2"/>
      </rPr>
      <t xml:space="preserve">次日开盘卖出</t>
    </r>
  </si>
  <si>
    <t xml:space="preserve">止损</t>
  </si>
  <si>
    <r>
      <rPr>
        <sz val="10"/>
        <color rgb="FF000000"/>
        <rFont val="WenQuanYi Zen Hei"/>
        <family val="2"/>
      </rPr>
      <t xml:space="preserve">入场价 − </t>
    </r>
    <r>
      <rPr>
        <sz val="10"/>
        <color rgb="FF000000"/>
        <rFont val="Arial"/>
        <family val="0"/>
        <charset val="1"/>
      </rPr>
      <t xml:space="preserve">2.5 × ATR(14)</t>
    </r>
    <r>
      <rPr>
        <sz val="10"/>
        <color rgb="FF000000"/>
        <rFont val="WenQuanYi Zen Hei"/>
        <family val="2"/>
      </rPr>
      <t xml:space="preserve">（取信号当天 </t>
    </r>
    <r>
      <rPr>
        <sz val="10"/>
        <color rgb="FF000000"/>
        <rFont val="Arial"/>
        <family val="0"/>
        <charset val="1"/>
      </rPr>
      <t xml:space="preserve">ATR</t>
    </r>
    <r>
      <rPr>
        <sz val="10"/>
        <color rgb="FF000000"/>
        <rFont val="WenQuanYi Zen Hei"/>
        <family val="2"/>
      </rPr>
      <t xml:space="preserve">），固定不动；盘中触及即平，跳空越过按开盘价成交</t>
    </r>
  </si>
  <si>
    <r>
      <rPr>
        <b val="true"/>
        <sz val="10"/>
        <color rgb="FF000000"/>
        <rFont val="WenQuanYi Zen Hei"/>
        <family val="2"/>
      </rPr>
      <t xml:space="preserve">止盈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离场</t>
    </r>
  </si>
  <si>
    <r>
      <rPr>
        <sz val="10"/>
        <color rgb="FF000000"/>
        <rFont val="WenQuanYi Zen Hei"/>
        <family val="2"/>
      </rPr>
      <t xml:space="preserve">持仓期间慢 </t>
    </r>
    <r>
      <rPr>
        <sz val="10"/>
        <color rgb="FF000000"/>
        <rFont val="Arial"/>
        <family val="0"/>
        <charset val="1"/>
      </rPr>
      <t xml:space="preserve">SAR </t>
    </r>
    <r>
      <rPr>
        <sz val="10"/>
        <color rgb="FF000000"/>
        <rFont val="WenQuanYi Zen Hei"/>
        <family val="2"/>
      </rPr>
      <t xml:space="preserve">由多翻空（入场后发生的翻转）→ 次日开盘平仓；没有固定目标价</t>
    </r>
  </si>
  <si>
    <t xml:space="preserve">持仓期间</t>
  </si>
  <si>
    <r>
      <rPr>
        <sz val="10"/>
        <color rgb="FF000000"/>
        <rFont val="WenQuanYi Zen Hei"/>
        <family val="2"/>
      </rPr>
      <t xml:space="preserve">不加仓、不反手，只看慢 </t>
    </r>
    <r>
      <rPr>
        <sz val="10"/>
        <color rgb="FF000000"/>
        <rFont val="Arial"/>
        <family val="0"/>
        <charset val="1"/>
      </rPr>
      <t xml:space="preserve">SAR </t>
    </r>
    <r>
      <rPr>
        <sz val="10"/>
        <color rgb="FF000000"/>
        <rFont val="WenQuanYi Zen Hei"/>
        <family val="2"/>
      </rPr>
      <t xml:space="preserve">与止损；平仓后空仓等待下一个信号</t>
    </r>
  </si>
  <si>
    <t xml:space="preserve">仓位</t>
  </si>
  <si>
    <r>
      <rPr>
        <sz val="10"/>
        <color rgb="FF000000"/>
        <rFont val="WenQuanYi Zen Hei"/>
        <family val="2"/>
      </rPr>
      <t xml:space="preserve">手数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开仓时权益 </t>
    </r>
    <r>
      <rPr>
        <sz val="10"/>
        <color rgb="FF000000"/>
        <rFont val="Arial"/>
        <family val="0"/>
        <charset val="1"/>
      </rPr>
      <t xml:space="preserve">× 50% ÷</t>
    </r>
    <r>
      <rPr>
        <sz val="10"/>
        <color rgb="FF000000"/>
        <rFont val="WenQuanYi Zen Hei"/>
        <family val="2"/>
      </rPr>
      <t xml:space="preserve">（开仓价 </t>
    </r>
    <r>
      <rPr>
        <sz val="10"/>
        <color rgb="FF000000"/>
        <rFont val="Arial"/>
        <family val="0"/>
        <charset val="1"/>
      </rPr>
      <t xml:space="preserve">× 60 × </t>
    </r>
    <r>
      <rPr>
        <sz val="10"/>
        <color rgb="FF000000"/>
        <rFont val="WenQuanYi Zen Hei"/>
        <family val="2"/>
      </rPr>
      <t xml:space="preserve">保证金比例），向下取整</t>
    </r>
  </si>
  <si>
    <t xml:space="preserve">序号</t>
  </si>
  <si>
    <t xml:space="preserve">方向</t>
  </si>
  <si>
    <t xml:space="preserve">开仓日期</t>
  </si>
  <si>
    <t xml:space="preserve">开仓价</t>
  </si>
  <si>
    <t xml:space="preserve">平仓日期</t>
  </si>
  <si>
    <t xml:space="preserve">平仓价</t>
  </si>
  <si>
    <t xml:space="preserve">手数</t>
  </si>
  <si>
    <t xml:space="preserve">持仓天数</t>
  </si>
  <si>
    <t xml:space="preserve">净盈亏（元）</t>
  </si>
  <si>
    <t xml:space="preserve">开仓前权益（元）</t>
  </si>
  <si>
    <t xml:space="preserve">盈亏占权益</t>
  </si>
  <si>
    <r>
      <rPr>
        <b val="true"/>
        <sz val="10"/>
        <color rgb="FF000000"/>
        <rFont val="Arial"/>
        <family val="0"/>
        <charset val="1"/>
      </rPr>
      <t xml:space="preserve">R </t>
    </r>
    <r>
      <rPr>
        <b val="true"/>
        <sz val="10"/>
        <color rgb="FF000000"/>
        <rFont val="WenQuanYi Zen Hei"/>
        <family val="2"/>
      </rPr>
      <t xml:space="preserve">倍数</t>
    </r>
  </si>
  <si>
    <t xml:space="preserve">离场原因</t>
  </si>
  <si>
    <t xml:space="preserve">名义杠杆</t>
  </si>
  <si>
    <t xml:space="preserve">连亏计数</t>
  </si>
  <si>
    <t xml:space="preserve">连赢计数</t>
  </si>
  <si>
    <t xml:space="preserve">多</t>
  </si>
  <si>
    <r>
      <rPr>
        <sz val="10"/>
        <color rgb="FF000000"/>
        <rFont val="WenQuanYi Zen Hei"/>
        <family val="2"/>
      </rPr>
      <t xml:space="preserve">慢</t>
    </r>
    <r>
      <rPr>
        <sz val="10"/>
        <color rgb="FF000000"/>
        <rFont val="Arial"/>
        <family val="0"/>
        <charset val="1"/>
      </rPr>
      <t xml:space="preserve">SAR</t>
    </r>
    <r>
      <rPr>
        <sz val="10"/>
        <color rgb="FF000000"/>
        <rFont val="WenQuanYi Zen Hei"/>
        <family val="2"/>
      </rPr>
      <t xml:space="preserve">翻转离场</t>
    </r>
  </si>
  <si>
    <t xml:space="preserve">空</t>
  </si>
  <si>
    <r>
      <rPr>
        <sz val="10"/>
        <color rgb="FF000000"/>
        <rFont val="WenQuanYi Zen Hei"/>
        <family val="2"/>
      </rPr>
      <t xml:space="preserve">回测结束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仍持仓</t>
    </r>
    <r>
      <rPr>
        <sz val="10"/>
        <color rgb="FF000000"/>
        <rFont val="Arial"/>
        <family val="0"/>
        <charset val="1"/>
      </rPr>
      <t xml:space="preserve">)</t>
    </r>
  </si>
  <si>
    <t xml:space="preserve">日期</t>
  </si>
  <si>
    <t xml:space="preserve">焦煤加权收盘</t>
  </si>
  <si>
    <t xml:space="preserve">账户权益（元）</t>
  </si>
  <si>
    <t xml:space="preserve">历史最高权益（元）</t>
  </si>
  <si>
    <t xml:space="preserve">回撤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</si>
</sst>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0.00"/>
    <numFmt numFmtId="168" formatCode="yyyy\-mm\-dd"/>
    <numFmt numFmtId="169" formatCode="0"/>
    <numFmt numFmtId="170" formatCode="0.0"/>
    <numFmt numFmtId="171" formatCode="#,##0;\-#,##0"/>
    <numFmt numFmtId="172" formatCode="0.0%;\-0.0%"/>
    <numFmt numFmtId="173" formatCode="0.00\倍"/>
    <numFmt numFmtId="174" formatCode="#,##0.00"/>
    <numFmt numFmtId="175" formatCode="@"/>
    <numFmt numFmtId="176" formatCode="0%"/>
    <numFmt numFmtId="177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3494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账户权益（元，对数坐标）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资金曲线!C1</c:f>
              <c:strCache>
                <c:ptCount val="1"/>
                <c:pt idx="0">
                  <c:v>账户权益（元）</c:v>
                </c:pt>
              </c:strCache>
            </c:strRef>
          </c:tx>
          <c:spPr>
            <a:solidFill>
              <a:srgbClr val="2a78d6"/>
            </a:solidFill>
            <a:ln w="1512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资金曲线!$A$2:$A$3305</c:f>
              <c:strCache>
                <c:ptCount val="3304"/>
                <c:pt idx="0">
                  <c:v>2013-03-22</c:v>
                </c:pt>
                <c:pt idx="1">
                  <c:v>2013-03-25</c:v>
                </c:pt>
                <c:pt idx="2">
                  <c:v>2013-03-26</c:v>
                </c:pt>
                <c:pt idx="3">
                  <c:v>2013-03-27</c:v>
                </c:pt>
                <c:pt idx="4">
                  <c:v>2013-03-28</c:v>
                </c:pt>
                <c:pt idx="5">
                  <c:v>2013-03-29</c:v>
                </c:pt>
                <c:pt idx="6">
                  <c:v>2013-04-01</c:v>
                </c:pt>
                <c:pt idx="7">
                  <c:v>2013-04-02</c:v>
                </c:pt>
                <c:pt idx="8">
                  <c:v>2013-04-03</c:v>
                </c:pt>
                <c:pt idx="9">
                  <c:v>2013-04-08</c:v>
                </c:pt>
                <c:pt idx="10">
                  <c:v>2013-04-09</c:v>
                </c:pt>
                <c:pt idx="11">
                  <c:v>2013-04-10</c:v>
                </c:pt>
                <c:pt idx="12">
                  <c:v>2013-04-11</c:v>
                </c:pt>
                <c:pt idx="13">
                  <c:v>2013-04-12</c:v>
                </c:pt>
                <c:pt idx="14">
                  <c:v>2013-04-15</c:v>
                </c:pt>
                <c:pt idx="15">
                  <c:v>2013-04-16</c:v>
                </c:pt>
                <c:pt idx="16">
                  <c:v>2013-04-17</c:v>
                </c:pt>
                <c:pt idx="17">
                  <c:v>2013-04-18</c:v>
                </c:pt>
                <c:pt idx="18">
                  <c:v>2013-04-19</c:v>
                </c:pt>
                <c:pt idx="19">
                  <c:v>2013-04-22</c:v>
                </c:pt>
                <c:pt idx="20">
                  <c:v>2013-04-23</c:v>
                </c:pt>
                <c:pt idx="21">
                  <c:v>2013-04-24</c:v>
                </c:pt>
                <c:pt idx="22">
                  <c:v>2013-04-25</c:v>
                </c:pt>
                <c:pt idx="23">
                  <c:v>2013-04-26</c:v>
                </c:pt>
                <c:pt idx="24">
                  <c:v>2013-05-02</c:v>
                </c:pt>
                <c:pt idx="25">
                  <c:v>2013-05-03</c:v>
                </c:pt>
                <c:pt idx="26">
                  <c:v>2013-05-06</c:v>
                </c:pt>
                <c:pt idx="27">
                  <c:v>2013-05-07</c:v>
                </c:pt>
                <c:pt idx="28">
                  <c:v>2013-05-08</c:v>
                </c:pt>
                <c:pt idx="29">
                  <c:v>2013-05-09</c:v>
                </c:pt>
                <c:pt idx="30">
                  <c:v>2013-05-10</c:v>
                </c:pt>
                <c:pt idx="31">
                  <c:v>2013-05-13</c:v>
                </c:pt>
                <c:pt idx="32">
                  <c:v>2013-05-14</c:v>
                </c:pt>
                <c:pt idx="33">
                  <c:v>2013-05-15</c:v>
                </c:pt>
                <c:pt idx="34">
                  <c:v>2013-05-16</c:v>
                </c:pt>
                <c:pt idx="35">
                  <c:v>2013-05-17</c:v>
                </c:pt>
                <c:pt idx="36">
                  <c:v>2013-05-20</c:v>
                </c:pt>
                <c:pt idx="37">
                  <c:v>2013-05-21</c:v>
                </c:pt>
                <c:pt idx="38">
                  <c:v>2013-05-22</c:v>
                </c:pt>
                <c:pt idx="39">
                  <c:v>2013-05-23</c:v>
                </c:pt>
                <c:pt idx="40">
                  <c:v>2013-05-24</c:v>
                </c:pt>
                <c:pt idx="41">
                  <c:v>2013-05-27</c:v>
                </c:pt>
                <c:pt idx="42">
                  <c:v>2013-05-28</c:v>
                </c:pt>
                <c:pt idx="43">
                  <c:v>2013-05-29</c:v>
                </c:pt>
                <c:pt idx="44">
                  <c:v>2013-05-30</c:v>
                </c:pt>
                <c:pt idx="45">
                  <c:v>2013-05-31</c:v>
                </c:pt>
                <c:pt idx="46">
                  <c:v>2013-06-03</c:v>
                </c:pt>
                <c:pt idx="47">
                  <c:v>2013-06-04</c:v>
                </c:pt>
                <c:pt idx="48">
                  <c:v>2013-06-05</c:v>
                </c:pt>
                <c:pt idx="49">
                  <c:v>2013-06-06</c:v>
                </c:pt>
                <c:pt idx="50">
                  <c:v>2013-06-07</c:v>
                </c:pt>
                <c:pt idx="51">
                  <c:v>2013-06-13</c:v>
                </c:pt>
                <c:pt idx="52">
                  <c:v>2013-06-14</c:v>
                </c:pt>
                <c:pt idx="53">
                  <c:v>2013-06-17</c:v>
                </c:pt>
                <c:pt idx="54">
                  <c:v>2013-06-18</c:v>
                </c:pt>
                <c:pt idx="55">
                  <c:v>2013-06-19</c:v>
                </c:pt>
                <c:pt idx="56">
                  <c:v>2013-06-20</c:v>
                </c:pt>
                <c:pt idx="57">
                  <c:v>2013-06-21</c:v>
                </c:pt>
                <c:pt idx="58">
                  <c:v>2013-06-24</c:v>
                </c:pt>
                <c:pt idx="59">
                  <c:v>2013-06-25</c:v>
                </c:pt>
                <c:pt idx="60">
                  <c:v>2013-06-26</c:v>
                </c:pt>
                <c:pt idx="61">
                  <c:v>2013-06-27</c:v>
                </c:pt>
                <c:pt idx="62">
                  <c:v>2013-06-28</c:v>
                </c:pt>
                <c:pt idx="63">
                  <c:v>2013-07-01</c:v>
                </c:pt>
                <c:pt idx="64">
                  <c:v>2013-07-02</c:v>
                </c:pt>
                <c:pt idx="65">
                  <c:v>2013-07-03</c:v>
                </c:pt>
                <c:pt idx="66">
                  <c:v>2013-07-04</c:v>
                </c:pt>
                <c:pt idx="67">
                  <c:v>2013-07-05</c:v>
                </c:pt>
                <c:pt idx="68">
                  <c:v>2013-07-08</c:v>
                </c:pt>
                <c:pt idx="69">
                  <c:v>2013-07-09</c:v>
                </c:pt>
                <c:pt idx="70">
                  <c:v>2013-07-10</c:v>
                </c:pt>
                <c:pt idx="71">
                  <c:v>2013-07-11</c:v>
                </c:pt>
                <c:pt idx="72">
                  <c:v>2013-07-12</c:v>
                </c:pt>
                <c:pt idx="73">
                  <c:v>2013-07-15</c:v>
                </c:pt>
                <c:pt idx="74">
                  <c:v>2013-07-16</c:v>
                </c:pt>
                <c:pt idx="75">
                  <c:v>2013-07-17</c:v>
                </c:pt>
                <c:pt idx="76">
                  <c:v>2013-07-18</c:v>
                </c:pt>
                <c:pt idx="77">
                  <c:v>2013-07-19</c:v>
                </c:pt>
                <c:pt idx="78">
                  <c:v>2013-07-22</c:v>
                </c:pt>
                <c:pt idx="79">
                  <c:v>2013-07-23</c:v>
                </c:pt>
                <c:pt idx="80">
                  <c:v>2013-07-24</c:v>
                </c:pt>
                <c:pt idx="81">
                  <c:v>2013-07-25</c:v>
                </c:pt>
                <c:pt idx="82">
                  <c:v>2013-07-26</c:v>
                </c:pt>
                <c:pt idx="83">
                  <c:v>2013-07-29</c:v>
                </c:pt>
                <c:pt idx="84">
                  <c:v>2013-07-30</c:v>
                </c:pt>
                <c:pt idx="85">
                  <c:v>2013-07-31</c:v>
                </c:pt>
                <c:pt idx="86">
                  <c:v>2013-08-01</c:v>
                </c:pt>
                <c:pt idx="87">
                  <c:v>2013-08-02</c:v>
                </c:pt>
                <c:pt idx="88">
                  <c:v>2013-08-05</c:v>
                </c:pt>
                <c:pt idx="89">
                  <c:v>2013-08-06</c:v>
                </c:pt>
                <c:pt idx="90">
                  <c:v>2013-08-07</c:v>
                </c:pt>
                <c:pt idx="91">
                  <c:v>2013-08-08</c:v>
                </c:pt>
                <c:pt idx="92">
                  <c:v>2013-08-09</c:v>
                </c:pt>
                <c:pt idx="93">
                  <c:v>2013-08-12</c:v>
                </c:pt>
                <c:pt idx="94">
                  <c:v>2013-08-13</c:v>
                </c:pt>
                <c:pt idx="95">
                  <c:v>2013-08-14</c:v>
                </c:pt>
                <c:pt idx="96">
                  <c:v>2013-08-15</c:v>
                </c:pt>
                <c:pt idx="97">
                  <c:v>2013-08-16</c:v>
                </c:pt>
                <c:pt idx="98">
                  <c:v>2013-08-19</c:v>
                </c:pt>
                <c:pt idx="99">
                  <c:v>2013-08-20</c:v>
                </c:pt>
                <c:pt idx="100">
                  <c:v>2013-08-21</c:v>
                </c:pt>
                <c:pt idx="101">
                  <c:v>2013-08-22</c:v>
                </c:pt>
                <c:pt idx="102">
                  <c:v>2013-08-23</c:v>
                </c:pt>
                <c:pt idx="103">
                  <c:v>2013-08-26</c:v>
                </c:pt>
                <c:pt idx="104">
                  <c:v>2013-08-27</c:v>
                </c:pt>
                <c:pt idx="105">
                  <c:v>2013-08-28</c:v>
                </c:pt>
                <c:pt idx="106">
                  <c:v>2013-08-29</c:v>
                </c:pt>
                <c:pt idx="107">
                  <c:v>2013-08-30</c:v>
                </c:pt>
                <c:pt idx="108">
                  <c:v>2013-09-02</c:v>
                </c:pt>
                <c:pt idx="109">
                  <c:v>2013-09-03</c:v>
                </c:pt>
                <c:pt idx="110">
                  <c:v>2013-09-04</c:v>
                </c:pt>
                <c:pt idx="111">
                  <c:v>2013-09-05</c:v>
                </c:pt>
                <c:pt idx="112">
                  <c:v>2013-09-06</c:v>
                </c:pt>
                <c:pt idx="113">
                  <c:v>2013-09-09</c:v>
                </c:pt>
                <c:pt idx="114">
                  <c:v>2013-09-10</c:v>
                </c:pt>
                <c:pt idx="115">
                  <c:v>2013-09-11</c:v>
                </c:pt>
                <c:pt idx="116">
                  <c:v>2013-09-12</c:v>
                </c:pt>
                <c:pt idx="117">
                  <c:v>2013-09-13</c:v>
                </c:pt>
                <c:pt idx="118">
                  <c:v>2013-09-16</c:v>
                </c:pt>
                <c:pt idx="119">
                  <c:v>2013-09-17</c:v>
                </c:pt>
                <c:pt idx="120">
                  <c:v>2013-09-18</c:v>
                </c:pt>
                <c:pt idx="121">
                  <c:v>2013-09-23</c:v>
                </c:pt>
                <c:pt idx="122">
                  <c:v>2013-09-24</c:v>
                </c:pt>
                <c:pt idx="123">
                  <c:v>2013-09-25</c:v>
                </c:pt>
                <c:pt idx="124">
                  <c:v>2013-09-26</c:v>
                </c:pt>
                <c:pt idx="125">
                  <c:v>2013-09-27</c:v>
                </c:pt>
                <c:pt idx="126">
                  <c:v>2013-09-30</c:v>
                </c:pt>
                <c:pt idx="127">
                  <c:v>2013-10-08</c:v>
                </c:pt>
                <c:pt idx="128">
                  <c:v>2013-10-09</c:v>
                </c:pt>
                <c:pt idx="129">
                  <c:v>2013-10-10</c:v>
                </c:pt>
                <c:pt idx="130">
                  <c:v>2013-10-11</c:v>
                </c:pt>
                <c:pt idx="131">
                  <c:v>2013-10-14</c:v>
                </c:pt>
                <c:pt idx="132">
                  <c:v>2013-10-15</c:v>
                </c:pt>
                <c:pt idx="133">
                  <c:v>2013-10-16</c:v>
                </c:pt>
                <c:pt idx="134">
                  <c:v>2013-10-17</c:v>
                </c:pt>
                <c:pt idx="135">
                  <c:v>2013-10-18</c:v>
                </c:pt>
                <c:pt idx="136">
                  <c:v>2013-10-21</c:v>
                </c:pt>
                <c:pt idx="137">
                  <c:v>2013-10-22</c:v>
                </c:pt>
                <c:pt idx="138">
                  <c:v>2013-10-23</c:v>
                </c:pt>
                <c:pt idx="139">
                  <c:v>2013-10-24</c:v>
                </c:pt>
                <c:pt idx="140">
                  <c:v>2013-10-25</c:v>
                </c:pt>
                <c:pt idx="141">
                  <c:v>2013-10-28</c:v>
                </c:pt>
                <c:pt idx="142">
                  <c:v>2013-10-29</c:v>
                </c:pt>
                <c:pt idx="143">
                  <c:v>2013-10-30</c:v>
                </c:pt>
                <c:pt idx="144">
                  <c:v>2013-10-31</c:v>
                </c:pt>
                <c:pt idx="145">
                  <c:v>2013-11-01</c:v>
                </c:pt>
                <c:pt idx="146">
                  <c:v>2013-11-04</c:v>
                </c:pt>
                <c:pt idx="147">
                  <c:v>2013-11-05</c:v>
                </c:pt>
                <c:pt idx="148">
                  <c:v>2013-11-06</c:v>
                </c:pt>
                <c:pt idx="149">
                  <c:v>2013-11-07</c:v>
                </c:pt>
                <c:pt idx="150">
                  <c:v>2013-11-08</c:v>
                </c:pt>
                <c:pt idx="151">
                  <c:v>2013-11-11</c:v>
                </c:pt>
                <c:pt idx="152">
                  <c:v>2013-11-12</c:v>
                </c:pt>
                <c:pt idx="153">
                  <c:v>2013-11-13</c:v>
                </c:pt>
                <c:pt idx="154">
                  <c:v>2013-11-14</c:v>
                </c:pt>
                <c:pt idx="155">
                  <c:v>2013-11-15</c:v>
                </c:pt>
                <c:pt idx="156">
                  <c:v>2013-11-18</c:v>
                </c:pt>
                <c:pt idx="157">
                  <c:v>2013-11-19</c:v>
                </c:pt>
                <c:pt idx="158">
                  <c:v>2013-11-20</c:v>
                </c:pt>
                <c:pt idx="159">
                  <c:v>2013-11-21</c:v>
                </c:pt>
                <c:pt idx="160">
                  <c:v>2013-11-22</c:v>
                </c:pt>
                <c:pt idx="161">
                  <c:v>2013-11-25</c:v>
                </c:pt>
                <c:pt idx="162">
                  <c:v>2013-11-26</c:v>
                </c:pt>
                <c:pt idx="163">
                  <c:v>2013-11-27</c:v>
                </c:pt>
                <c:pt idx="164">
                  <c:v>2013-11-28</c:v>
                </c:pt>
                <c:pt idx="165">
                  <c:v>2013-11-29</c:v>
                </c:pt>
                <c:pt idx="166">
                  <c:v>2013-12-02</c:v>
                </c:pt>
                <c:pt idx="167">
                  <c:v>2013-12-03</c:v>
                </c:pt>
                <c:pt idx="168">
                  <c:v>2013-12-04</c:v>
                </c:pt>
                <c:pt idx="169">
                  <c:v>2013-12-05</c:v>
                </c:pt>
                <c:pt idx="170">
                  <c:v>2013-12-06</c:v>
                </c:pt>
                <c:pt idx="171">
                  <c:v>2013-12-09</c:v>
                </c:pt>
                <c:pt idx="172">
                  <c:v>2013-12-10</c:v>
                </c:pt>
                <c:pt idx="173">
                  <c:v>2013-12-11</c:v>
                </c:pt>
                <c:pt idx="174">
                  <c:v>2013-12-12</c:v>
                </c:pt>
                <c:pt idx="175">
                  <c:v>2013-12-13</c:v>
                </c:pt>
                <c:pt idx="176">
                  <c:v>2013-12-16</c:v>
                </c:pt>
                <c:pt idx="177">
                  <c:v>2013-12-17</c:v>
                </c:pt>
                <c:pt idx="178">
                  <c:v>2013-12-18</c:v>
                </c:pt>
                <c:pt idx="179">
                  <c:v>2013-12-19</c:v>
                </c:pt>
                <c:pt idx="180">
                  <c:v>2013-12-20</c:v>
                </c:pt>
                <c:pt idx="181">
                  <c:v>2013-12-23</c:v>
                </c:pt>
                <c:pt idx="182">
                  <c:v>2013-12-24</c:v>
                </c:pt>
                <c:pt idx="183">
                  <c:v>2013-12-25</c:v>
                </c:pt>
                <c:pt idx="184">
                  <c:v>2013-12-26</c:v>
                </c:pt>
                <c:pt idx="185">
                  <c:v>2013-12-27</c:v>
                </c:pt>
                <c:pt idx="186">
                  <c:v>2013-12-30</c:v>
                </c:pt>
                <c:pt idx="187">
                  <c:v>2013-12-31</c:v>
                </c:pt>
                <c:pt idx="188">
                  <c:v>2014-01-02</c:v>
                </c:pt>
                <c:pt idx="189">
                  <c:v>2014-01-03</c:v>
                </c:pt>
                <c:pt idx="190">
                  <c:v>2014-01-06</c:v>
                </c:pt>
                <c:pt idx="191">
                  <c:v>2014-01-07</c:v>
                </c:pt>
                <c:pt idx="192">
                  <c:v>2014-01-08</c:v>
                </c:pt>
                <c:pt idx="193">
                  <c:v>2014-01-09</c:v>
                </c:pt>
                <c:pt idx="194">
                  <c:v>2014-01-10</c:v>
                </c:pt>
                <c:pt idx="195">
                  <c:v>2014-01-13</c:v>
                </c:pt>
                <c:pt idx="196">
                  <c:v>2014-01-14</c:v>
                </c:pt>
                <c:pt idx="197">
                  <c:v>2014-01-15</c:v>
                </c:pt>
                <c:pt idx="198">
                  <c:v>2014-01-16</c:v>
                </c:pt>
                <c:pt idx="199">
                  <c:v>2014-01-17</c:v>
                </c:pt>
                <c:pt idx="200">
                  <c:v>2014-01-20</c:v>
                </c:pt>
                <c:pt idx="201">
                  <c:v>2014-01-21</c:v>
                </c:pt>
                <c:pt idx="202">
                  <c:v>2014-01-22</c:v>
                </c:pt>
                <c:pt idx="203">
                  <c:v>2014-01-23</c:v>
                </c:pt>
                <c:pt idx="204">
                  <c:v>2014-01-24</c:v>
                </c:pt>
                <c:pt idx="205">
                  <c:v>2014-01-27</c:v>
                </c:pt>
                <c:pt idx="206">
                  <c:v>2014-01-28</c:v>
                </c:pt>
                <c:pt idx="207">
                  <c:v>2014-01-29</c:v>
                </c:pt>
                <c:pt idx="208">
                  <c:v>2014-01-30</c:v>
                </c:pt>
                <c:pt idx="209">
                  <c:v>2014-02-07</c:v>
                </c:pt>
                <c:pt idx="210">
                  <c:v>2014-02-10</c:v>
                </c:pt>
                <c:pt idx="211">
                  <c:v>2014-02-11</c:v>
                </c:pt>
                <c:pt idx="212">
                  <c:v>2014-02-12</c:v>
                </c:pt>
                <c:pt idx="213">
                  <c:v>2014-02-13</c:v>
                </c:pt>
                <c:pt idx="214">
                  <c:v>2014-02-14</c:v>
                </c:pt>
                <c:pt idx="215">
                  <c:v>2014-02-17</c:v>
                </c:pt>
                <c:pt idx="216">
                  <c:v>2014-02-18</c:v>
                </c:pt>
                <c:pt idx="217">
                  <c:v>2014-02-19</c:v>
                </c:pt>
                <c:pt idx="218">
                  <c:v>2014-02-20</c:v>
                </c:pt>
                <c:pt idx="219">
                  <c:v>2014-02-21</c:v>
                </c:pt>
                <c:pt idx="220">
                  <c:v>2014-02-24</c:v>
                </c:pt>
                <c:pt idx="221">
                  <c:v>2014-02-25</c:v>
                </c:pt>
                <c:pt idx="222">
                  <c:v>2014-02-26</c:v>
                </c:pt>
                <c:pt idx="223">
                  <c:v>2014-02-27</c:v>
                </c:pt>
                <c:pt idx="224">
                  <c:v>2014-02-28</c:v>
                </c:pt>
                <c:pt idx="225">
                  <c:v>2014-03-03</c:v>
                </c:pt>
                <c:pt idx="226">
                  <c:v>2014-03-04</c:v>
                </c:pt>
                <c:pt idx="227">
                  <c:v>2014-03-05</c:v>
                </c:pt>
                <c:pt idx="228">
                  <c:v>2014-03-06</c:v>
                </c:pt>
                <c:pt idx="229">
                  <c:v>2014-03-07</c:v>
                </c:pt>
                <c:pt idx="230">
                  <c:v>2014-03-10</c:v>
                </c:pt>
                <c:pt idx="231">
                  <c:v>2014-03-11</c:v>
                </c:pt>
                <c:pt idx="232">
                  <c:v>2014-03-12</c:v>
                </c:pt>
                <c:pt idx="233">
                  <c:v>2014-03-13</c:v>
                </c:pt>
                <c:pt idx="234">
                  <c:v>2014-03-14</c:v>
                </c:pt>
                <c:pt idx="235">
                  <c:v>2014-03-17</c:v>
                </c:pt>
                <c:pt idx="236">
                  <c:v>2014-03-18</c:v>
                </c:pt>
                <c:pt idx="237">
                  <c:v>2014-03-19</c:v>
                </c:pt>
                <c:pt idx="238">
                  <c:v>2014-03-20</c:v>
                </c:pt>
                <c:pt idx="239">
                  <c:v>2014-03-21</c:v>
                </c:pt>
                <c:pt idx="240">
                  <c:v>2014-03-24</c:v>
                </c:pt>
                <c:pt idx="241">
                  <c:v>2014-03-25</c:v>
                </c:pt>
                <c:pt idx="242">
                  <c:v>2014-03-26</c:v>
                </c:pt>
                <c:pt idx="243">
                  <c:v>2014-03-27</c:v>
                </c:pt>
                <c:pt idx="244">
                  <c:v>2014-03-28</c:v>
                </c:pt>
                <c:pt idx="245">
                  <c:v>2014-03-31</c:v>
                </c:pt>
                <c:pt idx="246">
                  <c:v>2014-04-01</c:v>
                </c:pt>
                <c:pt idx="247">
                  <c:v>2014-04-02</c:v>
                </c:pt>
                <c:pt idx="248">
                  <c:v>2014-04-03</c:v>
                </c:pt>
                <c:pt idx="249">
                  <c:v>2014-04-04</c:v>
                </c:pt>
                <c:pt idx="250">
                  <c:v>2014-04-08</c:v>
                </c:pt>
                <c:pt idx="251">
                  <c:v>2014-04-09</c:v>
                </c:pt>
                <c:pt idx="252">
                  <c:v>2014-04-10</c:v>
                </c:pt>
                <c:pt idx="253">
                  <c:v>2014-04-11</c:v>
                </c:pt>
                <c:pt idx="254">
                  <c:v>2014-04-14</c:v>
                </c:pt>
                <c:pt idx="255">
                  <c:v>2014-04-15</c:v>
                </c:pt>
                <c:pt idx="256">
                  <c:v>2014-04-16</c:v>
                </c:pt>
                <c:pt idx="257">
                  <c:v>2014-04-17</c:v>
                </c:pt>
                <c:pt idx="258">
                  <c:v>2014-04-18</c:v>
                </c:pt>
                <c:pt idx="259">
                  <c:v>2014-04-21</c:v>
                </c:pt>
                <c:pt idx="260">
                  <c:v>2014-04-22</c:v>
                </c:pt>
                <c:pt idx="261">
                  <c:v>2014-04-23</c:v>
                </c:pt>
                <c:pt idx="262">
                  <c:v>2014-04-24</c:v>
                </c:pt>
                <c:pt idx="263">
                  <c:v>2014-04-25</c:v>
                </c:pt>
                <c:pt idx="264">
                  <c:v>2014-04-28</c:v>
                </c:pt>
                <c:pt idx="265">
                  <c:v>2014-04-29</c:v>
                </c:pt>
                <c:pt idx="266">
                  <c:v>2014-04-30</c:v>
                </c:pt>
                <c:pt idx="267">
                  <c:v>2014-05-05</c:v>
                </c:pt>
                <c:pt idx="268">
                  <c:v>2014-05-06</c:v>
                </c:pt>
                <c:pt idx="269">
                  <c:v>2014-05-07</c:v>
                </c:pt>
                <c:pt idx="270">
                  <c:v>2014-05-08</c:v>
                </c:pt>
                <c:pt idx="271">
                  <c:v>2014-05-09</c:v>
                </c:pt>
                <c:pt idx="272">
                  <c:v>2014-05-12</c:v>
                </c:pt>
                <c:pt idx="273">
                  <c:v>2014-05-13</c:v>
                </c:pt>
                <c:pt idx="274">
                  <c:v>2014-05-14</c:v>
                </c:pt>
                <c:pt idx="275">
                  <c:v>2014-05-15</c:v>
                </c:pt>
                <c:pt idx="276">
                  <c:v>2014-05-16</c:v>
                </c:pt>
                <c:pt idx="277">
                  <c:v>2014-05-19</c:v>
                </c:pt>
                <c:pt idx="278">
                  <c:v>2014-05-20</c:v>
                </c:pt>
                <c:pt idx="279">
                  <c:v>2014-05-21</c:v>
                </c:pt>
                <c:pt idx="280">
                  <c:v>2014-05-22</c:v>
                </c:pt>
                <c:pt idx="281">
                  <c:v>2014-05-23</c:v>
                </c:pt>
                <c:pt idx="282">
                  <c:v>2014-05-26</c:v>
                </c:pt>
                <c:pt idx="283">
                  <c:v>2014-05-27</c:v>
                </c:pt>
                <c:pt idx="284">
                  <c:v>2014-05-28</c:v>
                </c:pt>
                <c:pt idx="285">
                  <c:v>2014-05-29</c:v>
                </c:pt>
                <c:pt idx="286">
                  <c:v>2014-05-30</c:v>
                </c:pt>
                <c:pt idx="287">
                  <c:v>2014-06-03</c:v>
                </c:pt>
                <c:pt idx="288">
                  <c:v>2014-06-04</c:v>
                </c:pt>
                <c:pt idx="289">
                  <c:v>2014-06-05</c:v>
                </c:pt>
                <c:pt idx="290">
                  <c:v>2014-06-06</c:v>
                </c:pt>
                <c:pt idx="291">
                  <c:v>2014-06-09</c:v>
                </c:pt>
                <c:pt idx="292">
                  <c:v>2014-06-10</c:v>
                </c:pt>
                <c:pt idx="293">
                  <c:v>2014-06-11</c:v>
                </c:pt>
                <c:pt idx="294">
                  <c:v>2014-06-12</c:v>
                </c:pt>
                <c:pt idx="295">
                  <c:v>2014-06-13</c:v>
                </c:pt>
                <c:pt idx="296">
                  <c:v>2014-06-16</c:v>
                </c:pt>
                <c:pt idx="297">
                  <c:v>2014-06-17</c:v>
                </c:pt>
                <c:pt idx="298">
                  <c:v>2014-06-18</c:v>
                </c:pt>
                <c:pt idx="299">
                  <c:v>2014-06-19</c:v>
                </c:pt>
                <c:pt idx="300">
                  <c:v>2014-06-20</c:v>
                </c:pt>
                <c:pt idx="301">
                  <c:v>2014-06-23</c:v>
                </c:pt>
                <c:pt idx="302">
                  <c:v>2014-06-24</c:v>
                </c:pt>
                <c:pt idx="303">
                  <c:v>2014-06-25</c:v>
                </c:pt>
                <c:pt idx="304">
                  <c:v>2014-06-26</c:v>
                </c:pt>
                <c:pt idx="305">
                  <c:v>2014-06-27</c:v>
                </c:pt>
                <c:pt idx="306">
                  <c:v>2014-06-30</c:v>
                </c:pt>
                <c:pt idx="307">
                  <c:v>2014-07-01</c:v>
                </c:pt>
                <c:pt idx="308">
                  <c:v>2014-07-02</c:v>
                </c:pt>
                <c:pt idx="309">
                  <c:v>2014-07-03</c:v>
                </c:pt>
                <c:pt idx="310">
                  <c:v>2014-07-04</c:v>
                </c:pt>
                <c:pt idx="311">
                  <c:v>2014-07-07</c:v>
                </c:pt>
                <c:pt idx="312">
                  <c:v>2014-07-08</c:v>
                </c:pt>
                <c:pt idx="313">
                  <c:v>2014-07-09</c:v>
                </c:pt>
                <c:pt idx="314">
                  <c:v>2014-07-10</c:v>
                </c:pt>
                <c:pt idx="315">
                  <c:v>2014-07-11</c:v>
                </c:pt>
                <c:pt idx="316">
                  <c:v>2014-07-14</c:v>
                </c:pt>
                <c:pt idx="317">
                  <c:v>2014-07-15</c:v>
                </c:pt>
                <c:pt idx="318">
                  <c:v>2014-07-16</c:v>
                </c:pt>
                <c:pt idx="319">
                  <c:v>2014-07-17</c:v>
                </c:pt>
                <c:pt idx="320">
                  <c:v>2014-07-18</c:v>
                </c:pt>
                <c:pt idx="321">
                  <c:v>2014-07-21</c:v>
                </c:pt>
                <c:pt idx="322">
                  <c:v>2014-07-22</c:v>
                </c:pt>
                <c:pt idx="323">
                  <c:v>2014-07-23</c:v>
                </c:pt>
                <c:pt idx="324">
                  <c:v>2014-07-24</c:v>
                </c:pt>
                <c:pt idx="325">
                  <c:v>2014-07-25</c:v>
                </c:pt>
                <c:pt idx="326">
                  <c:v>2014-07-28</c:v>
                </c:pt>
                <c:pt idx="327">
                  <c:v>2014-07-29</c:v>
                </c:pt>
                <c:pt idx="328">
                  <c:v>2014-07-30</c:v>
                </c:pt>
                <c:pt idx="329">
                  <c:v>2014-07-31</c:v>
                </c:pt>
                <c:pt idx="330">
                  <c:v>2014-08-01</c:v>
                </c:pt>
                <c:pt idx="331">
                  <c:v>2014-08-04</c:v>
                </c:pt>
                <c:pt idx="332">
                  <c:v>2014-08-05</c:v>
                </c:pt>
                <c:pt idx="333">
                  <c:v>2014-08-06</c:v>
                </c:pt>
                <c:pt idx="334">
                  <c:v>2014-08-07</c:v>
                </c:pt>
                <c:pt idx="335">
                  <c:v>2014-08-08</c:v>
                </c:pt>
                <c:pt idx="336">
                  <c:v>2014-08-11</c:v>
                </c:pt>
                <c:pt idx="337">
                  <c:v>2014-08-12</c:v>
                </c:pt>
                <c:pt idx="338">
                  <c:v>2014-08-13</c:v>
                </c:pt>
                <c:pt idx="339">
                  <c:v>2014-08-14</c:v>
                </c:pt>
                <c:pt idx="340">
                  <c:v>2014-08-15</c:v>
                </c:pt>
                <c:pt idx="341">
                  <c:v>2014-08-18</c:v>
                </c:pt>
                <c:pt idx="342">
                  <c:v>2014-08-19</c:v>
                </c:pt>
                <c:pt idx="343">
                  <c:v>2014-08-20</c:v>
                </c:pt>
                <c:pt idx="344">
                  <c:v>2014-08-21</c:v>
                </c:pt>
                <c:pt idx="345">
                  <c:v>2014-08-22</c:v>
                </c:pt>
                <c:pt idx="346">
                  <c:v>2014-08-25</c:v>
                </c:pt>
                <c:pt idx="347">
                  <c:v>2014-08-26</c:v>
                </c:pt>
                <c:pt idx="348">
                  <c:v>2014-08-27</c:v>
                </c:pt>
                <c:pt idx="349">
                  <c:v>2014-08-28</c:v>
                </c:pt>
                <c:pt idx="350">
                  <c:v>2014-08-29</c:v>
                </c:pt>
                <c:pt idx="351">
                  <c:v>2014-09-01</c:v>
                </c:pt>
                <c:pt idx="352">
                  <c:v>2014-09-02</c:v>
                </c:pt>
                <c:pt idx="353">
                  <c:v>2014-09-03</c:v>
                </c:pt>
                <c:pt idx="354">
                  <c:v>2014-09-04</c:v>
                </c:pt>
                <c:pt idx="355">
                  <c:v>2014-09-05</c:v>
                </c:pt>
                <c:pt idx="356">
                  <c:v>2014-09-09</c:v>
                </c:pt>
                <c:pt idx="357">
                  <c:v>2014-09-10</c:v>
                </c:pt>
                <c:pt idx="358">
                  <c:v>2014-09-11</c:v>
                </c:pt>
                <c:pt idx="359">
                  <c:v>2014-09-12</c:v>
                </c:pt>
                <c:pt idx="360">
                  <c:v>2014-09-15</c:v>
                </c:pt>
                <c:pt idx="361">
                  <c:v>2014-09-16</c:v>
                </c:pt>
                <c:pt idx="362">
                  <c:v>2014-09-17</c:v>
                </c:pt>
                <c:pt idx="363">
                  <c:v>2014-09-18</c:v>
                </c:pt>
                <c:pt idx="364">
                  <c:v>2014-09-19</c:v>
                </c:pt>
                <c:pt idx="365">
                  <c:v>2014-09-22</c:v>
                </c:pt>
                <c:pt idx="366">
                  <c:v>2014-09-23</c:v>
                </c:pt>
                <c:pt idx="367">
                  <c:v>2014-09-24</c:v>
                </c:pt>
                <c:pt idx="368">
                  <c:v>2014-09-25</c:v>
                </c:pt>
                <c:pt idx="369">
                  <c:v>2014-09-26</c:v>
                </c:pt>
                <c:pt idx="370">
                  <c:v>2014-09-29</c:v>
                </c:pt>
                <c:pt idx="371">
                  <c:v>2014-09-30</c:v>
                </c:pt>
                <c:pt idx="372">
                  <c:v>2014-10-08</c:v>
                </c:pt>
                <c:pt idx="373">
                  <c:v>2014-10-09</c:v>
                </c:pt>
                <c:pt idx="374">
                  <c:v>2014-10-10</c:v>
                </c:pt>
                <c:pt idx="375">
                  <c:v>2014-10-13</c:v>
                </c:pt>
                <c:pt idx="376">
                  <c:v>2014-10-14</c:v>
                </c:pt>
                <c:pt idx="377">
                  <c:v>2014-10-15</c:v>
                </c:pt>
                <c:pt idx="378">
                  <c:v>2014-10-16</c:v>
                </c:pt>
                <c:pt idx="379">
                  <c:v>2014-10-17</c:v>
                </c:pt>
                <c:pt idx="380">
                  <c:v>2014-10-20</c:v>
                </c:pt>
                <c:pt idx="381">
                  <c:v>2014-10-21</c:v>
                </c:pt>
                <c:pt idx="382">
                  <c:v>2014-10-22</c:v>
                </c:pt>
                <c:pt idx="383">
                  <c:v>2014-10-23</c:v>
                </c:pt>
                <c:pt idx="384">
                  <c:v>2014-10-24</c:v>
                </c:pt>
                <c:pt idx="385">
                  <c:v>2014-10-27</c:v>
                </c:pt>
                <c:pt idx="386">
                  <c:v>2014-10-28</c:v>
                </c:pt>
                <c:pt idx="387">
                  <c:v>2014-10-29</c:v>
                </c:pt>
                <c:pt idx="388">
                  <c:v>2014-10-30</c:v>
                </c:pt>
                <c:pt idx="389">
                  <c:v>2014-10-31</c:v>
                </c:pt>
                <c:pt idx="390">
                  <c:v>2014-11-03</c:v>
                </c:pt>
                <c:pt idx="391">
                  <c:v>2014-11-04</c:v>
                </c:pt>
                <c:pt idx="392">
                  <c:v>2014-11-05</c:v>
                </c:pt>
                <c:pt idx="393">
                  <c:v>2014-11-06</c:v>
                </c:pt>
                <c:pt idx="394">
                  <c:v>2014-11-07</c:v>
                </c:pt>
                <c:pt idx="395">
                  <c:v>2014-11-10</c:v>
                </c:pt>
                <c:pt idx="396">
                  <c:v>2014-11-11</c:v>
                </c:pt>
                <c:pt idx="397">
                  <c:v>2014-11-12</c:v>
                </c:pt>
                <c:pt idx="398">
                  <c:v>2014-11-13</c:v>
                </c:pt>
                <c:pt idx="399">
                  <c:v>2014-11-14</c:v>
                </c:pt>
                <c:pt idx="400">
                  <c:v>2014-11-17</c:v>
                </c:pt>
                <c:pt idx="401">
                  <c:v>2014-11-18</c:v>
                </c:pt>
                <c:pt idx="402">
                  <c:v>2014-11-19</c:v>
                </c:pt>
                <c:pt idx="403">
                  <c:v>2014-11-20</c:v>
                </c:pt>
                <c:pt idx="404">
                  <c:v>2014-11-21</c:v>
                </c:pt>
                <c:pt idx="405">
                  <c:v>2014-11-24</c:v>
                </c:pt>
                <c:pt idx="406">
                  <c:v>2014-11-25</c:v>
                </c:pt>
                <c:pt idx="407">
                  <c:v>2014-11-26</c:v>
                </c:pt>
                <c:pt idx="408">
                  <c:v>2014-11-27</c:v>
                </c:pt>
                <c:pt idx="409">
                  <c:v>2014-11-28</c:v>
                </c:pt>
                <c:pt idx="410">
                  <c:v>2014-12-01</c:v>
                </c:pt>
                <c:pt idx="411">
                  <c:v>2014-12-02</c:v>
                </c:pt>
                <c:pt idx="412">
                  <c:v>2014-12-03</c:v>
                </c:pt>
                <c:pt idx="413">
                  <c:v>2014-12-04</c:v>
                </c:pt>
                <c:pt idx="414">
                  <c:v>2014-12-05</c:v>
                </c:pt>
                <c:pt idx="415">
                  <c:v>2014-12-08</c:v>
                </c:pt>
                <c:pt idx="416">
                  <c:v>2014-12-09</c:v>
                </c:pt>
                <c:pt idx="417">
                  <c:v>2014-12-10</c:v>
                </c:pt>
                <c:pt idx="418">
                  <c:v>2014-12-11</c:v>
                </c:pt>
                <c:pt idx="419">
                  <c:v>2014-12-12</c:v>
                </c:pt>
                <c:pt idx="420">
                  <c:v>2014-12-15</c:v>
                </c:pt>
                <c:pt idx="421">
                  <c:v>2014-12-16</c:v>
                </c:pt>
                <c:pt idx="422">
                  <c:v>2014-12-17</c:v>
                </c:pt>
                <c:pt idx="423">
                  <c:v>2014-12-18</c:v>
                </c:pt>
                <c:pt idx="424">
                  <c:v>2014-12-19</c:v>
                </c:pt>
                <c:pt idx="425">
                  <c:v>2014-12-22</c:v>
                </c:pt>
                <c:pt idx="426">
                  <c:v>2014-12-23</c:v>
                </c:pt>
                <c:pt idx="427">
                  <c:v>2014-12-24</c:v>
                </c:pt>
                <c:pt idx="428">
                  <c:v>2014-12-25</c:v>
                </c:pt>
                <c:pt idx="429">
                  <c:v>2014-12-26</c:v>
                </c:pt>
                <c:pt idx="430">
                  <c:v>2014-12-29</c:v>
                </c:pt>
                <c:pt idx="431">
                  <c:v>2014-12-30</c:v>
                </c:pt>
                <c:pt idx="432">
                  <c:v>2014-12-31</c:v>
                </c:pt>
                <c:pt idx="433">
                  <c:v>2015-01-05</c:v>
                </c:pt>
                <c:pt idx="434">
                  <c:v>2015-01-06</c:v>
                </c:pt>
                <c:pt idx="435">
                  <c:v>2015-01-07</c:v>
                </c:pt>
                <c:pt idx="436">
                  <c:v>2015-01-08</c:v>
                </c:pt>
                <c:pt idx="437">
                  <c:v>2015-01-09</c:v>
                </c:pt>
                <c:pt idx="438">
                  <c:v>2015-01-12</c:v>
                </c:pt>
                <c:pt idx="439">
                  <c:v>2015-01-13</c:v>
                </c:pt>
                <c:pt idx="440">
                  <c:v>2015-01-14</c:v>
                </c:pt>
                <c:pt idx="441">
                  <c:v>2015-01-15</c:v>
                </c:pt>
                <c:pt idx="442">
                  <c:v>2015-01-16</c:v>
                </c:pt>
                <c:pt idx="443">
                  <c:v>2015-01-19</c:v>
                </c:pt>
                <c:pt idx="444">
                  <c:v>2015-01-20</c:v>
                </c:pt>
                <c:pt idx="445">
                  <c:v>2015-01-21</c:v>
                </c:pt>
                <c:pt idx="446">
                  <c:v>2015-01-22</c:v>
                </c:pt>
                <c:pt idx="447">
                  <c:v>2015-01-23</c:v>
                </c:pt>
                <c:pt idx="448">
                  <c:v>2015-01-26</c:v>
                </c:pt>
                <c:pt idx="449">
                  <c:v>2015-01-27</c:v>
                </c:pt>
                <c:pt idx="450">
                  <c:v>2015-01-28</c:v>
                </c:pt>
                <c:pt idx="451">
                  <c:v>2015-01-29</c:v>
                </c:pt>
                <c:pt idx="452">
                  <c:v>2015-01-30</c:v>
                </c:pt>
                <c:pt idx="453">
                  <c:v>2015-02-02</c:v>
                </c:pt>
                <c:pt idx="454">
                  <c:v>2015-02-03</c:v>
                </c:pt>
                <c:pt idx="455">
                  <c:v>2015-02-04</c:v>
                </c:pt>
                <c:pt idx="456">
                  <c:v>2015-02-05</c:v>
                </c:pt>
                <c:pt idx="457">
                  <c:v>2015-02-06</c:v>
                </c:pt>
                <c:pt idx="458">
                  <c:v>2015-02-09</c:v>
                </c:pt>
                <c:pt idx="459">
                  <c:v>2015-02-10</c:v>
                </c:pt>
                <c:pt idx="460">
                  <c:v>2015-02-11</c:v>
                </c:pt>
                <c:pt idx="461">
                  <c:v>2015-02-12</c:v>
                </c:pt>
                <c:pt idx="462">
                  <c:v>2015-02-13</c:v>
                </c:pt>
                <c:pt idx="463">
                  <c:v>2015-02-16</c:v>
                </c:pt>
                <c:pt idx="464">
                  <c:v>2015-02-17</c:v>
                </c:pt>
                <c:pt idx="465">
                  <c:v>2015-02-25</c:v>
                </c:pt>
                <c:pt idx="466">
                  <c:v>2015-02-26</c:v>
                </c:pt>
                <c:pt idx="467">
                  <c:v>2015-02-27</c:v>
                </c:pt>
                <c:pt idx="468">
                  <c:v>2015-03-02</c:v>
                </c:pt>
                <c:pt idx="469">
                  <c:v>2015-03-03</c:v>
                </c:pt>
                <c:pt idx="470">
                  <c:v>2015-03-04</c:v>
                </c:pt>
                <c:pt idx="471">
                  <c:v>2015-03-05</c:v>
                </c:pt>
                <c:pt idx="472">
                  <c:v>2015-03-06</c:v>
                </c:pt>
                <c:pt idx="473">
                  <c:v>2015-03-09</c:v>
                </c:pt>
                <c:pt idx="474">
                  <c:v>2015-03-10</c:v>
                </c:pt>
                <c:pt idx="475">
                  <c:v>2015-03-11</c:v>
                </c:pt>
                <c:pt idx="476">
                  <c:v>2015-03-12</c:v>
                </c:pt>
                <c:pt idx="477">
                  <c:v>2015-03-13</c:v>
                </c:pt>
                <c:pt idx="478">
                  <c:v>2015-03-16</c:v>
                </c:pt>
                <c:pt idx="479">
                  <c:v>2015-03-17</c:v>
                </c:pt>
                <c:pt idx="480">
                  <c:v>2015-03-18</c:v>
                </c:pt>
                <c:pt idx="481">
                  <c:v>2015-03-19</c:v>
                </c:pt>
                <c:pt idx="482">
                  <c:v>2015-03-20</c:v>
                </c:pt>
                <c:pt idx="483">
                  <c:v>2015-03-23</c:v>
                </c:pt>
                <c:pt idx="484">
                  <c:v>2015-03-24</c:v>
                </c:pt>
                <c:pt idx="485">
                  <c:v>2015-03-25</c:v>
                </c:pt>
                <c:pt idx="486">
                  <c:v>2015-03-26</c:v>
                </c:pt>
                <c:pt idx="487">
                  <c:v>2015-03-27</c:v>
                </c:pt>
                <c:pt idx="488">
                  <c:v>2015-03-30</c:v>
                </c:pt>
                <c:pt idx="489">
                  <c:v>2015-03-31</c:v>
                </c:pt>
                <c:pt idx="490">
                  <c:v>2015-04-01</c:v>
                </c:pt>
                <c:pt idx="491">
                  <c:v>2015-04-02</c:v>
                </c:pt>
                <c:pt idx="492">
                  <c:v>2015-04-03</c:v>
                </c:pt>
                <c:pt idx="493">
                  <c:v>2015-04-07</c:v>
                </c:pt>
                <c:pt idx="494">
                  <c:v>2015-04-08</c:v>
                </c:pt>
                <c:pt idx="495">
                  <c:v>2015-04-09</c:v>
                </c:pt>
                <c:pt idx="496">
                  <c:v>2015-04-10</c:v>
                </c:pt>
                <c:pt idx="497">
                  <c:v>2015-04-13</c:v>
                </c:pt>
                <c:pt idx="498">
                  <c:v>2015-04-14</c:v>
                </c:pt>
                <c:pt idx="499">
                  <c:v>2015-04-15</c:v>
                </c:pt>
                <c:pt idx="500">
                  <c:v>2015-04-16</c:v>
                </c:pt>
                <c:pt idx="501">
                  <c:v>2015-04-17</c:v>
                </c:pt>
                <c:pt idx="502">
                  <c:v>2015-04-20</c:v>
                </c:pt>
                <c:pt idx="503">
                  <c:v>2015-04-21</c:v>
                </c:pt>
                <c:pt idx="504">
                  <c:v>2015-04-22</c:v>
                </c:pt>
                <c:pt idx="505">
                  <c:v>2015-04-23</c:v>
                </c:pt>
                <c:pt idx="506">
                  <c:v>2015-04-24</c:v>
                </c:pt>
                <c:pt idx="507">
                  <c:v>2015-04-27</c:v>
                </c:pt>
                <c:pt idx="508">
                  <c:v>2015-04-28</c:v>
                </c:pt>
                <c:pt idx="509">
                  <c:v>2015-04-29</c:v>
                </c:pt>
                <c:pt idx="510">
                  <c:v>2015-04-30</c:v>
                </c:pt>
                <c:pt idx="511">
                  <c:v>2015-05-04</c:v>
                </c:pt>
                <c:pt idx="512">
                  <c:v>2015-05-05</c:v>
                </c:pt>
                <c:pt idx="513">
                  <c:v>2015-05-06</c:v>
                </c:pt>
                <c:pt idx="514">
                  <c:v>2015-05-07</c:v>
                </c:pt>
                <c:pt idx="515">
                  <c:v>2015-05-08</c:v>
                </c:pt>
                <c:pt idx="516">
                  <c:v>2015-05-11</c:v>
                </c:pt>
                <c:pt idx="517">
                  <c:v>2015-05-12</c:v>
                </c:pt>
                <c:pt idx="518">
                  <c:v>2015-05-13</c:v>
                </c:pt>
                <c:pt idx="519">
                  <c:v>2015-05-14</c:v>
                </c:pt>
                <c:pt idx="520">
                  <c:v>2015-05-15</c:v>
                </c:pt>
                <c:pt idx="521">
                  <c:v>2015-05-18</c:v>
                </c:pt>
                <c:pt idx="522">
                  <c:v>2015-05-19</c:v>
                </c:pt>
                <c:pt idx="523">
                  <c:v>2015-05-20</c:v>
                </c:pt>
                <c:pt idx="524">
                  <c:v>2015-05-21</c:v>
                </c:pt>
                <c:pt idx="525">
                  <c:v>2015-05-22</c:v>
                </c:pt>
                <c:pt idx="526">
                  <c:v>2015-05-25</c:v>
                </c:pt>
                <c:pt idx="527">
                  <c:v>2015-05-26</c:v>
                </c:pt>
                <c:pt idx="528">
                  <c:v>2015-05-27</c:v>
                </c:pt>
                <c:pt idx="529">
                  <c:v>2015-05-28</c:v>
                </c:pt>
                <c:pt idx="530">
                  <c:v>2015-05-29</c:v>
                </c:pt>
                <c:pt idx="531">
                  <c:v>2015-06-01</c:v>
                </c:pt>
                <c:pt idx="532">
                  <c:v>2015-06-02</c:v>
                </c:pt>
                <c:pt idx="533">
                  <c:v>2015-06-03</c:v>
                </c:pt>
                <c:pt idx="534">
                  <c:v>2015-06-04</c:v>
                </c:pt>
                <c:pt idx="535">
                  <c:v>2015-06-05</c:v>
                </c:pt>
                <c:pt idx="536">
                  <c:v>2015-06-08</c:v>
                </c:pt>
                <c:pt idx="537">
                  <c:v>2015-06-09</c:v>
                </c:pt>
                <c:pt idx="538">
                  <c:v>2015-06-10</c:v>
                </c:pt>
                <c:pt idx="539">
                  <c:v>2015-06-11</c:v>
                </c:pt>
                <c:pt idx="540">
                  <c:v>2015-06-12</c:v>
                </c:pt>
                <c:pt idx="541">
                  <c:v>2015-06-15</c:v>
                </c:pt>
                <c:pt idx="542">
                  <c:v>2015-06-16</c:v>
                </c:pt>
                <c:pt idx="543">
                  <c:v>2015-06-17</c:v>
                </c:pt>
                <c:pt idx="544">
                  <c:v>2015-06-18</c:v>
                </c:pt>
                <c:pt idx="545">
                  <c:v>2015-06-19</c:v>
                </c:pt>
                <c:pt idx="546">
                  <c:v>2015-06-23</c:v>
                </c:pt>
                <c:pt idx="547">
                  <c:v>2015-06-24</c:v>
                </c:pt>
                <c:pt idx="548">
                  <c:v>2015-06-25</c:v>
                </c:pt>
                <c:pt idx="549">
                  <c:v>2015-06-26</c:v>
                </c:pt>
                <c:pt idx="550">
                  <c:v>2015-06-29</c:v>
                </c:pt>
                <c:pt idx="551">
                  <c:v>2015-06-30</c:v>
                </c:pt>
                <c:pt idx="552">
                  <c:v>2015-07-01</c:v>
                </c:pt>
                <c:pt idx="553">
                  <c:v>2015-07-02</c:v>
                </c:pt>
                <c:pt idx="554">
                  <c:v>2015-07-03</c:v>
                </c:pt>
                <c:pt idx="555">
                  <c:v>2015-07-06</c:v>
                </c:pt>
                <c:pt idx="556">
                  <c:v>2015-07-07</c:v>
                </c:pt>
                <c:pt idx="557">
                  <c:v>2015-07-08</c:v>
                </c:pt>
                <c:pt idx="558">
                  <c:v>2015-07-09</c:v>
                </c:pt>
                <c:pt idx="559">
                  <c:v>2015-07-10</c:v>
                </c:pt>
                <c:pt idx="560">
                  <c:v>2015-07-13</c:v>
                </c:pt>
                <c:pt idx="561">
                  <c:v>2015-07-14</c:v>
                </c:pt>
                <c:pt idx="562">
                  <c:v>2015-07-15</c:v>
                </c:pt>
                <c:pt idx="563">
                  <c:v>2015-07-16</c:v>
                </c:pt>
                <c:pt idx="564">
                  <c:v>2015-07-17</c:v>
                </c:pt>
                <c:pt idx="565">
                  <c:v>2015-07-20</c:v>
                </c:pt>
                <c:pt idx="566">
                  <c:v>2015-07-21</c:v>
                </c:pt>
                <c:pt idx="567">
                  <c:v>2015-07-22</c:v>
                </c:pt>
                <c:pt idx="568">
                  <c:v>2015-07-23</c:v>
                </c:pt>
                <c:pt idx="569">
                  <c:v>2015-07-24</c:v>
                </c:pt>
                <c:pt idx="570">
                  <c:v>2015-07-27</c:v>
                </c:pt>
                <c:pt idx="571">
                  <c:v>2015-07-28</c:v>
                </c:pt>
                <c:pt idx="572">
                  <c:v>2015-07-29</c:v>
                </c:pt>
                <c:pt idx="573">
                  <c:v>2015-07-30</c:v>
                </c:pt>
                <c:pt idx="574">
                  <c:v>2015-07-31</c:v>
                </c:pt>
                <c:pt idx="575">
                  <c:v>2015-08-03</c:v>
                </c:pt>
                <c:pt idx="576">
                  <c:v>2015-08-04</c:v>
                </c:pt>
                <c:pt idx="577">
                  <c:v>2015-08-05</c:v>
                </c:pt>
                <c:pt idx="578">
                  <c:v>2015-08-06</c:v>
                </c:pt>
                <c:pt idx="579">
                  <c:v>2015-08-07</c:v>
                </c:pt>
                <c:pt idx="580">
                  <c:v>2015-08-10</c:v>
                </c:pt>
                <c:pt idx="581">
                  <c:v>2015-08-11</c:v>
                </c:pt>
                <c:pt idx="582">
                  <c:v>2015-08-12</c:v>
                </c:pt>
                <c:pt idx="583">
                  <c:v>2015-08-13</c:v>
                </c:pt>
                <c:pt idx="584">
                  <c:v>2015-08-14</c:v>
                </c:pt>
                <c:pt idx="585">
                  <c:v>2015-08-17</c:v>
                </c:pt>
                <c:pt idx="586">
                  <c:v>2015-08-18</c:v>
                </c:pt>
                <c:pt idx="587">
                  <c:v>2015-08-19</c:v>
                </c:pt>
                <c:pt idx="588">
                  <c:v>2015-08-20</c:v>
                </c:pt>
                <c:pt idx="589">
                  <c:v>2015-08-21</c:v>
                </c:pt>
                <c:pt idx="590">
                  <c:v>2015-08-24</c:v>
                </c:pt>
                <c:pt idx="591">
                  <c:v>2015-08-25</c:v>
                </c:pt>
                <c:pt idx="592">
                  <c:v>2015-08-26</c:v>
                </c:pt>
                <c:pt idx="593">
                  <c:v>2015-08-27</c:v>
                </c:pt>
                <c:pt idx="594">
                  <c:v>2015-08-28</c:v>
                </c:pt>
                <c:pt idx="595">
                  <c:v>2015-08-31</c:v>
                </c:pt>
                <c:pt idx="596">
                  <c:v>2015-09-01</c:v>
                </c:pt>
                <c:pt idx="597">
                  <c:v>2015-09-02</c:v>
                </c:pt>
                <c:pt idx="598">
                  <c:v>2015-09-07</c:v>
                </c:pt>
                <c:pt idx="599">
                  <c:v>2015-09-08</c:v>
                </c:pt>
                <c:pt idx="600">
                  <c:v>2015-09-09</c:v>
                </c:pt>
                <c:pt idx="601">
                  <c:v>2015-09-10</c:v>
                </c:pt>
                <c:pt idx="602">
                  <c:v>2015-09-11</c:v>
                </c:pt>
                <c:pt idx="603">
                  <c:v>2015-09-14</c:v>
                </c:pt>
                <c:pt idx="604">
                  <c:v>2015-09-15</c:v>
                </c:pt>
                <c:pt idx="605">
                  <c:v>2015-09-16</c:v>
                </c:pt>
                <c:pt idx="606">
                  <c:v>2015-09-17</c:v>
                </c:pt>
                <c:pt idx="607">
                  <c:v>2015-09-18</c:v>
                </c:pt>
                <c:pt idx="608">
                  <c:v>2015-09-21</c:v>
                </c:pt>
                <c:pt idx="609">
                  <c:v>2015-09-22</c:v>
                </c:pt>
                <c:pt idx="610">
                  <c:v>2015-09-23</c:v>
                </c:pt>
                <c:pt idx="611">
                  <c:v>2015-09-24</c:v>
                </c:pt>
                <c:pt idx="612">
                  <c:v>2015-09-25</c:v>
                </c:pt>
                <c:pt idx="613">
                  <c:v>2015-09-28</c:v>
                </c:pt>
                <c:pt idx="614">
                  <c:v>2015-09-29</c:v>
                </c:pt>
                <c:pt idx="615">
                  <c:v>2015-09-30</c:v>
                </c:pt>
                <c:pt idx="616">
                  <c:v>2015-10-08</c:v>
                </c:pt>
                <c:pt idx="617">
                  <c:v>2015-10-09</c:v>
                </c:pt>
                <c:pt idx="618">
                  <c:v>2015-10-12</c:v>
                </c:pt>
                <c:pt idx="619">
                  <c:v>2015-10-13</c:v>
                </c:pt>
                <c:pt idx="620">
                  <c:v>2015-10-14</c:v>
                </c:pt>
                <c:pt idx="621">
                  <c:v>2015-10-15</c:v>
                </c:pt>
                <c:pt idx="622">
                  <c:v>2015-10-16</c:v>
                </c:pt>
                <c:pt idx="623">
                  <c:v>2015-10-19</c:v>
                </c:pt>
                <c:pt idx="624">
                  <c:v>2015-10-20</c:v>
                </c:pt>
                <c:pt idx="625">
                  <c:v>2015-10-21</c:v>
                </c:pt>
                <c:pt idx="626">
                  <c:v>2015-10-22</c:v>
                </c:pt>
                <c:pt idx="627">
                  <c:v>2015-10-23</c:v>
                </c:pt>
                <c:pt idx="628">
                  <c:v>2015-10-26</c:v>
                </c:pt>
                <c:pt idx="629">
                  <c:v>2015-10-27</c:v>
                </c:pt>
                <c:pt idx="630">
                  <c:v>2015-10-28</c:v>
                </c:pt>
                <c:pt idx="631">
                  <c:v>2015-10-29</c:v>
                </c:pt>
                <c:pt idx="632">
                  <c:v>2015-10-30</c:v>
                </c:pt>
                <c:pt idx="633">
                  <c:v>2015-11-02</c:v>
                </c:pt>
                <c:pt idx="634">
                  <c:v>2015-11-03</c:v>
                </c:pt>
                <c:pt idx="635">
                  <c:v>2015-11-04</c:v>
                </c:pt>
                <c:pt idx="636">
                  <c:v>2015-11-05</c:v>
                </c:pt>
                <c:pt idx="637">
                  <c:v>2015-11-06</c:v>
                </c:pt>
                <c:pt idx="638">
                  <c:v>2015-11-09</c:v>
                </c:pt>
                <c:pt idx="639">
                  <c:v>2015-11-10</c:v>
                </c:pt>
                <c:pt idx="640">
                  <c:v>2015-11-11</c:v>
                </c:pt>
                <c:pt idx="641">
                  <c:v>2015-11-12</c:v>
                </c:pt>
                <c:pt idx="642">
                  <c:v>2015-11-13</c:v>
                </c:pt>
                <c:pt idx="643">
                  <c:v>2015-11-16</c:v>
                </c:pt>
                <c:pt idx="644">
                  <c:v>2015-11-17</c:v>
                </c:pt>
                <c:pt idx="645">
                  <c:v>2015-11-18</c:v>
                </c:pt>
                <c:pt idx="646">
                  <c:v>2015-11-19</c:v>
                </c:pt>
                <c:pt idx="647">
                  <c:v>2015-11-20</c:v>
                </c:pt>
                <c:pt idx="648">
                  <c:v>2015-11-23</c:v>
                </c:pt>
                <c:pt idx="649">
                  <c:v>2015-11-24</c:v>
                </c:pt>
                <c:pt idx="650">
                  <c:v>2015-11-25</c:v>
                </c:pt>
                <c:pt idx="651">
                  <c:v>2015-11-26</c:v>
                </c:pt>
                <c:pt idx="652">
                  <c:v>2015-11-27</c:v>
                </c:pt>
                <c:pt idx="653">
                  <c:v>2015-11-30</c:v>
                </c:pt>
                <c:pt idx="654">
                  <c:v>2015-12-01</c:v>
                </c:pt>
                <c:pt idx="655">
                  <c:v>2015-12-02</c:v>
                </c:pt>
                <c:pt idx="656">
                  <c:v>2015-12-03</c:v>
                </c:pt>
                <c:pt idx="657">
                  <c:v>2015-12-04</c:v>
                </c:pt>
                <c:pt idx="658">
                  <c:v>2015-12-07</c:v>
                </c:pt>
                <c:pt idx="659">
                  <c:v>2015-12-08</c:v>
                </c:pt>
                <c:pt idx="660">
                  <c:v>2015-12-09</c:v>
                </c:pt>
                <c:pt idx="661">
                  <c:v>2015-12-10</c:v>
                </c:pt>
                <c:pt idx="662">
                  <c:v>2015-12-11</c:v>
                </c:pt>
                <c:pt idx="663">
                  <c:v>2015-12-14</c:v>
                </c:pt>
                <c:pt idx="664">
                  <c:v>2015-12-15</c:v>
                </c:pt>
                <c:pt idx="665">
                  <c:v>2015-12-16</c:v>
                </c:pt>
                <c:pt idx="666">
                  <c:v>2015-12-17</c:v>
                </c:pt>
                <c:pt idx="667">
                  <c:v>2015-12-18</c:v>
                </c:pt>
                <c:pt idx="668">
                  <c:v>2015-12-21</c:v>
                </c:pt>
                <c:pt idx="669">
                  <c:v>2015-12-22</c:v>
                </c:pt>
                <c:pt idx="670">
                  <c:v>2015-12-23</c:v>
                </c:pt>
                <c:pt idx="671">
                  <c:v>2015-12-24</c:v>
                </c:pt>
                <c:pt idx="672">
                  <c:v>2015-12-25</c:v>
                </c:pt>
                <c:pt idx="673">
                  <c:v>2015-12-28</c:v>
                </c:pt>
                <c:pt idx="674">
                  <c:v>2015-12-29</c:v>
                </c:pt>
                <c:pt idx="675">
                  <c:v>2015-12-30</c:v>
                </c:pt>
                <c:pt idx="676">
                  <c:v>2015-12-31</c:v>
                </c:pt>
                <c:pt idx="677">
                  <c:v>2016-01-04</c:v>
                </c:pt>
                <c:pt idx="678">
                  <c:v>2016-01-05</c:v>
                </c:pt>
                <c:pt idx="679">
                  <c:v>2016-01-06</c:v>
                </c:pt>
                <c:pt idx="680">
                  <c:v>2016-01-07</c:v>
                </c:pt>
                <c:pt idx="681">
                  <c:v>2016-01-08</c:v>
                </c:pt>
                <c:pt idx="682">
                  <c:v>2016-01-11</c:v>
                </c:pt>
                <c:pt idx="683">
                  <c:v>2016-01-12</c:v>
                </c:pt>
                <c:pt idx="684">
                  <c:v>2016-01-13</c:v>
                </c:pt>
                <c:pt idx="685">
                  <c:v>2016-01-14</c:v>
                </c:pt>
                <c:pt idx="686">
                  <c:v>2016-01-15</c:v>
                </c:pt>
                <c:pt idx="687">
                  <c:v>2016-01-18</c:v>
                </c:pt>
                <c:pt idx="688">
                  <c:v>2016-01-19</c:v>
                </c:pt>
                <c:pt idx="689">
                  <c:v>2016-01-20</c:v>
                </c:pt>
                <c:pt idx="690">
                  <c:v>2016-01-21</c:v>
                </c:pt>
                <c:pt idx="691">
                  <c:v>2016-01-22</c:v>
                </c:pt>
                <c:pt idx="692">
                  <c:v>2016-01-25</c:v>
                </c:pt>
                <c:pt idx="693">
                  <c:v>2016-01-26</c:v>
                </c:pt>
                <c:pt idx="694">
                  <c:v>2016-01-27</c:v>
                </c:pt>
                <c:pt idx="695">
                  <c:v>2016-01-28</c:v>
                </c:pt>
                <c:pt idx="696">
                  <c:v>2016-01-29</c:v>
                </c:pt>
                <c:pt idx="697">
                  <c:v>2016-02-01</c:v>
                </c:pt>
                <c:pt idx="698">
                  <c:v>2016-02-02</c:v>
                </c:pt>
                <c:pt idx="699">
                  <c:v>2016-02-03</c:v>
                </c:pt>
                <c:pt idx="700">
                  <c:v>2016-02-04</c:v>
                </c:pt>
                <c:pt idx="701">
                  <c:v>2016-02-05</c:v>
                </c:pt>
                <c:pt idx="702">
                  <c:v>2016-02-15</c:v>
                </c:pt>
                <c:pt idx="703">
                  <c:v>2016-02-16</c:v>
                </c:pt>
                <c:pt idx="704">
                  <c:v>2016-02-17</c:v>
                </c:pt>
                <c:pt idx="705">
                  <c:v>2016-02-18</c:v>
                </c:pt>
                <c:pt idx="706">
                  <c:v>2016-02-19</c:v>
                </c:pt>
                <c:pt idx="707">
                  <c:v>2016-02-22</c:v>
                </c:pt>
                <c:pt idx="708">
                  <c:v>2016-02-23</c:v>
                </c:pt>
                <c:pt idx="709">
                  <c:v>2016-02-24</c:v>
                </c:pt>
                <c:pt idx="710">
                  <c:v>2016-02-25</c:v>
                </c:pt>
                <c:pt idx="711">
                  <c:v>2016-02-26</c:v>
                </c:pt>
                <c:pt idx="712">
                  <c:v>2016-02-29</c:v>
                </c:pt>
                <c:pt idx="713">
                  <c:v>2016-03-01</c:v>
                </c:pt>
                <c:pt idx="714">
                  <c:v>2016-03-02</c:v>
                </c:pt>
                <c:pt idx="715">
                  <c:v>2016-03-03</c:v>
                </c:pt>
                <c:pt idx="716">
                  <c:v>2016-03-04</c:v>
                </c:pt>
                <c:pt idx="717">
                  <c:v>2016-03-07</c:v>
                </c:pt>
                <c:pt idx="718">
                  <c:v>2016-03-08</c:v>
                </c:pt>
                <c:pt idx="719">
                  <c:v>2016-03-09</c:v>
                </c:pt>
                <c:pt idx="720">
                  <c:v>2016-03-10</c:v>
                </c:pt>
                <c:pt idx="721">
                  <c:v>2016-03-11</c:v>
                </c:pt>
                <c:pt idx="722">
                  <c:v>2016-03-14</c:v>
                </c:pt>
                <c:pt idx="723">
                  <c:v>2016-03-15</c:v>
                </c:pt>
                <c:pt idx="724">
                  <c:v>2016-03-16</c:v>
                </c:pt>
                <c:pt idx="725">
                  <c:v>2016-03-17</c:v>
                </c:pt>
                <c:pt idx="726">
                  <c:v>2016-03-18</c:v>
                </c:pt>
                <c:pt idx="727">
                  <c:v>2016-03-21</c:v>
                </c:pt>
                <c:pt idx="728">
                  <c:v>2016-03-22</c:v>
                </c:pt>
                <c:pt idx="729">
                  <c:v>2016-03-23</c:v>
                </c:pt>
                <c:pt idx="730">
                  <c:v>2016-03-24</c:v>
                </c:pt>
                <c:pt idx="731">
                  <c:v>2016-03-25</c:v>
                </c:pt>
                <c:pt idx="732">
                  <c:v>2016-03-28</c:v>
                </c:pt>
                <c:pt idx="733">
                  <c:v>2016-03-29</c:v>
                </c:pt>
                <c:pt idx="734">
                  <c:v>2016-03-30</c:v>
                </c:pt>
                <c:pt idx="735">
                  <c:v>2016-03-31</c:v>
                </c:pt>
                <c:pt idx="736">
                  <c:v>2016-04-01</c:v>
                </c:pt>
                <c:pt idx="737">
                  <c:v>2016-04-05</c:v>
                </c:pt>
                <c:pt idx="738">
                  <c:v>2016-04-06</c:v>
                </c:pt>
                <c:pt idx="739">
                  <c:v>2016-04-07</c:v>
                </c:pt>
                <c:pt idx="740">
                  <c:v>2016-04-08</c:v>
                </c:pt>
                <c:pt idx="741">
                  <c:v>2016-04-11</c:v>
                </c:pt>
                <c:pt idx="742">
                  <c:v>2016-04-12</c:v>
                </c:pt>
                <c:pt idx="743">
                  <c:v>2016-04-13</c:v>
                </c:pt>
                <c:pt idx="744">
                  <c:v>2016-04-14</c:v>
                </c:pt>
                <c:pt idx="745">
                  <c:v>2016-04-15</c:v>
                </c:pt>
                <c:pt idx="746">
                  <c:v>2016-04-18</c:v>
                </c:pt>
                <c:pt idx="747">
                  <c:v>2016-04-19</c:v>
                </c:pt>
                <c:pt idx="748">
                  <c:v>2016-04-20</c:v>
                </c:pt>
                <c:pt idx="749">
                  <c:v>2016-04-21</c:v>
                </c:pt>
                <c:pt idx="750">
                  <c:v>2016-04-22</c:v>
                </c:pt>
                <c:pt idx="751">
                  <c:v>2016-04-25</c:v>
                </c:pt>
                <c:pt idx="752">
                  <c:v>2016-04-26</c:v>
                </c:pt>
                <c:pt idx="753">
                  <c:v>2016-04-27</c:v>
                </c:pt>
                <c:pt idx="754">
                  <c:v>2016-04-28</c:v>
                </c:pt>
                <c:pt idx="755">
                  <c:v>2016-04-29</c:v>
                </c:pt>
                <c:pt idx="756">
                  <c:v>2016-05-03</c:v>
                </c:pt>
                <c:pt idx="757">
                  <c:v>2016-05-04</c:v>
                </c:pt>
                <c:pt idx="758">
                  <c:v>2016-05-05</c:v>
                </c:pt>
                <c:pt idx="759">
                  <c:v>2016-05-06</c:v>
                </c:pt>
                <c:pt idx="760">
                  <c:v>2016-05-09</c:v>
                </c:pt>
                <c:pt idx="761">
                  <c:v>2016-05-10</c:v>
                </c:pt>
                <c:pt idx="762">
                  <c:v>2016-05-11</c:v>
                </c:pt>
                <c:pt idx="763">
                  <c:v>2016-05-12</c:v>
                </c:pt>
                <c:pt idx="764">
                  <c:v>2016-05-13</c:v>
                </c:pt>
                <c:pt idx="765">
                  <c:v>2016-05-16</c:v>
                </c:pt>
                <c:pt idx="766">
                  <c:v>2016-05-17</c:v>
                </c:pt>
                <c:pt idx="767">
                  <c:v>2016-05-18</c:v>
                </c:pt>
                <c:pt idx="768">
                  <c:v>2016-05-19</c:v>
                </c:pt>
                <c:pt idx="769">
                  <c:v>2016-05-20</c:v>
                </c:pt>
                <c:pt idx="770">
                  <c:v>2016-05-23</c:v>
                </c:pt>
                <c:pt idx="771">
                  <c:v>2016-05-24</c:v>
                </c:pt>
                <c:pt idx="772">
                  <c:v>2016-05-25</c:v>
                </c:pt>
                <c:pt idx="773">
                  <c:v>2016-05-26</c:v>
                </c:pt>
                <c:pt idx="774">
                  <c:v>2016-05-27</c:v>
                </c:pt>
                <c:pt idx="775">
                  <c:v>2016-05-30</c:v>
                </c:pt>
                <c:pt idx="776">
                  <c:v>2016-05-31</c:v>
                </c:pt>
                <c:pt idx="777">
                  <c:v>2016-06-01</c:v>
                </c:pt>
                <c:pt idx="778">
                  <c:v>2016-06-02</c:v>
                </c:pt>
                <c:pt idx="779">
                  <c:v>2016-06-03</c:v>
                </c:pt>
                <c:pt idx="780">
                  <c:v>2016-06-06</c:v>
                </c:pt>
                <c:pt idx="781">
                  <c:v>2016-06-07</c:v>
                </c:pt>
                <c:pt idx="782">
                  <c:v>2016-06-08</c:v>
                </c:pt>
                <c:pt idx="783">
                  <c:v>2016-06-13</c:v>
                </c:pt>
                <c:pt idx="784">
                  <c:v>2016-06-14</c:v>
                </c:pt>
                <c:pt idx="785">
                  <c:v>2016-06-15</c:v>
                </c:pt>
                <c:pt idx="786">
                  <c:v>2016-06-16</c:v>
                </c:pt>
                <c:pt idx="787">
                  <c:v>2016-06-17</c:v>
                </c:pt>
                <c:pt idx="788">
                  <c:v>2016-06-20</c:v>
                </c:pt>
                <c:pt idx="789">
                  <c:v>2016-06-21</c:v>
                </c:pt>
                <c:pt idx="790">
                  <c:v>2016-06-22</c:v>
                </c:pt>
                <c:pt idx="791">
                  <c:v>2016-06-23</c:v>
                </c:pt>
                <c:pt idx="792">
                  <c:v>2016-06-24</c:v>
                </c:pt>
                <c:pt idx="793">
                  <c:v>2016-06-27</c:v>
                </c:pt>
                <c:pt idx="794">
                  <c:v>2016-06-28</c:v>
                </c:pt>
                <c:pt idx="795">
                  <c:v>2016-06-29</c:v>
                </c:pt>
                <c:pt idx="796">
                  <c:v>2016-06-30</c:v>
                </c:pt>
                <c:pt idx="797">
                  <c:v>2016-07-01</c:v>
                </c:pt>
                <c:pt idx="798">
                  <c:v>2016-07-04</c:v>
                </c:pt>
                <c:pt idx="799">
                  <c:v>2016-07-05</c:v>
                </c:pt>
                <c:pt idx="800">
                  <c:v>2016-07-06</c:v>
                </c:pt>
                <c:pt idx="801">
                  <c:v>2016-07-07</c:v>
                </c:pt>
                <c:pt idx="802">
                  <c:v>2016-07-08</c:v>
                </c:pt>
                <c:pt idx="803">
                  <c:v>2016-07-11</c:v>
                </c:pt>
                <c:pt idx="804">
                  <c:v>2016-07-12</c:v>
                </c:pt>
                <c:pt idx="805">
                  <c:v>2016-07-13</c:v>
                </c:pt>
                <c:pt idx="806">
                  <c:v>2016-07-14</c:v>
                </c:pt>
                <c:pt idx="807">
                  <c:v>2016-07-15</c:v>
                </c:pt>
                <c:pt idx="808">
                  <c:v>2016-07-18</c:v>
                </c:pt>
                <c:pt idx="809">
                  <c:v>2016-07-19</c:v>
                </c:pt>
                <c:pt idx="810">
                  <c:v>2016-07-20</c:v>
                </c:pt>
                <c:pt idx="811">
                  <c:v>2016-07-21</c:v>
                </c:pt>
                <c:pt idx="812">
                  <c:v>2016-07-22</c:v>
                </c:pt>
                <c:pt idx="813">
                  <c:v>2016-07-25</c:v>
                </c:pt>
                <c:pt idx="814">
                  <c:v>2016-07-26</c:v>
                </c:pt>
                <c:pt idx="815">
                  <c:v>2016-07-27</c:v>
                </c:pt>
                <c:pt idx="816">
                  <c:v>2016-07-28</c:v>
                </c:pt>
                <c:pt idx="817">
                  <c:v>2016-07-29</c:v>
                </c:pt>
                <c:pt idx="818">
                  <c:v>2016-08-01</c:v>
                </c:pt>
                <c:pt idx="819">
                  <c:v>2016-08-02</c:v>
                </c:pt>
                <c:pt idx="820">
                  <c:v>2016-08-03</c:v>
                </c:pt>
                <c:pt idx="821">
                  <c:v>2016-08-04</c:v>
                </c:pt>
                <c:pt idx="822">
                  <c:v>2016-08-05</c:v>
                </c:pt>
                <c:pt idx="823">
                  <c:v>2016-08-08</c:v>
                </c:pt>
                <c:pt idx="824">
                  <c:v>2016-08-09</c:v>
                </c:pt>
                <c:pt idx="825">
                  <c:v>2016-08-10</c:v>
                </c:pt>
                <c:pt idx="826">
                  <c:v>2016-08-11</c:v>
                </c:pt>
                <c:pt idx="827">
                  <c:v>2016-08-12</c:v>
                </c:pt>
                <c:pt idx="828">
                  <c:v>2016-08-15</c:v>
                </c:pt>
                <c:pt idx="829">
                  <c:v>2016-08-16</c:v>
                </c:pt>
                <c:pt idx="830">
                  <c:v>2016-08-17</c:v>
                </c:pt>
                <c:pt idx="831">
                  <c:v>2016-08-18</c:v>
                </c:pt>
                <c:pt idx="832">
                  <c:v>2016-08-19</c:v>
                </c:pt>
                <c:pt idx="833">
                  <c:v>2016-08-22</c:v>
                </c:pt>
                <c:pt idx="834">
                  <c:v>2016-08-23</c:v>
                </c:pt>
                <c:pt idx="835">
                  <c:v>2016-08-24</c:v>
                </c:pt>
                <c:pt idx="836">
                  <c:v>2016-08-25</c:v>
                </c:pt>
                <c:pt idx="837">
                  <c:v>2016-08-26</c:v>
                </c:pt>
                <c:pt idx="838">
                  <c:v>2016-08-29</c:v>
                </c:pt>
                <c:pt idx="839">
                  <c:v>2016-08-30</c:v>
                </c:pt>
                <c:pt idx="840">
                  <c:v>2016-08-31</c:v>
                </c:pt>
                <c:pt idx="841">
                  <c:v>2016-09-01</c:v>
                </c:pt>
                <c:pt idx="842">
                  <c:v>2016-09-02</c:v>
                </c:pt>
                <c:pt idx="843">
                  <c:v>2016-09-05</c:v>
                </c:pt>
                <c:pt idx="844">
                  <c:v>2016-09-06</c:v>
                </c:pt>
                <c:pt idx="845">
                  <c:v>2016-09-07</c:v>
                </c:pt>
                <c:pt idx="846">
                  <c:v>2016-09-08</c:v>
                </c:pt>
                <c:pt idx="847">
                  <c:v>2016-09-09</c:v>
                </c:pt>
                <c:pt idx="848">
                  <c:v>2016-09-12</c:v>
                </c:pt>
                <c:pt idx="849">
                  <c:v>2016-09-13</c:v>
                </c:pt>
                <c:pt idx="850">
                  <c:v>2016-09-14</c:v>
                </c:pt>
                <c:pt idx="851">
                  <c:v>2016-09-19</c:v>
                </c:pt>
                <c:pt idx="852">
                  <c:v>2016-09-20</c:v>
                </c:pt>
                <c:pt idx="853">
                  <c:v>2016-09-21</c:v>
                </c:pt>
                <c:pt idx="854">
                  <c:v>2016-09-22</c:v>
                </c:pt>
                <c:pt idx="855">
                  <c:v>2016-09-23</c:v>
                </c:pt>
                <c:pt idx="856">
                  <c:v>2016-09-26</c:v>
                </c:pt>
                <c:pt idx="857">
                  <c:v>2016-09-27</c:v>
                </c:pt>
                <c:pt idx="858">
                  <c:v>2016-09-28</c:v>
                </c:pt>
                <c:pt idx="859">
                  <c:v>2016-09-29</c:v>
                </c:pt>
                <c:pt idx="860">
                  <c:v>2016-09-30</c:v>
                </c:pt>
                <c:pt idx="861">
                  <c:v>2016-10-10</c:v>
                </c:pt>
                <c:pt idx="862">
                  <c:v>2016-10-11</c:v>
                </c:pt>
                <c:pt idx="863">
                  <c:v>2016-10-12</c:v>
                </c:pt>
                <c:pt idx="864">
                  <c:v>2016-10-13</c:v>
                </c:pt>
                <c:pt idx="865">
                  <c:v>2016-10-14</c:v>
                </c:pt>
                <c:pt idx="866">
                  <c:v>2016-10-17</c:v>
                </c:pt>
                <c:pt idx="867">
                  <c:v>2016-10-18</c:v>
                </c:pt>
                <c:pt idx="868">
                  <c:v>2016-10-19</c:v>
                </c:pt>
                <c:pt idx="869">
                  <c:v>2016-10-20</c:v>
                </c:pt>
                <c:pt idx="870">
                  <c:v>2016-10-21</c:v>
                </c:pt>
                <c:pt idx="871">
                  <c:v>2016-10-24</c:v>
                </c:pt>
                <c:pt idx="872">
                  <c:v>2016-10-25</c:v>
                </c:pt>
                <c:pt idx="873">
                  <c:v>2016-10-26</c:v>
                </c:pt>
                <c:pt idx="874">
                  <c:v>2016-10-27</c:v>
                </c:pt>
                <c:pt idx="875">
                  <c:v>2016-10-28</c:v>
                </c:pt>
                <c:pt idx="876">
                  <c:v>2016-10-31</c:v>
                </c:pt>
                <c:pt idx="877">
                  <c:v>2016-11-01</c:v>
                </c:pt>
                <c:pt idx="878">
                  <c:v>2016-11-02</c:v>
                </c:pt>
                <c:pt idx="879">
                  <c:v>2016-11-03</c:v>
                </c:pt>
                <c:pt idx="880">
                  <c:v>2016-11-04</c:v>
                </c:pt>
                <c:pt idx="881">
                  <c:v>2016-11-07</c:v>
                </c:pt>
                <c:pt idx="882">
                  <c:v>2016-11-08</c:v>
                </c:pt>
                <c:pt idx="883">
                  <c:v>2016-11-09</c:v>
                </c:pt>
                <c:pt idx="884">
                  <c:v>2016-11-10</c:v>
                </c:pt>
                <c:pt idx="885">
                  <c:v>2016-11-11</c:v>
                </c:pt>
                <c:pt idx="886">
                  <c:v>2016-11-14</c:v>
                </c:pt>
                <c:pt idx="887">
                  <c:v>2016-11-15</c:v>
                </c:pt>
                <c:pt idx="888">
                  <c:v>2016-11-16</c:v>
                </c:pt>
                <c:pt idx="889">
                  <c:v>2016-11-17</c:v>
                </c:pt>
                <c:pt idx="890">
                  <c:v>2016-11-18</c:v>
                </c:pt>
                <c:pt idx="891">
                  <c:v>2016-11-21</c:v>
                </c:pt>
                <c:pt idx="892">
                  <c:v>2016-11-22</c:v>
                </c:pt>
                <c:pt idx="893">
                  <c:v>2016-11-23</c:v>
                </c:pt>
                <c:pt idx="894">
                  <c:v>2016-11-24</c:v>
                </c:pt>
                <c:pt idx="895">
                  <c:v>2016-11-25</c:v>
                </c:pt>
                <c:pt idx="896">
                  <c:v>2016-11-28</c:v>
                </c:pt>
                <c:pt idx="897">
                  <c:v>2016-11-29</c:v>
                </c:pt>
                <c:pt idx="898">
                  <c:v>2016-11-30</c:v>
                </c:pt>
                <c:pt idx="899">
                  <c:v>2016-12-01</c:v>
                </c:pt>
                <c:pt idx="900">
                  <c:v>2016-12-02</c:v>
                </c:pt>
                <c:pt idx="901">
                  <c:v>2016-12-05</c:v>
                </c:pt>
                <c:pt idx="902">
                  <c:v>2016-12-06</c:v>
                </c:pt>
                <c:pt idx="903">
                  <c:v>2016-12-07</c:v>
                </c:pt>
                <c:pt idx="904">
                  <c:v>2016-12-08</c:v>
                </c:pt>
                <c:pt idx="905">
                  <c:v>2016-12-09</c:v>
                </c:pt>
                <c:pt idx="906">
                  <c:v>2016-12-12</c:v>
                </c:pt>
                <c:pt idx="907">
                  <c:v>2016-12-13</c:v>
                </c:pt>
                <c:pt idx="908">
                  <c:v>2016-12-14</c:v>
                </c:pt>
                <c:pt idx="909">
                  <c:v>2016-12-15</c:v>
                </c:pt>
                <c:pt idx="910">
                  <c:v>2016-12-16</c:v>
                </c:pt>
                <c:pt idx="911">
                  <c:v>2016-12-19</c:v>
                </c:pt>
                <c:pt idx="912">
                  <c:v>2016-12-20</c:v>
                </c:pt>
                <c:pt idx="913">
                  <c:v>2016-12-21</c:v>
                </c:pt>
                <c:pt idx="914">
                  <c:v>2016-12-22</c:v>
                </c:pt>
                <c:pt idx="915">
                  <c:v>2016-12-23</c:v>
                </c:pt>
                <c:pt idx="916">
                  <c:v>2016-12-26</c:v>
                </c:pt>
                <c:pt idx="917">
                  <c:v>2016-12-27</c:v>
                </c:pt>
                <c:pt idx="918">
                  <c:v>2016-12-28</c:v>
                </c:pt>
                <c:pt idx="919">
                  <c:v>2016-12-29</c:v>
                </c:pt>
                <c:pt idx="920">
                  <c:v>2016-12-30</c:v>
                </c:pt>
                <c:pt idx="921">
                  <c:v>2017-01-03</c:v>
                </c:pt>
                <c:pt idx="922">
                  <c:v>2017-01-04</c:v>
                </c:pt>
                <c:pt idx="923">
                  <c:v>2017-01-05</c:v>
                </c:pt>
                <c:pt idx="924">
                  <c:v>2017-01-06</c:v>
                </c:pt>
                <c:pt idx="925">
                  <c:v>2017-01-09</c:v>
                </c:pt>
                <c:pt idx="926">
                  <c:v>2017-01-10</c:v>
                </c:pt>
                <c:pt idx="927">
                  <c:v>2017-01-11</c:v>
                </c:pt>
                <c:pt idx="928">
                  <c:v>2017-01-12</c:v>
                </c:pt>
                <c:pt idx="929">
                  <c:v>2017-01-13</c:v>
                </c:pt>
                <c:pt idx="930">
                  <c:v>2017-01-16</c:v>
                </c:pt>
                <c:pt idx="931">
                  <c:v>2017-01-17</c:v>
                </c:pt>
                <c:pt idx="932">
                  <c:v>2017-01-18</c:v>
                </c:pt>
                <c:pt idx="933">
                  <c:v>2017-01-19</c:v>
                </c:pt>
                <c:pt idx="934">
                  <c:v>2017-01-20</c:v>
                </c:pt>
                <c:pt idx="935">
                  <c:v>2017-01-23</c:v>
                </c:pt>
                <c:pt idx="936">
                  <c:v>2017-01-24</c:v>
                </c:pt>
                <c:pt idx="937">
                  <c:v>2017-01-25</c:v>
                </c:pt>
                <c:pt idx="938">
                  <c:v>2017-01-26</c:v>
                </c:pt>
                <c:pt idx="939">
                  <c:v>2017-02-03</c:v>
                </c:pt>
                <c:pt idx="940">
                  <c:v>2017-02-06</c:v>
                </c:pt>
                <c:pt idx="941">
                  <c:v>2017-02-07</c:v>
                </c:pt>
                <c:pt idx="942">
                  <c:v>2017-02-08</c:v>
                </c:pt>
                <c:pt idx="943">
                  <c:v>2017-02-09</c:v>
                </c:pt>
                <c:pt idx="944">
                  <c:v>2017-02-10</c:v>
                </c:pt>
                <c:pt idx="945">
                  <c:v>2017-02-13</c:v>
                </c:pt>
                <c:pt idx="946">
                  <c:v>2017-02-14</c:v>
                </c:pt>
                <c:pt idx="947">
                  <c:v>2017-02-15</c:v>
                </c:pt>
                <c:pt idx="948">
                  <c:v>2017-02-16</c:v>
                </c:pt>
                <c:pt idx="949">
                  <c:v>2017-02-17</c:v>
                </c:pt>
                <c:pt idx="950">
                  <c:v>2017-02-20</c:v>
                </c:pt>
                <c:pt idx="951">
                  <c:v>2017-02-21</c:v>
                </c:pt>
                <c:pt idx="952">
                  <c:v>2017-02-22</c:v>
                </c:pt>
                <c:pt idx="953">
                  <c:v>2017-02-23</c:v>
                </c:pt>
                <c:pt idx="954">
                  <c:v>2017-02-24</c:v>
                </c:pt>
                <c:pt idx="955">
                  <c:v>2017-02-27</c:v>
                </c:pt>
                <c:pt idx="956">
                  <c:v>2017-02-28</c:v>
                </c:pt>
                <c:pt idx="957">
                  <c:v>2017-03-01</c:v>
                </c:pt>
                <c:pt idx="958">
                  <c:v>2017-03-02</c:v>
                </c:pt>
                <c:pt idx="959">
                  <c:v>2017-03-03</c:v>
                </c:pt>
                <c:pt idx="960">
                  <c:v>2017-03-06</c:v>
                </c:pt>
                <c:pt idx="961">
                  <c:v>2017-03-07</c:v>
                </c:pt>
                <c:pt idx="962">
                  <c:v>2017-03-08</c:v>
                </c:pt>
                <c:pt idx="963">
                  <c:v>2017-03-09</c:v>
                </c:pt>
                <c:pt idx="964">
                  <c:v>2017-03-10</c:v>
                </c:pt>
                <c:pt idx="965">
                  <c:v>2017-03-13</c:v>
                </c:pt>
                <c:pt idx="966">
                  <c:v>2017-03-14</c:v>
                </c:pt>
                <c:pt idx="967">
                  <c:v>2017-03-15</c:v>
                </c:pt>
                <c:pt idx="968">
                  <c:v>2017-03-16</c:v>
                </c:pt>
                <c:pt idx="969">
                  <c:v>2017-03-17</c:v>
                </c:pt>
                <c:pt idx="970">
                  <c:v>2017-03-20</c:v>
                </c:pt>
                <c:pt idx="971">
                  <c:v>2017-03-21</c:v>
                </c:pt>
                <c:pt idx="972">
                  <c:v>2017-03-22</c:v>
                </c:pt>
                <c:pt idx="973">
                  <c:v>2017-03-23</c:v>
                </c:pt>
                <c:pt idx="974">
                  <c:v>2017-03-24</c:v>
                </c:pt>
                <c:pt idx="975">
                  <c:v>2017-03-27</c:v>
                </c:pt>
                <c:pt idx="976">
                  <c:v>2017-03-28</c:v>
                </c:pt>
                <c:pt idx="977">
                  <c:v>2017-03-29</c:v>
                </c:pt>
                <c:pt idx="978">
                  <c:v>2017-03-30</c:v>
                </c:pt>
                <c:pt idx="979">
                  <c:v>2017-03-31</c:v>
                </c:pt>
                <c:pt idx="980">
                  <c:v>2017-04-05</c:v>
                </c:pt>
                <c:pt idx="981">
                  <c:v>2017-04-06</c:v>
                </c:pt>
                <c:pt idx="982">
                  <c:v>2017-04-07</c:v>
                </c:pt>
                <c:pt idx="983">
                  <c:v>2017-04-10</c:v>
                </c:pt>
                <c:pt idx="984">
                  <c:v>2017-04-11</c:v>
                </c:pt>
                <c:pt idx="985">
                  <c:v>2017-04-12</c:v>
                </c:pt>
                <c:pt idx="986">
                  <c:v>2017-04-13</c:v>
                </c:pt>
                <c:pt idx="987">
                  <c:v>2017-04-14</c:v>
                </c:pt>
                <c:pt idx="988">
                  <c:v>2017-04-17</c:v>
                </c:pt>
                <c:pt idx="989">
                  <c:v>2017-04-18</c:v>
                </c:pt>
                <c:pt idx="990">
                  <c:v>2017-04-19</c:v>
                </c:pt>
                <c:pt idx="991">
                  <c:v>2017-04-20</c:v>
                </c:pt>
                <c:pt idx="992">
                  <c:v>2017-04-21</c:v>
                </c:pt>
                <c:pt idx="993">
                  <c:v>2017-04-24</c:v>
                </c:pt>
                <c:pt idx="994">
                  <c:v>2017-04-25</c:v>
                </c:pt>
                <c:pt idx="995">
                  <c:v>2017-04-26</c:v>
                </c:pt>
                <c:pt idx="996">
                  <c:v>2017-04-27</c:v>
                </c:pt>
                <c:pt idx="997">
                  <c:v>2017-04-28</c:v>
                </c:pt>
                <c:pt idx="998">
                  <c:v>2017-05-02</c:v>
                </c:pt>
                <c:pt idx="999">
                  <c:v>2017-05-03</c:v>
                </c:pt>
                <c:pt idx="1000">
                  <c:v>2017-05-04</c:v>
                </c:pt>
                <c:pt idx="1001">
                  <c:v>2017-05-05</c:v>
                </c:pt>
                <c:pt idx="1002">
                  <c:v>2017-05-08</c:v>
                </c:pt>
                <c:pt idx="1003">
                  <c:v>2017-05-09</c:v>
                </c:pt>
                <c:pt idx="1004">
                  <c:v>2017-05-10</c:v>
                </c:pt>
                <c:pt idx="1005">
                  <c:v>2017-05-11</c:v>
                </c:pt>
                <c:pt idx="1006">
                  <c:v>2017-05-12</c:v>
                </c:pt>
                <c:pt idx="1007">
                  <c:v>2017-05-15</c:v>
                </c:pt>
                <c:pt idx="1008">
                  <c:v>2017-05-16</c:v>
                </c:pt>
                <c:pt idx="1009">
                  <c:v>2017-05-17</c:v>
                </c:pt>
                <c:pt idx="1010">
                  <c:v>2017-05-18</c:v>
                </c:pt>
                <c:pt idx="1011">
                  <c:v>2017-05-19</c:v>
                </c:pt>
                <c:pt idx="1012">
                  <c:v>2017-05-22</c:v>
                </c:pt>
                <c:pt idx="1013">
                  <c:v>2017-05-23</c:v>
                </c:pt>
                <c:pt idx="1014">
                  <c:v>2017-05-24</c:v>
                </c:pt>
                <c:pt idx="1015">
                  <c:v>2017-05-25</c:v>
                </c:pt>
                <c:pt idx="1016">
                  <c:v>2017-05-26</c:v>
                </c:pt>
                <c:pt idx="1017">
                  <c:v>2017-05-31</c:v>
                </c:pt>
                <c:pt idx="1018">
                  <c:v>2017-06-01</c:v>
                </c:pt>
                <c:pt idx="1019">
                  <c:v>2017-06-02</c:v>
                </c:pt>
                <c:pt idx="1020">
                  <c:v>2017-06-05</c:v>
                </c:pt>
                <c:pt idx="1021">
                  <c:v>2017-06-06</c:v>
                </c:pt>
                <c:pt idx="1022">
                  <c:v>2017-06-07</c:v>
                </c:pt>
                <c:pt idx="1023">
                  <c:v>2017-06-08</c:v>
                </c:pt>
                <c:pt idx="1024">
                  <c:v>2017-06-09</c:v>
                </c:pt>
                <c:pt idx="1025">
                  <c:v>2017-06-12</c:v>
                </c:pt>
                <c:pt idx="1026">
                  <c:v>2017-06-13</c:v>
                </c:pt>
                <c:pt idx="1027">
                  <c:v>2017-06-14</c:v>
                </c:pt>
                <c:pt idx="1028">
                  <c:v>2017-06-15</c:v>
                </c:pt>
                <c:pt idx="1029">
                  <c:v>2017-06-16</c:v>
                </c:pt>
                <c:pt idx="1030">
                  <c:v>2017-06-19</c:v>
                </c:pt>
                <c:pt idx="1031">
                  <c:v>2017-06-20</c:v>
                </c:pt>
                <c:pt idx="1032">
                  <c:v>2017-06-21</c:v>
                </c:pt>
                <c:pt idx="1033">
                  <c:v>2017-06-22</c:v>
                </c:pt>
                <c:pt idx="1034">
                  <c:v>2017-06-23</c:v>
                </c:pt>
                <c:pt idx="1035">
                  <c:v>2017-06-26</c:v>
                </c:pt>
                <c:pt idx="1036">
                  <c:v>2017-06-27</c:v>
                </c:pt>
                <c:pt idx="1037">
                  <c:v>2017-06-28</c:v>
                </c:pt>
                <c:pt idx="1038">
                  <c:v>2017-06-29</c:v>
                </c:pt>
                <c:pt idx="1039">
                  <c:v>2017-06-30</c:v>
                </c:pt>
                <c:pt idx="1040">
                  <c:v>2017-07-03</c:v>
                </c:pt>
                <c:pt idx="1041">
                  <c:v>2017-07-04</c:v>
                </c:pt>
                <c:pt idx="1042">
                  <c:v>2017-07-05</c:v>
                </c:pt>
                <c:pt idx="1043">
                  <c:v>2017-07-06</c:v>
                </c:pt>
                <c:pt idx="1044">
                  <c:v>2017-07-07</c:v>
                </c:pt>
                <c:pt idx="1045">
                  <c:v>2017-07-10</c:v>
                </c:pt>
                <c:pt idx="1046">
                  <c:v>2017-07-11</c:v>
                </c:pt>
                <c:pt idx="1047">
                  <c:v>2017-07-12</c:v>
                </c:pt>
                <c:pt idx="1048">
                  <c:v>2017-07-13</c:v>
                </c:pt>
                <c:pt idx="1049">
                  <c:v>2017-07-14</c:v>
                </c:pt>
                <c:pt idx="1050">
                  <c:v>2017-07-17</c:v>
                </c:pt>
                <c:pt idx="1051">
                  <c:v>2017-07-18</c:v>
                </c:pt>
                <c:pt idx="1052">
                  <c:v>2017-07-19</c:v>
                </c:pt>
                <c:pt idx="1053">
                  <c:v>2017-07-20</c:v>
                </c:pt>
                <c:pt idx="1054">
                  <c:v>2017-07-21</c:v>
                </c:pt>
                <c:pt idx="1055">
                  <c:v>2017-07-24</c:v>
                </c:pt>
                <c:pt idx="1056">
                  <c:v>2017-07-25</c:v>
                </c:pt>
                <c:pt idx="1057">
                  <c:v>2017-07-26</c:v>
                </c:pt>
                <c:pt idx="1058">
                  <c:v>2017-07-27</c:v>
                </c:pt>
                <c:pt idx="1059">
                  <c:v>2017-07-28</c:v>
                </c:pt>
                <c:pt idx="1060">
                  <c:v>2017-07-31</c:v>
                </c:pt>
                <c:pt idx="1061">
                  <c:v>2017-08-01</c:v>
                </c:pt>
                <c:pt idx="1062">
                  <c:v>2017-08-02</c:v>
                </c:pt>
                <c:pt idx="1063">
                  <c:v>2017-08-03</c:v>
                </c:pt>
                <c:pt idx="1064">
                  <c:v>2017-08-04</c:v>
                </c:pt>
                <c:pt idx="1065">
                  <c:v>2017-08-07</c:v>
                </c:pt>
                <c:pt idx="1066">
                  <c:v>2017-08-08</c:v>
                </c:pt>
                <c:pt idx="1067">
                  <c:v>2017-08-09</c:v>
                </c:pt>
                <c:pt idx="1068">
                  <c:v>2017-08-10</c:v>
                </c:pt>
                <c:pt idx="1069">
                  <c:v>2017-08-11</c:v>
                </c:pt>
                <c:pt idx="1070">
                  <c:v>2017-08-14</c:v>
                </c:pt>
                <c:pt idx="1071">
                  <c:v>2017-08-15</c:v>
                </c:pt>
                <c:pt idx="1072">
                  <c:v>2017-08-16</c:v>
                </c:pt>
                <c:pt idx="1073">
                  <c:v>2017-08-17</c:v>
                </c:pt>
                <c:pt idx="1074">
                  <c:v>2017-08-18</c:v>
                </c:pt>
                <c:pt idx="1075">
                  <c:v>2017-08-21</c:v>
                </c:pt>
                <c:pt idx="1076">
                  <c:v>2017-08-22</c:v>
                </c:pt>
                <c:pt idx="1077">
                  <c:v>2017-08-23</c:v>
                </c:pt>
                <c:pt idx="1078">
                  <c:v>2017-08-24</c:v>
                </c:pt>
                <c:pt idx="1079">
                  <c:v>2017-08-25</c:v>
                </c:pt>
                <c:pt idx="1080">
                  <c:v>2017-08-28</c:v>
                </c:pt>
                <c:pt idx="1081">
                  <c:v>2017-08-29</c:v>
                </c:pt>
                <c:pt idx="1082">
                  <c:v>2017-08-30</c:v>
                </c:pt>
                <c:pt idx="1083">
                  <c:v>2017-08-31</c:v>
                </c:pt>
                <c:pt idx="1084">
                  <c:v>2017-09-01</c:v>
                </c:pt>
                <c:pt idx="1085">
                  <c:v>2017-09-04</c:v>
                </c:pt>
                <c:pt idx="1086">
                  <c:v>2017-09-05</c:v>
                </c:pt>
                <c:pt idx="1087">
                  <c:v>2017-09-06</c:v>
                </c:pt>
                <c:pt idx="1088">
                  <c:v>2017-09-07</c:v>
                </c:pt>
                <c:pt idx="1089">
                  <c:v>2017-09-08</c:v>
                </c:pt>
                <c:pt idx="1090">
                  <c:v>2017-09-11</c:v>
                </c:pt>
                <c:pt idx="1091">
                  <c:v>2017-09-12</c:v>
                </c:pt>
                <c:pt idx="1092">
                  <c:v>2017-09-13</c:v>
                </c:pt>
                <c:pt idx="1093">
                  <c:v>2017-09-14</c:v>
                </c:pt>
                <c:pt idx="1094">
                  <c:v>2017-09-15</c:v>
                </c:pt>
                <c:pt idx="1095">
                  <c:v>2017-09-18</c:v>
                </c:pt>
                <c:pt idx="1096">
                  <c:v>2017-09-19</c:v>
                </c:pt>
                <c:pt idx="1097">
                  <c:v>2017-09-20</c:v>
                </c:pt>
                <c:pt idx="1098">
                  <c:v>2017-09-21</c:v>
                </c:pt>
                <c:pt idx="1099">
                  <c:v>2017-09-22</c:v>
                </c:pt>
                <c:pt idx="1100">
                  <c:v>2017-09-25</c:v>
                </c:pt>
                <c:pt idx="1101">
                  <c:v>2017-09-26</c:v>
                </c:pt>
                <c:pt idx="1102">
                  <c:v>2017-09-27</c:v>
                </c:pt>
                <c:pt idx="1103">
                  <c:v>2017-09-28</c:v>
                </c:pt>
                <c:pt idx="1104">
                  <c:v>2017-09-29</c:v>
                </c:pt>
                <c:pt idx="1105">
                  <c:v>2017-10-09</c:v>
                </c:pt>
                <c:pt idx="1106">
                  <c:v>2017-10-10</c:v>
                </c:pt>
                <c:pt idx="1107">
                  <c:v>2017-10-11</c:v>
                </c:pt>
                <c:pt idx="1108">
                  <c:v>2017-10-12</c:v>
                </c:pt>
                <c:pt idx="1109">
                  <c:v>2017-10-13</c:v>
                </c:pt>
                <c:pt idx="1110">
                  <c:v>2017-10-16</c:v>
                </c:pt>
                <c:pt idx="1111">
                  <c:v>2017-10-17</c:v>
                </c:pt>
                <c:pt idx="1112">
                  <c:v>2017-10-18</c:v>
                </c:pt>
                <c:pt idx="1113">
                  <c:v>2017-10-19</c:v>
                </c:pt>
                <c:pt idx="1114">
                  <c:v>2017-10-20</c:v>
                </c:pt>
                <c:pt idx="1115">
                  <c:v>2017-10-23</c:v>
                </c:pt>
                <c:pt idx="1116">
                  <c:v>2017-10-24</c:v>
                </c:pt>
                <c:pt idx="1117">
                  <c:v>2017-10-25</c:v>
                </c:pt>
                <c:pt idx="1118">
                  <c:v>2017-10-26</c:v>
                </c:pt>
                <c:pt idx="1119">
                  <c:v>2017-10-27</c:v>
                </c:pt>
                <c:pt idx="1120">
                  <c:v>2017-10-30</c:v>
                </c:pt>
                <c:pt idx="1121">
                  <c:v>2017-10-31</c:v>
                </c:pt>
                <c:pt idx="1122">
                  <c:v>2017-11-01</c:v>
                </c:pt>
                <c:pt idx="1123">
                  <c:v>2017-11-02</c:v>
                </c:pt>
                <c:pt idx="1124">
                  <c:v>2017-11-03</c:v>
                </c:pt>
                <c:pt idx="1125">
                  <c:v>2017-11-06</c:v>
                </c:pt>
                <c:pt idx="1126">
                  <c:v>2017-11-07</c:v>
                </c:pt>
                <c:pt idx="1127">
                  <c:v>2017-11-08</c:v>
                </c:pt>
                <c:pt idx="1128">
                  <c:v>2017-11-09</c:v>
                </c:pt>
                <c:pt idx="1129">
                  <c:v>2017-11-10</c:v>
                </c:pt>
                <c:pt idx="1130">
                  <c:v>2017-11-13</c:v>
                </c:pt>
                <c:pt idx="1131">
                  <c:v>2017-11-14</c:v>
                </c:pt>
                <c:pt idx="1132">
                  <c:v>2017-11-15</c:v>
                </c:pt>
                <c:pt idx="1133">
                  <c:v>2017-11-16</c:v>
                </c:pt>
                <c:pt idx="1134">
                  <c:v>2017-11-17</c:v>
                </c:pt>
                <c:pt idx="1135">
                  <c:v>2017-11-20</c:v>
                </c:pt>
                <c:pt idx="1136">
                  <c:v>2017-11-21</c:v>
                </c:pt>
                <c:pt idx="1137">
                  <c:v>2017-11-22</c:v>
                </c:pt>
                <c:pt idx="1138">
                  <c:v>2017-11-23</c:v>
                </c:pt>
                <c:pt idx="1139">
                  <c:v>2017-11-24</c:v>
                </c:pt>
                <c:pt idx="1140">
                  <c:v>2017-11-27</c:v>
                </c:pt>
                <c:pt idx="1141">
                  <c:v>2017-11-28</c:v>
                </c:pt>
                <c:pt idx="1142">
                  <c:v>2017-11-29</c:v>
                </c:pt>
                <c:pt idx="1143">
                  <c:v>2017-11-30</c:v>
                </c:pt>
                <c:pt idx="1144">
                  <c:v>2017-12-01</c:v>
                </c:pt>
                <c:pt idx="1145">
                  <c:v>2017-12-04</c:v>
                </c:pt>
                <c:pt idx="1146">
                  <c:v>2017-12-05</c:v>
                </c:pt>
                <c:pt idx="1147">
                  <c:v>2017-12-06</c:v>
                </c:pt>
                <c:pt idx="1148">
                  <c:v>2017-12-07</c:v>
                </c:pt>
                <c:pt idx="1149">
                  <c:v>2017-12-08</c:v>
                </c:pt>
                <c:pt idx="1150">
                  <c:v>2017-12-11</c:v>
                </c:pt>
                <c:pt idx="1151">
                  <c:v>2017-12-12</c:v>
                </c:pt>
                <c:pt idx="1152">
                  <c:v>2017-12-13</c:v>
                </c:pt>
                <c:pt idx="1153">
                  <c:v>2017-12-14</c:v>
                </c:pt>
                <c:pt idx="1154">
                  <c:v>2017-12-15</c:v>
                </c:pt>
                <c:pt idx="1155">
                  <c:v>2017-12-18</c:v>
                </c:pt>
                <c:pt idx="1156">
                  <c:v>2017-12-19</c:v>
                </c:pt>
                <c:pt idx="1157">
                  <c:v>2017-12-20</c:v>
                </c:pt>
                <c:pt idx="1158">
                  <c:v>2017-12-21</c:v>
                </c:pt>
                <c:pt idx="1159">
                  <c:v>2017-12-22</c:v>
                </c:pt>
                <c:pt idx="1160">
                  <c:v>2017-12-25</c:v>
                </c:pt>
                <c:pt idx="1161">
                  <c:v>2017-12-26</c:v>
                </c:pt>
                <c:pt idx="1162">
                  <c:v>2017-12-27</c:v>
                </c:pt>
                <c:pt idx="1163">
                  <c:v>2017-12-28</c:v>
                </c:pt>
                <c:pt idx="1164">
                  <c:v>2017-12-29</c:v>
                </c:pt>
                <c:pt idx="1165">
                  <c:v>2018-01-02</c:v>
                </c:pt>
                <c:pt idx="1166">
                  <c:v>2018-01-03</c:v>
                </c:pt>
                <c:pt idx="1167">
                  <c:v>2018-01-04</c:v>
                </c:pt>
                <c:pt idx="1168">
                  <c:v>2018-01-05</c:v>
                </c:pt>
                <c:pt idx="1169">
                  <c:v>2018-01-08</c:v>
                </c:pt>
                <c:pt idx="1170">
                  <c:v>2018-01-09</c:v>
                </c:pt>
                <c:pt idx="1171">
                  <c:v>2018-01-10</c:v>
                </c:pt>
                <c:pt idx="1172">
                  <c:v>2018-01-11</c:v>
                </c:pt>
                <c:pt idx="1173">
                  <c:v>2018-01-12</c:v>
                </c:pt>
                <c:pt idx="1174">
                  <c:v>2018-01-15</c:v>
                </c:pt>
                <c:pt idx="1175">
                  <c:v>2018-01-16</c:v>
                </c:pt>
                <c:pt idx="1176">
                  <c:v>2018-01-17</c:v>
                </c:pt>
                <c:pt idx="1177">
                  <c:v>2018-01-18</c:v>
                </c:pt>
                <c:pt idx="1178">
                  <c:v>2018-01-19</c:v>
                </c:pt>
                <c:pt idx="1179">
                  <c:v>2018-01-22</c:v>
                </c:pt>
                <c:pt idx="1180">
                  <c:v>2018-01-23</c:v>
                </c:pt>
                <c:pt idx="1181">
                  <c:v>2018-01-24</c:v>
                </c:pt>
                <c:pt idx="1182">
                  <c:v>2018-01-25</c:v>
                </c:pt>
                <c:pt idx="1183">
                  <c:v>2018-01-26</c:v>
                </c:pt>
                <c:pt idx="1184">
                  <c:v>2018-01-29</c:v>
                </c:pt>
                <c:pt idx="1185">
                  <c:v>2018-01-30</c:v>
                </c:pt>
                <c:pt idx="1186">
                  <c:v>2018-01-31</c:v>
                </c:pt>
                <c:pt idx="1187">
                  <c:v>2018-02-01</c:v>
                </c:pt>
                <c:pt idx="1188">
                  <c:v>2018-02-02</c:v>
                </c:pt>
                <c:pt idx="1189">
                  <c:v>2018-02-05</c:v>
                </c:pt>
                <c:pt idx="1190">
                  <c:v>2018-02-06</c:v>
                </c:pt>
                <c:pt idx="1191">
                  <c:v>2018-02-07</c:v>
                </c:pt>
                <c:pt idx="1192">
                  <c:v>2018-02-08</c:v>
                </c:pt>
                <c:pt idx="1193">
                  <c:v>2018-02-09</c:v>
                </c:pt>
                <c:pt idx="1194">
                  <c:v>2018-02-12</c:v>
                </c:pt>
                <c:pt idx="1195">
                  <c:v>2018-02-13</c:v>
                </c:pt>
                <c:pt idx="1196">
                  <c:v>2018-02-14</c:v>
                </c:pt>
                <c:pt idx="1197">
                  <c:v>2018-02-22</c:v>
                </c:pt>
                <c:pt idx="1198">
                  <c:v>2018-02-23</c:v>
                </c:pt>
                <c:pt idx="1199">
                  <c:v>2018-02-26</c:v>
                </c:pt>
                <c:pt idx="1200">
                  <c:v>2018-02-27</c:v>
                </c:pt>
                <c:pt idx="1201">
                  <c:v>2018-02-28</c:v>
                </c:pt>
                <c:pt idx="1202">
                  <c:v>2018-03-01</c:v>
                </c:pt>
                <c:pt idx="1203">
                  <c:v>2018-03-02</c:v>
                </c:pt>
                <c:pt idx="1204">
                  <c:v>2018-03-05</c:v>
                </c:pt>
                <c:pt idx="1205">
                  <c:v>2018-03-06</c:v>
                </c:pt>
                <c:pt idx="1206">
                  <c:v>2018-03-07</c:v>
                </c:pt>
                <c:pt idx="1207">
                  <c:v>2018-03-08</c:v>
                </c:pt>
                <c:pt idx="1208">
                  <c:v>2018-03-09</c:v>
                </c:pt>
                <c:pt idx="1209">
                  <c:v>2018-03-12</c:v>
                </c:pt>
                <c:pt idx="1210">
                  <c:v>2018-03-13</c:v>
                </c:pt>
                <c:pt idx="1211">
                  <c:v>2018-03-14</c:v>
                </c:pt>
                <c:pt idx="1212">
                  <c:v>2018-03-15</c:v>
                </c:pt>
                <c:pt idx="1213">
                  <c:v>2018-03-16</c:v>
                </c:pt>
                <c:pt idx="1214">
                  <c:v>2018-03-19</c:v>
                </c:pt>
                <c:pt idx="1215">
                  <c:v>2018-03-20</c:v>
                </c:pt>
                <c:pt idx="1216">
                  <c:v>2018-03-21</c:v>
                </c:pt>
                <c:pt idx="1217">
                  <c:v>2018-03-22</c:v>
                </c:pt>
                <c:pt idx="1218">
                  <c:v>2018-03-23</c:v>
                </c:pt>
                <c:pt idx="1219">
                  <c:v>2018-03-26</c:v>
                </c:pt>
                <c:pt idx="1220">
                  <c:v>2018-03-27</c:v>
                </c:pt>
                <c:pt idx="1221">
                  <c:v>2018-03-28</c:v>
                </c:pt>
                <c:pt idx="1222">
                  <c:v>2018-03-29</c:v>
                </c:pt>
                <c:pt idx="1223">
                  <c:v>2018-03-30</c:v>
                </c:pt>
                <c:pt idx="1224">
                  <c:v>2018-04-02</c:v>
                </c:pt>
                <c:pt idx="1225">
                  <c:v>2018-04-03</c:v>
                </c:pt>
                <c:pt idx="1226">
                  <c:v>2018-04-04</c:v>
                </c:pt>
                <c:pt idx="1227">
                  <c:v>2018-04-09</c:v>
                </c:pt>
                <c:pt idx="1228">
                  <c:v>2018-04-10</c:v>
                </c:pt>
                <c:pt idx="1229">
                  <c:v>2018-04-11</c:v>
                </c:pt>
                <c:pt idx="1230">
                  <c:v>2018-04-12</c:v>
                </c:pt>
                <c:pt idx="1231">
                  <c:v>2018-04-13</c:v>
                </c:pt>
                <c:pt idx="1232">
                  <c:v>2018-04-16</c:v>
                </c:pt>
                <c:pt idx="1233">
                  <c:v>2018-04-17</c:v>
                </c:pt>
                <c:pt idx="1234">
                  <c:v>2018-04-18</c:v>
                </c:pt>
                <c:pt idx="1235">
                  <c:v>2018-04-19</c:v>
                </c:pt>
                <c:pt idx="1236">
                  <c:v>2018-04-20</c:v>
                </c:pt>
                <c:pt idx="1237">
                  <c:v>2018-04-23</c:v>
                </c:pt>
                <c:pt idx="1238">
                  <c:v>2018-04-24</c:v>
                </c:pt>
                <c:pt idx="1239">
                  <c:v>2018-04-25</c:v>
                </c:pt>
                <c:pt idx="1240">
                  <c:v>2018-04-26</c:v>
                </c:pt>
                <c:pt idx="1241">
                  <c:v>2018-04-27</c:v>
                </c:pt>
                <c:pt idx="1242">
                  <c:v>2018-05-02</c:v>
                </c:pt>
                <c:pt idx="1243">
                  <c:v>2018-05-03</c:v>
                </c:pt>
                <c:pt idx="1244">
                  <c:v>2018-05-04</c:v>
                </c:pt>
                <c:pt idx="1245">
                  <c:v>2018-05-07</c:v>
                </c:pt>
                <c:pt idx="1246">
                  <c:v>2018-05-08</c:v>
                </c:pt>
                <c:pt idx="1247">
                  <c:v>2018-05-09</c:v>
                </c:pt>
                <c:pt idx="1248">
                  <c:v>2018-05-10</c:v>
                </c:pt>
                <c:pt idx="1249">
                  <c:v>2018-05-11</c:v>
                </c:pt>
                <c:pt idx="1250">
                  <c:v>2018-05-14</c:v>
                </c:pt>
                <c:pt idx="1251">
                  <c:v>2018-05-15</c:v>
                </c:pt>
                <c:pt idx="1252">
                  <c:v>2018-05-16</c:v>
                </c:pt>
                <c:pt idx="1253">
                  <c:v>2018-05-17</c:v>
                </c:pt>
                <c:pt idx="1254">
                  <c:v>2018-05-18</c:v>
                </c:pt>
                <c:pt idx="1255">
                  <c:v>2018-05-21</c:v>
                </c:pt>
                <c:pt idx="1256">
                  <c:v>2018-05-22</c:v>
                </c:pt>
                <c:pt idx="1257">
                  <c:v>2018-05-23</c:v>
                </c:pt>
                <c:pt idx="1258">
                  <c:v>2018-05-24</c:v>
                </c:pt>
                <c:pt idx="1259">
                  <c:v>2018-05-25</c:v>
                </c:pt>
                <c:pt idx="1260">
                  <c:v>2018-05-28</c:v>
                </c:pt>
                <c:pt idx="1261">
                  <c:v>2018-05-29</c:v>
                </c:pt>
                <c:pt idx="1262">
                  <c:v>2018-05-30</c:v>
                </c:pt>
                <c:pt idx="1263">
                  <c:v>2018-05-31</c:v>
                </c:pt>
                <c:pt idx="1264">
                  <c:v>2018-06-01</c:v>
                </c:pt>
                <c:pt idx="1265">
                  <c:v>2018-06-04</c:v>
                </c:pt>
                <c:pt idx="1266">
                  <c:v>2018-06-05</c:v>
                </c:pt>
                <c:pt idx="1267">
                  <c:v>2018-06-06</c:v>
                </c:pt>
                <c:pt idx="1268">
                  <c:v>2018-06-07</c:v>
                </c:pt>
                <c:pt idx="1269">
                  <c:v>2018-06-08</c:v>
                </c:pt>
                <c:pt idx="1270">
                  <c:v>2018-06-11</c:v>
                </c:pt>
                <c:pt idx="1271">
                  <c:v>2018-06-12</c:v>
                </c:pt>
                <c:pt idx="1272">
                  <c:v>2018-06-13</c:v>
                </c:pt>
                <c:pt idx="1273">
                  <c:v>2018-06-14</c:v>
                </c:pt>
                <c:pt idx="1274">
                  <c:v>2018-06-15</c:v>
                </c:pt>
                <c:pt idx="1275">
                  <c:v>2018-06-19</c:v>
                </c:pt>
                <c:pt idx="1276">
                  <c:v>2018-06-20</c:v>
                </c:pt>
                <c:pt idx="1277">
                  <c:v>2018-06-21</c:v>
                </c:pt>
                <c:pt idx="1278">
                  <c:v>2018-06-22</c:v>
                </c:pt>
                <c:pt idx="1279">
                  <c:v>2018-06-25</c:v>
                </c:pt>
                <c:pt idx="1280">
                  <c:v>2018-06-26</c:v>
                </c:pt>
                <c:pt idx="1281">
                  <c:v>2018-06-27</c:v>
                </c:pt>
                <c:pt idx="1282">
                  <c:v>2018-06-28</c:v>
                </c:pt>
                <c:pt idx="1283">
                  <c:v>2018-06-29</c:v>
                </c:pt>
                <c:pt idx="1284">
                  <c:v>2018-07-02</c:v>
                </c:pt>
                <c:pt idx="1285">
                  <c:v>2018-07-03</c:v>
                </c:pt>
                <c:pt idx="1286">
                  <c:v>2018-07-04</c:v>
                </c:pt>
                <c:pt idx="1287">
                  <c:v>2018-07-05</c:v>
                </c:pt>
                <c:pt idx="1288">
                  <c:v>2018-07-06</c:v>
                </c:pt>
                <c:pt idx="1289">
                  <c:v>2018-07-09</c:v>
                </c:pt>
                <c:pt idx="1290">
                  <c:v>2018-07-10</c:v>
                </c:pt>
                <c:pt idx="1291">
                  <c:v>2018-07-11</c:v>
                </c:pt>
                <c:pt idx="1292">
                  <c:v>2018-07-12</c:v>
                </c:pt>
                <c:pt idx="1293">
                  <c:v>2018-07-13</c:v>
                </c:pt>
                <c:pt idx="1294">
                  <c:v>2018-07-16</c:v>
                </c:pt>
                <c:pt idx="1295">
                  <c:v>2018-07-17</c:v>
                </c:pt>
                <c:pt idx="1296">
                  <c:v>2018-07-18</c:v>
                </c:pt>
                <c:pt idx="1297">
                  <c:v>2018-07-19</c:v>
                </c:pt>
                <c:pt idx="1298">
                  <c:v>2018-07-20</c:v>
                </c:pt>
                <c:pt idx="1299">
                  <c:v>2018-07-23</c:v>
                </c:pt>
                <c:pt idx="1300">
                  <c:v>2018-07-24</c:v>
                </c:pt>
                <c:pt idx="1301">
                  <c:v>2018-07-25</c:v>
                </c:pt>
                <c:pt idx="1302">
                  <c:v>2018-07-26</c:v>
                </c:pt>
                <c:pt idx="1303">
                  <c:v>2018-07-27</c:v>
                </c:pt>
                <c:pt idx="1304">
                  <c:v>2018-07-30</c:v>
                </c:pt>
                <c:pt idx="1305">
                  <c:v>2018-07-31</c:v>
                </c:pt>
                <c:pt idx="1306">
                  <c:v>2018-08-01</c:v>
                </c:pt>
                <c:pt idx="1307">
                  <c:v>2018-08-02</c:v>
                </c:pt>
                <c:pt idx="1308">
                  <c:v>2018-08-03</c:v>
                </c:pt>
                <c:pt idx="1309">
                  <c:v>2018-08-06</c:v>
                </c:pt>
                <c:pt idx="1310">
                  <c:v>2018-08-07</c:v>
                </c:pt>
                <c:pt idx="1311">
                  <c:v>2018-08-08</c:v>
                </c:pt>
                <c:pt idx="1312">
                  <c:v>2018-08-09</c:v>
                </c:pt>
                <c:pt idx="1313">
                  <c:v>2018-08-10</c:v>
                </c:pt>
                <c:pt idx="1314">
                  <c:v>2018-08-13</c:v>
                </c:pt>
                <c:pt idx="1315">
                  <c:v>2018-08-14</c:v>
                </c:pt>
                <c:pt idx="1316">
                  <c:v>2018-08-15</c:v>
                </c:pt>
                <c:pt idx="1317">
                  <c:v>2018-08-16</c:v>
                </c:pt>
                <c:pt idx="1318">
                  <c:v>2018-08-17</c:v>
                </c:pt>
                <c:pt idx="1319">
                  <c:v>2018-08-20</c:v>
                </c:pt>
                <c:pt idx="1320">
                  <c:v>2018-08-21</c:v>
                </c:pt>
                <c:pt idx="1321">
                  <c:v>2018-08-22</c:v>
                </c:pt>
                <c:pt idx="1322">
                  <c:v>2018-08-23</c:v>
                </c:pt>
                <c:pt idx="1323">
                  <c:v>2018-08-24</c:v>
                </c:pt>
                <c:pt idx="1324">
                  <c:v>2018-08-27</c:v>
                </c:pt>
                <c:pt idx="1325">
                  <c:v>2018-08-28</c:v>
                </c:pt>
                <c:pt idx="1326">
                  <c:v>2018-08-29</c:v>
                </c:pt>
                <c:pt idx="1327">
                  <c:v>2018-08-30</c:v>
                </c:pt>
                <c:pt idx="1328">
                  <c:v>2018-08-31</c:v>
                </c:pt>
                <c:pt idx="1329">
                  <c:v>2018-09-03</c:v>
                </c:pt>
                <c:pt idx="1330">
                  <c:v>2018-09-04</c:v>
                </c:pt>
                <c:pt idx="1331">
                  <c:v>2018-09-05</c:v>
                </c:pt>
                <c:pt idx="1332">
                  <c:v>2018-09-06</c:v>
                </c:pt>
                <c:pt idx="1333">
                  <c:v>2018-09-07</c:v>
                </c:pt>
                <c:pt idx="1334">
                  <c:v>2018-09-10</c:v>
                </c:pt>
                <c:pt idx="1335">
                  <c:v>2018-09-11</c:v>
                </c:pt>
                <c:pt idx="1336">
                  <c:v>2018-09-12</c:v>
                </c:pt>
                <c:pt idx="1337">
                  <c:v>2018-09-13</c:v>
                </c:pt>
                <c:pt idx="1338">
                  <c:v>2018-09-14</c:v>
                </c:pt>
                <c:pt idx="1339">
                  <c:v>2018-09-17</c:v>
                </c:pt>
                <c:pt idx="1340">
                  <c:v>2018-09-18</c:v>
                </c:pt>
                <c:pt idx="1341">
                  <c:v>2018-09-19</c:v>
                </c:pt>
                <c:pt idx="1342">
                  <c:v>2018-09-20</c:v>
                </c:pt>
                <c:pt idx="1343">
                  <c:v>2018-09-21</c:v>
                </c:pt>
                <c:pt idx="1344">
                  <c:v>2018-09-25</c:v>
                </c:pt>
                <c:pt idx="1345">
                  <c:v>2018-09-26</c:v>
                </c:pt>
                <c:pt idx="1346">
                  <c:v>2018-09-27</c:v>
                </c:pt>
                <c:pt idx="1347">
                  <c:v>2018-09-28</c:v>
                </c:pt>
                <c:pt idx="1348">
                  <c:v>2018-10-08</c:v>
                </c:pt>
                <c:pt idx="1349">
                  <c:v>2018-10-09</c:v>
                </c:pt>
                <c:pt idx="1350">
                  <c:v>2018-10-10</c:v>
                </c:pt>
                <c:pt idx="1351">
                  <c:v>2018-10-11</c:v>
                </c:pt>
                <c:pt idx="1352">
                  <c:v>2018-10-12</c:v>
                </c:pt>
                <c:pt idx="1353">
                  <c:v>2018-10-15</c:v>
                </c:pt>
                <c:pt idx="1354">
                  <c:v>2018-10-16</c:v>
                </c:pt>
                <c:pt idx="1355">
                  <c:v>2018-10-17</c:v>
                </c:pt>
                <c:pt idx="1356">
                  <c:v>2018-10-18</c:v>
                </c:pt>
                <c:pt idx="1357">
                  <c:v>2018-10-19</c:v>
                </c:pt>
                <c:pt idx="1358">
                  <c:v>2018-10-22</c:v>
                </c:pt>
                <c:pt idx="1359">
                  <c:v>2018-10-23</c:v>
                </c:pt>
                <c:pt idx="1360">
                  <c:v>2018-10-24</c:v>
                </c:pt>
                <c:pt idx="1361">
                  <c:v>2018-10-25</c:v>
                </c:pt>
                <c:pt idx="1362">
                  <c:v>2018-10-26</c:v>
                </c:pt>
                <c:pt idx="1363">
                  <c:v>2018-10-29</c:v>
                </c:pt>
                <c:pt idx="1364">
                  <c:v>2018-10-30</c:v>
                </c:pt>
                <c:pt idx="1365">
                  <c:v>2018-10-31</c:v>
                </c:pt>
                <c:pt idx="1366">
                  <c:v>2018-11-01</c:v>
                </c:pt>
                <c:pt idx="1367">
                  <c:v>2018-11-02</c:v>
                </c:pt>
                <c:pt idx="1368">
                  <c:v>2018-11-05</c:v>
                </c:pt>
                <c:pt idx="1369">
                  <c:v>2018-11-06</c:v>
                </c:pt>
                <c:pt idx="1370">
                  <c:v>2018-11-07</c:v>
                </c:pt>
                <c:pt idx="1371">
                  <c:v>2018-11-08</c:v>
                </c:pt>
                <c:pt idx="1372">
                  <c:v>2018-11-09</c:v>
                </c:pt>
                <c:pt idx="1373">
                  <c:v>2018-11-12</c:v>
                </c:pt>
                <c:pt idx="1374">
                  <c:v>2018-11-13</c:v>
                </c:pt>
                <c:pt idx="1375">
                  <c:v>2018-11-14</c:v>
                </c:pt>
                <c:pt idx="1376">
                  <c:v>2018-11-15</c:v>
                </c:pt>
                <c:pt idx="1377">
                  <c:v>2018-11-16</c:v>
                </c:pt>
                <c:pt idx="1378">
                  <c:v>2018-11-19</c:v>
                </c:pt>
                <c:pt idx="1379">
                  <c:v>2018-11-20</c:v>
                </c:pt>
                <c:pt idx="1380">
                  <c:v>2018-11-21</c:v>
                </c:pt>
                <c:pt idx="1381">
                  <c:v>2018-11-22</c:v>
                </c:pt>
                <c:pt idx="1382">
                  <c:v>2018-11-23</c:v>
                </c:pt>
                <c:pt idx="1383">
                  <c:v>2018-11-26</c:v>
                </c:pt>
                <c:pt idx="1384">
                  <c:v>2018-11-27</c:v>
                </c:pt>
                <c:pt idx="1385">
                  <c:v>2018-11-28</c:v>
                </c:pt>
                <c:pt idx="1386">
                  <c:v>2018-11-29</c:v>
                </c:pt>
                <c:pt idx="1387">
                  <c:v>2018-11-30</c:v>
                </c:pt>
                <c:pt idx="1388">
                  <c:v>2018-12-03</c:v>
                </c:pt>
                <c:pt idx="1389">
                  <c:v>2018-12-04</c:v>
                </c:pt>
                <c:pt idx="1390">
                  <c:v>2018-12-05</c:v>
                </c:pt>
                <c:pt idx="1391">
                  <c:v>2018-12-06</c:v>
                </c:pt>
                <c:pt idx="1392">
                  <c:v>2018-12-07</c:v>
                </c:pt>
                <c:pt idx="1393">
                  <c:v>2018-12-10</c:v>
                </c:pt>
                <c:pt idx="1394">
                  <c:v>2018-12-11</c:v>
                </c:pt>
                <c:pt idx="1395">
                  <c:v>2018-12-12</c:v>
                </c:pt>
                <c:pt idx="1396">
                  <c:v>2018-12-13</c:v>
                </c:pt>
                <c:pt idx="1397">
                  <c:v>2018-12-14</c:v>
                </c:pt>
                <c:pt idx="1398">
                  <c:v>2018-12-17</c:v>
                </c:pt>
                <c:pt idx="1399">
                  <c:v>2018-12-18</c:v>
                </c:pt>
                <c:pt idx="1400">
                  <c:v>2018-12-19</c:v>
                </c:pt>
                <c:pt idx="1401">
                  <c:v>2018-12-20</c:v>
                </c:pt>
                <c:pt idx="1402">
                  <c:v>2018-12-21</c:v>
                </c:pt>
                <c:pt idx="1403">
                  <c:v>2018-12-24</c:v>
                </c:pt>
                <c:pt idx="1404">
                  <c:v>2018-12-25</c:v>
                </c:pt>
                <c:pt idx="1405">
                  <c:v>2018-12-26</c:v>
                </c:pt>
                <c:pt idx="1406">
                  <c:v>2018-12-27</c:v>
                </c:pt>
                <c:pt idx="1407">
                  <c:v>2018-12-28</c:v>
                </c:pt>
                <c:pt idx="1408">
                  <c:v>2019-01-02</c:v>
                </c:pt>
                <c:pt idx="1409">
                  <c:v>2019-01-03</c:v>
                </c:pt>
                <c:pt idx="1410">
                  <c:v>2019-01-04</c:v>
                </c:pt>
                <c:pt idx="1411">
                  <c:v>2019-01-07</c:v>
                </c:pt>
                <c:pt idx="1412">
                  <c:v>2019-01-08</c:v>
                </c:pt>
                <c:pt idx="1413">
                  <c:v>2019-01-09</c:v>
                </c:pt>
                <c:pt idx="1414">
                  <c:v>2019-01-10</c:v>
                </c:pt>
                <c:pt idx="1415">
                  <c:v>2019-01-11</c:v>
                </c:pt>
                <c:pt idx="1416">
                  <c:v>2019-01-14</c:v>
                </c:pt>
                <c:pt idx="1417">
                  <c:v>2019-01-15</c:v>
                </c:pt>
                <c:pt idx="1418">
                  <c:v>2019-01-16</c:v>
                </c:pt>
                <c:pt idx="1419">
                  <c:v>2019-01-17</c:v>
                </c:pt>
                <c:pt idx="1420">
                  <c:v>2019-01-18</c:v>
                </c:pt>
                <c:pt idx="1421">
                  <c:v>2019-01-21</c:v>
                </c:pt>
                <c:pt idx="1422">
                  <c:v>2019-01-22</c:v>
                </c:pt>
                <c:pt idx="1423">
                  <c:v>2019-01-23</c:v>
                </c:pt>
                <c:pt idx="1424">
                  <c:v>2019-01-24</c:v>
                </c:pt>
                <c:pt idx="1425">
                  <c:v>2019-01-25</c:v>
                </c:pt>
                <c:pt idx="1426">
                  <c:v>2019-01-28</c:v>
                </c:pt>
                <c:pt idx="1427">
                  <c:v>2019-01-29</c:v>
                </c:pt>
                <c:pt idx="1428">
                  <c:v>2019-01-30</c:v>
                </c:pt>
                <c:pt idx="1429">
                  <c:v>2019-01-31</c:v>
                </c:pt>
                <c:pt idx="1430">
                  <c:v>2019-02-01</c:v>
                </c:pt>
                <c:pt idx="1431">
                  <c:v>2019-02-11</c:v>
                </c:pt>
                <c:pt idx="1432">
                  <c:v>2019-02-12</c:v>
                </c:pt>
                <c:pt idx="1433">
                  <c:v>2019-02-13</c:v>
                </c:pt>
                <c:pt idx="1434">
                  <c:v>2019-02-14</c:v>
                </c:pt>
                <c:pt idx="1435">
                  <c:v>2019-02-15</c:v>
                </c:pt>
                <c:pt idx="1436">
                  <c:v>2019-02-18</c:v>
                </c:pt>
                <c:pt idx="1437">
                  <c:v>2019-02-19</c:v>
                </c:pt>
                <c:pt idx="1438">
                  <c:v>2019-02-20</c:v>
                </c:pt>
                <c:pt idx="1439">
                  <c:v>2019-02-21</c:v>
                </c:pt>
                <c:pt idx="1440">
                  <c:v>2019-02-22</c:v>
                </c:pt>
                <c:pt idx="1441">
                  <c:v>2019-02-25</c:v>
                </c:pt>
                <c:pt idx="1442">
                  <c:v>2019-02-26</c:v>
                </c:pt>
                <c:pt idx="1443">
                  <c:v>2019-02-27</c:v>
                </c:pt>
                <c:pt idx="1444">
                  <c:v>2019-02-28</c:v>
                </c:pt>
                <c:pt idx="1445">
                  <c:v>2019-03-01</c:v>
                </c:pt>
                <c:pt idx="1446">
                  <c:v>2019-03-04</c:v>
                </c:pt>
                <c:pt idx="1447">
                  <c:v>2019-03-05</c:v>
                </c:pt>
                <c:pt idx="1448">
                  <c:v>2019-03-06</c:v>
                </c:pt>
                <c:pt idx="1449">
                  <c:v>2019-03-07</c:v>
                </c:pt>
                <c:pt idx="1450">
                  <c:v>2019-03-08</c:v>
                </c:pt>
                <c:pt idx="1451">
                  <c:v>2019-03-11</c:v>
                </c:pt>
                <c:pt idx="1452">
                  <c:v>2019-03-12</c:v>
                </c:pt>
                <c:pt idx="1453">
                  <c:v>2019-03-13</c:v>
                </c:pt>
                <c:pt idx="1454">
                  <c:v>2019-03-14</c:v>
                </c:pt>
                <c:pt idx="1455">
                  <c:v>2019-03-15</c:v>
                </c:pt>
                <c:pt idx="1456">
                  <c:v>2019-03-18</c:v>
                </c:pt>
                <c:pt idx="1457">
                  <c:v>2019-03-19</c:v>
                </c:pt>
                <c:pt idx="1458">
                  <c:v>2019-03-20</c:v>
                </c:pt>
                <c:pt idx="1459">
                  <c:v>2019-03-21</c:v>
                </c:pt>
                <c:pt idx="1460">
                  <c:v>2019-03-22</c:v>
                </c:pt>
                <c:pt idx="1461">
                  <c:v>2019-03-25</c:v>
                </c:pt>
                <c:pt idx="1462">
                  <c:v>2019-03-26</c:v>
                </c:pt>
                <c:pt idx="1463">
                  <c:v>2019-03-27</c:v>
                </c:pt>
                <c:pt idx="1464">
                  <c:v>2019-03-28</c:v>
                </c:pt>
                <c:pt idx="1465">
                  <c:v>2019-03-29</c:v>
                </c:pt>
                <c:pt idx="1466">
                  <c:v>2019-04-01</c:v>
                </c:pt>
                <c:pt idx="1467">
                  <c:v>2019-04-02</c:v>
                </c:pt>
                <c:pt idx="1468">
                  <c:v>2019-04-03</c:v>
                </c:pt>
                <c:pt idx="1469">
                  <c:v>2019-04-04</c:v>
                </c:pt>
                <c:pt idx="1470">
                  <c:v>2019-04-08</c:v>
                </c:pt>
                <c:pt idx="1471">
                  <c:v>2019-04-09</c:v>
                </c:pt>
                <c:pt idx="1472">
                  <c:v>2019-04-10</c:v>
                </c:pt>
                <c:pt idx="1473">
                  <c:v>2019-04-11</c:v>
                </c:pt>
                <c:pt idx="1474">
                  <c:v>2019-04-12</c:v>
                </c:pt>
                <c:pt idx="1475">
                  <c:v>2019-04-15</c:v>
                </c:pt>
                <c:pt idx="1476">
                  <c:v>2019-04-16</c:v>
                </c:pt>
                <c:pt idx="1477">
                  <c:v>2019-04-17</c:v>
                </c:pt>
                <c:pt idx="1478">
                  <c:v>2019-04-18</c:v>
                </c:pt>
                <c:pt idx="1479">
                  <c:v>2019-04-19</c:v>
                </c:pt>
                <c:pt idx="1480">
                  <c:v>2019-04-22</c:v>
                </c:pt>
                <c:pt idx="1481">
                  <c:v>2019-04-23</c:v>
                </c:pt>
                <c:pt idx="1482">
                  <c:v>2019-04-24</c:v>
                </c:pt>
                <c:pt idx="1483">
                  <c:v>2019-04-25</c:v>
                </c:pt>
                <c:pt idx="1484">
                  <c:v>2019-04-26</c:v>
                </c:pt>
                <c:pt idx="1485">
                  <c:v>2019-04-29</c:v>
                </c:pt>
                <c:pt idx="1486">
                  <c:v>2019-04-30</c:v>
                </c:pt>
                <c:pt idx="1487">
                  <c:v>2019-05-06</c:v>
                </c:pt>
                <c:pt idx="1488">
                  <c:v>2019-05-07</c:v>
                </c:pt>
                <c:pt idx="1489">
                  <c:v>2019-05-08</c:v>
                </c:pt>
                <c:pt idx="1490">
                  <c:v>2019-05-09</c:v>
                </c:pt>
                <c:pt idx="1491">
                  <c:v>2019-05-10</c:v>
                </c:pt>
                <c:pt idx="1492">
                  <c:v>2019-05-13</c:v>
                </c:pt>
                <c:pt idx="1493">
                  <c:v>2019-05-14</c:v>
                </c:pt>
                <c:pt idx="1494">
                  <c:v>2019-05-15</c:v>
                </c:pt>
                <c:pt idx="1495">
                  <c:v>2019-05-16</c:v>
                </c:pt>
                <c:pt idx="1496">
                  <c:v>2019-05-17</c:v>
                </c:pt>
                <c:pt idx="1497">
                  <c:v>2019-05-20</c:v>
                </c:pt>
                <c:pt idx="1498">
                  <c:v>2019-05-21</c:v>
                </c:pt>
                <c:pt idx="1499">
                  <c:v>2019-05-22</c:v>
                </c:pt>
                <c:pt idx="1500">
                  <c:v>2019-05-23</c:v>
                </c:pt>
                <c:pt idx="1501">
                  <c:v>2019-05-24</c:v>
                </c:pt>
                <c:pt idx="1502">
                  <c:v>2019-05-27</c:v>
                </c:pt>
                <c:pt idx="1503">
                  <c:v>2019-05-28</c:v>
                </c:pt>
                <c:pt idx="1504">
                  <c:v>2019-05-29</c:v>
                </c:pt>
                <c:pt idx="1505">
                  <c:v>2019-05-30</c:v>
                </c:pt>
                <c:pt idx="1506">
                  <c:v>2019-05-31</c:v>
                </c:pt>
                <c:pt idx="1507">
                  <c:v>2019-06-03</c:v>
                </c:pt>
                <c:pt idx="1508">
                  <c:v>2019-06-04</c:v>
                </c:pt>
                <c:pt idx="1509">
                  <c:v>2019-06-05</c:v>
                </c:pt>
                <c:pt idx="1510">
                  <c:v>2019-06-06</c:v>
                </c:pt>
                <c:pt idx="1511">
                  <c:v>2019-06-10</c:v>
                </c:pt>
                <c:pt idx="1512">
                  <c:v>2019-06-11</c:v>
                </c:pt>
                <c:pt idx="1513">
                  <c:v>2019-06-12</c:v>
                </c:pt>
                <c:pt idx="1514">
                  <c:v>2019-06-13</c:v>
                </c:pt>
                <c:pt idx="1515">
                  <c:v>2019-06-14</c:v>
                </c:pt>
                <c:pt idx="1516">
                  <c:v>2019-06-17</c:v>
                </c:pt>
                <c:pt idx="1517">
                  <c:v>2019-06-18</c:v>
                </c:pt>
                <c:pt idx="1518">
                  <c:v>2019-06-19</c:v>
                </c:pt>
                <c:pt idx="1519">
                  <c:v>2019-06-20</c:v>
                </c:pt>
                <c:pt idx="1520">
                  <c:v>2019-06-21</c:v>
                </c:pt>
                <c:pt idx="1521">
                  <c:v>2019-06-24</c:v>
                </c:pt>
                <c:pt idx="1522">
                  <c:v>2019-06-25</c:v>
                </c:pt>
                <c:pt idx="1523">
                  <c:v>2019-06-26</c:v>
                </c:pt>
                <c:pt idx="1524">
                  <c:v>2019-06-27</c:v>
                </c:pt>
                <c:pt idx="1525">
                  <c:v>2019-06-28</c:v>
                </c:pt>
                <c:pt idx="1526">
                  <c:v>2019-07-01</c:v>
                </c:pt>
                <c:pt idx="1527">
                  <c:v>2019-07-02</c:v>
                </c:pt>
                <c:pt idx="1528">
                  <c:v>2019-07-03</c:v>
                </c:pt>
                <c:pt idx="1529">
                  <c:v>2019-07-04</c:v>
                </c:pt>
                <c:pt idx="1530">
                  <c:v>2019-07-05</c:v>
                </c:pt>
                <c:pt idx="1531">
                  <c:v>2019-07-08</c:v>
                </c:pt>
                <c:pt idx="1532">
                  <c:v>2019-07-09</c:v>
                </c:pt>
                <c:pt idx="1533">
                  <c:v>2019-07-10</c:v>
                </c:pt>
                <c:pt idx="1534">
                  <c:v>2019-07-11</c:v>
                </c:pt>
                <c:pt idx="1535">
                  <c:v>2019-07-12</c:v>
                </c:pt>
                <c:pt idx="1536">
                  <c:v>2019-07-15</c:v>
                </c:pt>
                <c:pt idx="1537">
                  <c:v>2019-07-16</c:v>
                </c:pt>
                <c:pt idx="1538">
                  <c:v>2019-07-17</c:v>
                </c:pt>
                <c:pt idx="1539">
                  <c:v>2019-07-18</c:v>
                </c:pt>
                <c:pt idx="1540">
                  <c:v>2019-07-19</c:v>
                </c:pt>
                <c:pt idx="1541">
                  <c:v>2019-07-22</c:v>
                </c:pt>
                <c:pt idx="1542">
                  <c:v>2019-07-23</c:v>
                </c:pt>
                <c:pt idx="1543">
                  <c:v>2019-07-24</c:v>
                </c:pt>
                <c:pt idx="1544">
                  <c:v>2019-07-25</c:v>
                </c:pt>
                <c:pt idx="1545">
                  <c:v>2019-07-26</c:v>
                </c:pt>
                <c:pt idx="1546">
                  <c:v>2019-07-29</c:v>
                </c:pt>
                <c:pt idx="1547">
                  <c:v>2019-07-30</c:v>
                </c:pt>
                <c:pt idx="1548">
                  <c:v>2019-07-31</c:v>
                </c:pt>
                <c:pt idx="1549">
                  <c:v>2019-08-01</c:v>
                </c:pt>
                <c:pt idx="1550">
                  <c:v>2019-08-02</c:v>
                </c:pt>
                <c:pt idx="1551">
                  <c:v>2019-08-05</c:v>
                </c:pt>
                <c:pt idx="1552">
                  <c:v>2019-08-06</c:v>
                </c:pt>
                <c:pt idx="1553">
                  <c:v>2019-08-07</c:v>
                </c:pt>
                <c:pt idx="1554">
                  <c:v>2019-08-08</c:v>
                </c:pt>
                <c:pt idx="1555">
                  <c:v>2019-08-09</c:v>
                </c:pt>
                <c:pt idx="1556">
                  <c:v>2019-08-12</c:v>
                </c:pt>
                <c:pt idx="1557">
                  <c:v>2019-08-13</c:v>
                </c:pt>
                <c:pt idx="1558">
                  <c:v>2019-08-14</c:v>
                </c:pt>
                <c:pt idx="1559">
                  <c:v>2019-08-15</c:v>
                </c:pt>
                <c:pt idx="1560">
                  <c:v>2019-08-16</c:v>
                </c:pt>
                <c:pt idx="1561">
                  <c:v>2019-08-19</c:v>
                </c:pt>
                <c:pt idx="1562">
                  <c:v>2019-08-20</c:v>
                </c:pt>
                <c:pt idx="1563">
                  <c:v>2019-08-21</c:v>
                </c:pt>
                <c:pt idx="1564">
                  <c:v>2019-08-22</c:v>
                </c:pt>
                <c:pt idx="1565">
                  <c:v>2019-08-23</c:v>
                </c:pt>
                <c:pt idx="1566">
                  <c:v>2019-08-26</c:v>
                </c:pt>
                <c:pt idx="1567">
                  <c:v>2019-08-27</c:v>
                </c:pt>
                <c:pt idx="1568">
                  <c:v>2019-08-28</c:v>
                </c:pt>
                <c:pt idx="1569">
                  <c:v>2019-08-29</c:v>
                </c:pt>
                <c:pt idx="1570">
                  <c:v>2019-08-30</c:v>
                </c:pt>
                <c:pt idx="1571">
                  <c:v>2019-09-02</c:v>
                </c:pt>
                <c:pt idx="1572">
                  <c:v>2019-09-03</c:v>
                </c:pt>
                <c:pt idx="1573">
                  <c:v>2019-09-04</c:v>
                </c:pt>
                <c:pt idx="1574">
                  <c:v>2019-09-05</c:v>
                </c:pt>
                <c:pt idx="1575">
                  <c:v>2019-09-06</c:v>
                </c:pt>
                <c:pt idx="1576">
                  <c:v>2019-09-09</c:v>
                </c:pt>
                <c:pt idx="1577">
                  <c:v>2019-09-10</c:v>
                </c:pt>
                <c:pt idx="1578">
                  <c:v>2019-09-11</c:v>
                </c:pt>
                <c:pt idx="1579">
                  <c:v>2019-09-12</c:v>
                </c:pt>
                <c:pt idx="1580">
                  <c:v>2019-09-16</c:v>
                </c:pt>
                <c:pt idx="1581">
                  <c:v>2019-09-17</c:v>
                </c:pt>
                <c:pt idx="1582">
                  <c:v>2019-09-18</c:v>
                </c:pt>
                <c:pt idx="1583">
                  <c:v>2019-09-19</c:v>
                </c:pt>
                <c:pt idx="1584">
                  <c:v>2019-09-20</c:v>
                </c:pt>
                <c:pt idx="1585">
                  <c:v>2019-09-23</c:v>
                </c:pt>
                <c:pt idx="1586">
                  <c:v>2019-09-24</c:v>
                </c:pt>
                <c:pt idx="1587">
                  <c:v>2019-09-25</c:v>
                </c:pt>
                <c:pt idx="1588">
                  <c:v>2019-09-26</c:v>
                </c:pt>
                <c:pt idx="1589">
                  <c:v>2019-09-27</c:v>
                </c:pt>
                <c:pt idx="1590">
                  <c:v>2019-09-30</c:v>
                </c:pt>
                <c:pt idx="1591">
                  <c:v>2019-10-08</c:v>
                </c:pt>
                <c:pt idx="1592">
                  <c:v>2019-10-09</c:v>
                </c:pt>
                <c:pt idx="1593">
                  <c:v>2019-10-10</c:v>
                </c:pt>
                <c:pt idx="1594">
                  <c:v>2019-10-11</c:v>
                </c:pt>
                <c:pt idx="1595">
                  <c:v>2019-10-14</c:v>
                </c:pt>
                <c:pt idx="1596">
                  <c:v>2019-10-15</c:v>
                </c:pt>
                <c:pt idx="1597">
                  <c:v>2019-10-16</c:v>
                </c:pt>
                <c:pt idx="1598">
                  <c:v>2019-10-17</c:v>
                </c:pt>
                <c:pt idx="1599">
                  <c:v>2019-10-18</c:v>
                </c:pt>
                <c:pt idx="1600">
                  <c:v>2019-10-21</c:v>
                </c:pt>
                <c:pt idx="1601">
                  <c:v>2019-10-22</c:v>
                </c:pt>
                <c:pt idx="1602">
                  <c:v>2019-10-23</c:v>
                </c:pt>
                <c:pt idx="1603">
                  <c:v>2019-10-24</c:v>
                </c:pt>
                <c:pt idx="1604">
                  <c:v>2019-10-25</c:v>
                </c:pt>
                <c:pt idx="1605">
                  <c:v>2019-10-28</c:v>
                </c:pt>
                <c:pt idx="1606">
                  <c:v>2019-10-29</c:v>
                </c:pt>
                <c:pt idx="1607">
                  <c:v>2019-10-30</c:v>
                </c:pt>
                <c:pt idx="1608">
                  <c:v>2019-10-31</c:v>
                </c:pt>
                <c:pt idx="1609">
                  <c:v>2019-11-01</c:v>
                </c:pt>
                <c:pt idx="1610">
                  <c:v>2019-11-04</c:v>
                </c:pt>
                <c:pt idx="1611">
                  <c:v>2019-11-05</c:v>
                </c:pt>
                <c:pt idx="1612">
                  <c:v>2019-11-06</c:v>
                </c:pt>
                <c:pt idx="1613">
                  <c:v>2019-11-07</c:v>
                </c:pt>
                <c:pt idx="1614">
                  <c:v>2019-11-08</c:v>
                </c:pt>
                <c:pt idx="1615">
                  <c:v>2019-11-11</c:v>
                </c:pt>
                <c:pt idx="1616">
                  <c:v>2019-11-12</c:v>
                </c:pt>
                <c:pt idx="1617">
                  <c:v>2019-11-13</c:v>
                </c:pt>
                <c:pt idx="1618">
                  <c:v>2019-11-14</c:v>
                </c:pt>
                <c:pt idx="1619">
                  <c:v>2019-11-15</c:v>
                </c:pt>
                <c:pt idx="1620">
                  <c:v>2019-11-18</c:v>
                </c:pt>
                <c:pt idx="1621">
                  <c:v>2019-11-19</c:v>
                </c:pt>
                <c:pt idx="1622">
                  <c:v>2019-11-20</c:v>
                </c:pt>
                <c:pt idx="1623">
                  <c:v>2019-11-21</c:v>
                </c:pt>
                <c:pt idx="1624">
                  <c:v>2019-11-22</c:v>
                </c:pt>
                <c:pt idx="1625">
                  <c:v>2019-11-25</c:v>
                </c:pt>
                <c:pt idx="1626">
                  <c:v>2019-11-26</c:v>
                </c:pt>
                <c:pt idx="1627">
                  <c:v>2019-11-27</c:v>
                </c:pt>
                <c:pt idx="1628">
                  <c:v>2019-11-28</c:v>
                </c:pt>
                <c:pt idx="1629">
                  <c:v>2019-11-29</c:v>
                </c:pt>
                <c:pt idx="1630">
                  <c:v>2019-12-02</c:v>
                </c:pt>
                <c:pt idx="1631">
                  <c:v>2019-12-03</c:v>
                </c:pt>
                <c:pt idx="1632">
                  <c:v>2019-12-04</c:v>
                </c:pt>
                <c:pt idx="1633">
                  <c:v>2019-12-05</c:v>
                </c:pt>
                <c:pt idx="1634">
                  <c:v>2019-12-06</c:v>
                </c:pt>
                <c:pt idx="1635">
                  <c:v>2019-12-09</c:v>
                </c:pt>
                <c:pt idx="1636">
                  <c:v>2019-12-10</c:v>
                </c:pt>
                <c:pt idx="1637">
                  <c:v>2019-12-11</c:v>
                </c:pt>
                <c:pt idx="1638">
                  <c:v>2019-12-12</c:v>
                </c:pt>
                <c:pt idx="1639">
                  <c:v>2019-12-13</c:v>
                </c:pt>
                <c:pt idx="1640">
                  <c:v>2019-12-16</c:v>
                </c:pt>
                <c:pt idx="1641">
                  <c:v>2019-12-17</c:v>
                </c:pt>
                <c:pt idx="1642">
                  <c:v>2019-12-18</c:v>
                </c:pt>
                <c:pt idx="1643">
                  <c:v>2019-12-19</c:v>
                </c:pt>
                <c:pt idx="1644">
                  <c:v>2019-12-20</c:v>
                </c:pt>
                <c:pt idx="1645">
                  <c:v>2019-12-23</c:v>
                </c:pt>
                <c:pt idx="1646">
                  <c:v>2019-12-24</c:v>
                </c:pt>
                <c:pt idx="1647">
                  <c:v>2019-12-25</c:v>
                </c:pt>
                <c:pt idx="1648">
                  <c:v>2019-12-26</c:v>
                </c:pt>
                <c:pt idx="1649">
                  <c:v>2019-12-27</c:v>
                </c:pt>
                <c:pt idx="1650">
                  <c:v>2019-12-30</c:v>
                </c:pt>
                <c:pt idx="1651">
                  <c:v>2019-12-31</c:v>
                </c:pt>
                <c:pt idx="1652">
                  <c:v>2020-01-02</c:v>
                </c:pt>
                <c:pt idx="1653">
                  <c:v>2020-01-03</c:v>
                </c:pt>
                <c:pt idx="1654">
                  <c:v>2020-01-06</c:v>
                </c:pt>
                <c:pt idx="1655">
                  <c:v>2020-01-07</c:v>
                </c:pt>
                <c:pt idx="1656">
                  <c:v>2020-01-08</c:v>
                </c:pt>
                <c:pt idx="1657">
                  <c:v>2020-01-09</c:v>
                </c:pt>
                <c:pt idx="1658">
                  <c:v>2020-01-10</c:v>
                </c:pt>
                <c:pt idx="1659">
                  <c:v>2020-01-13</c:v>
                </c:pt>
                <c:pt idx="1660">
                  <c:v>2020-01-14</c:v>
                </c:pt>
                <c:pt idx="1661">
                  <c:v>2020-01-15</c:v>
                </c:pt>
                <c:pt idx="1662">
                  <c:v>2020-01-16</c:v>
                </c:pt>
                <c:pt idx="1663">
                  <c:v>2020-01-17</c:v>
                </c:pt>
                <c:pt idx="1664">
                  <c:v>2020-01-20</c:v>
                </c:pt>
                <c:pt idx="1665">
                  <c:v>2020-01-21</c:v>
                </c:pt>
                <c:pt idx="1666">
                  <c:v>2020-01-22</c:v>
                </c:pt>
                <c:pt idx="1667">
                  <c:v>2020-01-23</c:v>
                </c:pt>
                <c:pt idx="1668">
                  <c:v>2020-02-03</c:v>
                </c:pt>
                <c:pt idx="1669">
                  <c:v>2020-02-04</c:v>
                </c:pt>
                <c:pt idx="1670">
                  <c:v>2020-02-05</c:v>
                </c:pt>
                <c:pt idx="1671">
                  <c:v>2020-02-06</c:v>
                </c:pt>
                <c:pt idx="1672">
                  <c:v>2020-02-07</c:v>
                </c:pt>
                <c:pt idx="1673">
                  <c:v>2020-02-10</c:v>
                </c:pt>
                <c:pt idx="1674">
                  <c:v>2020-02-11</c:v>
                </c:pt>
                <c:pt idx="1675">
                  <c:v>2020-02-12</c:v>
                </c:pt>
                <c:pt idx="1676">
                  <c:v>2020-02-13</c:v>
                </c:pt>
                <c:pt idx="1677">
                  <c:v>2020-02-14</c:v>
                </c:pt>
                <c:pt idx="1678">
                  <c:v>2020-02-17</c:v>
                </c:pt>
                <c:pt idx="1679">
                  <c:v>2020-02-18</c:v>
                </c:pt>
                <c:pt idx="1680">
                  <c:v>2020-02-19</c:v>
                </c:pt>
                <c:pt idx="1681">
                  <c:v>2020-02-20</c:v>
                </c:pt>
                <c:pt idx="1682">
                  <c:v>2020-02-21</c:v>
                </c:pt>
                <c:pt idx="1683">
                  <c:v>2020-02-24</c:v>
                </c:pt>
                <c:pt idx="1684">
                  <c:v>2020-02-25</c:v>
                </c:pt>
                <c:pt idx="1685">
                  <c:v>2020-02-26</c:v>
                </c:pt>
                <c:pt idx="1686">
                  <c:v>2020-02-27</c:v>
                </c:pt>
                <c:pt idx="1687">
                  <c:v>2020-02-28</c:v>
                </c:pt>
                <c:pt idx="1688">
                  <c:v>2020-03-02</c:v>
                </c:pt>
                <c:pt idx="1689">
                  <c:v>2020-03-03</c:v>
                </c:pt>
                <c:pt idx="1690">
                  <c:v>2020-03-04</c:v>
                </c:pt>
                <c:pt idx="1691">
                  <c:v>2020-03-05</c:v>
                </c:pt>
                <c:pt idx="1692">
                  <c:v>2020-03-06</c:v>
                </c:pt>
                <c:pt idx="1693">
                  <c:v>2020-03-09</c:v>
                </c:pt>
                <c:pt idx="1694">
                  <c:v>2020-03-10</c:v>
                </c:pt>
                <c:pt idx="1695">
                  <c:v>2020-03-11</c:v>
                </c:pt>
                <c:pt idx="1696">
                  <c:v>2020-03-12</c:v>
                </c:pt>
                <c:pt idx="1697">
                  <c:v>2020-03-13</c:v>
                </c:pt>
                <c:pt idx="1698">
                  <c:v>2020-03-16</c:v>
                </c:pt>
                <c:pt idx="1699">
                  <c:v>2020-03-17</c:v>
                </c:pt>
                <c:pt idx="1700">
                  <c:v>2020-03-18</c:v>
                </c:pt>
                <c:pt idx="1701">
                  <c:v>2020-03-19</c:v>
                </c:pt>
                <c:pt idx="1702">
                  <c:v>2020-03-20</c:v>
                </c:pt>
                <c:pt idx="1703">
                  <c:v>2020-03-23</c:v>
                </c:pt>
                <c:pt idx="1704">
                  <c:v>2020-03-24</c:v>
                </c:pt>
                <c:pt idx="1705">
                  <c:v>2020-03-25</c:v>
                </c:pt>
                <c:pt idx="1706">
                  <c:v>2020-03-26</c:v>
                </c:pt>
                <c:pt idx="1707">
                  <c:v>2020-03-27</c:v>
                </c:pt>
                <c:pt idx="1708">
                  <c:v>2020-03-30</c:v>
                </c:pt>
                <c:pt idx="1709">
                  <c:v>2020-03-31</c:v>
                </c:pt>
                <c:pt idx="1710">
                  <c:v>2020-04-01</c:v>
                </c:pt>
                <c:pt idx="1711">
                  <c:v>2020-04-02</c:v>
                </c:pt>
                <c:pt idx="1712">
                  <c:v>2020-04-03</c:v>
                </c:pt>
                <c:pt idx="1713">
                  <c:v>2020-04-07</c:v>
                </c:pt>
                <c:pt idx="1714">
                  <c:v>2020-04-08</c:v>
                </c:pt>
                <c:pt idx="1715">
                  <c:v>2020-04-09</c:v>
                </c:pt>
                <c:pt idx="1716">
                  <c:v>2020-04-10</c:v>
                </c:pt>
                <c:pt idx="1717">
                  <c:v>2020-04-13</c:v>
                </c:pt>
                <c:pt idx="1718">
                  <c:v>2020-04-14</c:v>
                </c:pt>
                <c:pt idx="1719">
                  <c:v>2020-04-15</c:v>
                </c:pt>
                <c:pt idx="1720">
                  <c:v>2020-04-16</c:v>
                </c:pt>
                <c:pt idx="1721">
                  <c:v>2020-04-17</c:v>
                </c:pt>
                <c:pt idx="1722">
                  <c:v>2020-04-20</c:v>
                </c:pt>
                <c:pt idx="1723">
                  <c:v>2020-04-21</c:v>
                </c:pt>
                <c:pt idx="1724">
                  <c:v>2020-04-22</c:v>
                </c:pt>
                <c:pt idx="1725">
                  <c:v>2020-04-23</c:v>
                </c:pt>
                <c:pt idx="1726">
                  <c:v>2020-04-24</c:v>
                </c:pt>
                <c:pt idx="1727">
                  <c:v>2020-04-27</c:v>
                </c:pt>
                <c:pt idx="1728">
                  <c:v>2020-04-28</c:v>
                </c:pt>
                <c:pt idx="1729">
                  <c:v>2020-04-29</c:v>
                </c:pt>
                <c:pt idx="1730">
                  <c:v>2020-04-30</c:v>
                </c:pt>
                <c:pt idx="1731">
                  <c:v>2020-05-06</c:v>
                </c:pt>
                <c:pt idx="1732">
                  <c:v>2020-05-07</c:v>
                </c:pt>
                <c:pt idx="1733">
                  <c:v>2020-05-08</c:v>
                </c:pt>
                <c:pt idx="1734">
                  <c:v>2020-05-11</c:v>
                </c:pt>
                <c:pt idx="1735">
                  <c:v>2020-05-12</c:v>
                </c:pt>
                <c:pt idx="1736">
                  <c:v>2020-05-13</c:v>
                </c:pt>
                <c:pt idx="1737">
                  <c:v>2020-05-14</c:v>
                </c:pt>
                <c:pt idx="1738">
                  <c:v>2020-05-15</c:v>
                </c:pt>
                <c:pt idx="1739">
                  <c:v>2020-05-18</c:v>
                </c:pt>
                <c:pt idx="1740">
                  <c:v>2020-05-19</c:v>
                </c:pt>
                <c:pt idx="1741">
                  <c:v>2020-05-20</c:v>
                </c:pt>
                <c:pt idx="1742">
                  <c:v>2020-05-21</c:v>
                </c:pt>
                <c:pt idx="1743">
                  <c:v>2020-05-22</c:v>
                </c:pt>
                <c:pt idx="1744">
                  <c:v>2020-05-25</c:v>
                </c:pt>
                <c:pt idx="1745">
                  <c:v>2020-05-26</c:v>
                </c:pt>
                <c:pt idx="1746">
                  <c:v>2020-05-27</c:v>
                </c:pt>
                <c:pt idx="1747">
                  <c:v>2020-05-28</c:v>
                </c:pt>
                <c:pt idx="1748">
                  <c:v>2020-05-29</c:v>
                </c:pt>
                <c:pt idx="1749">
                  <c:v>2020-06-01</c:v>
                </c:pt>
                <c:pt idx="1750">
                  <c:v>2020-06-02</c:v>
                </c:pt>
                <c:pt idx="1751">
                  <c:v>2020-06-03</c:v>
                </c:pt>
                <c:pt idx="1752">
                  <c:v>2020-06-04</c:v>
                </c:pt>
                <c:pt idx="1753">
                  <c:v>2020-06-05</c:v>
                </c:pt>
                <c:pt idx="1754">
                  <c:v>2020-06-08</c:v>
                </c:pt>
                <c:pt idx="1755">
                  <c:v>2020-06-09</c:v>
                </c:pt>
                <c:pt idx="1756">
                  <c:v>2020-06-10</c:v>
                </c:pt>
                <c:pt idx="1757">
                  <c:v>2020-06-11</c:v>
                </c:pt>
                <c:pt idx="1758">
                  <c:v>2020-06-12</c:v>
                </c:pt>
                <c:pt idx="1759">
                  <c:v>2020-06-15</c:v>
                </c:pt>
                <c:pt idx="1760">
                  <c:v>2020-06-16</c:v>
                </c:pt>
                <c:pt idx="1761">
                  <c:v>2020-06-17</c:v>
                </c:pt>
                <c:pt idx="1762">
                  <c:v>2020-06-18</c:v>
                </c:pt>
                <c:pt idx="1763">
                  <c:v>2020-06-19</c:v>
                </c:pt>
                <c:pt idx="1764">
                  <c:v>2020-06-22</c:v>
                </c:pt>
                <c:pt idx="1765">
                  <c:v>2020-06-23</c:v>
                </c:pt>
                <c:pt idx="1766">
                  <c:v>2020-06-24</c:v>
                </c:pt>
                <c:pt idx="1767">
                  <c:v>2020-06-29</c:v>
                </c:pt>
                <c:pt idx="1768">
                  <c:v>2020-06-30</c:v>
                </c:pt>
                <c:pt idx="1769">
                  <c:v>2020-07-01</c:v>
                </c:pt>
                <c:pt idx="1770">
                  <c:v>2020-07-02</c:v>
                </c:pt>
                <c:pt idx="1771">
                  <c:v>2020-07-03</c:v>
                </c:pt>
                <c:pt idx="1772">
                  <c:v>2020-07-06</c:v>
                </c:pt>
                <c:pt idx="1773">
                  <c:v>2020-07-07</c:v>
                </c:pt>
                <c:pt idx="1774">
                  <c:v>2020-07-08</c:v>
                </c:pt>
                <c:pt idx="1775">
                  <c:v>2020-07-09</c:v>
                </c:pt>
                <c:pt idx="1776">
                  <c:v>2020-07-10</c:v>
                </c:pt>
                <c:pt idx="1777">
                  <c:v>2020-07-13</c:v>
                </c:pt>
                <c:pt idx="1778">
                  <c:v>2020-07-14</c:v>
                </c:pt>
                <c:pt idx="1779">
                  <c:v>2020-07-15</c:v>
                </c:pt>
                <c:pt idx="1780">
                  <c:v>2020-07-16</c:v>
                </c:pt>
                <c:pt idx="1781">
                  <c:v>2020-07-17</c:v>
                </c:pt>
                <c:pt idx="1782">
                  <c:v>2020-07-20</c:v>
                </c:pt>
                <c:pt idx="1783">
                  <c:v>2020-07-21</c:v>
                </c:pt>
                <c:pt idx="1784">
                  <c:v>2020-07-22</c:v>
                </c:pt>
                <c:pt idx="1785">
                  <c:v>2020-07-23</c:v>
                </c:pt>
                <c:pt idx="1786">
                  <c:v>2020-07-24</c:v>
                </c:pt>
                <c:pt idx="1787">
                  <c:v>2020-07-27</c:v>
                </c:pt>
                <c:pt idx="1788">
                  <c:v>2020-07-28</c:v>
                </c:pt>
                <c:pt idx="1789">
                  <c:v>2020-07-29</c:v>
                </c:pt>
                <c:pt idx="1790">
                  <c:v>2020-07-30</c:v>
                </c:pt>
                <c:pt idx="1791">
                  <c:v>2020-07-31</c:v>
                </c:pt>
                <c:pt idx="1792">
                  <c:v>2020-08-03</c:v>
                </c:pt>
                <c:pt idx="1793">
                  <c:v>2020-08-04</c:v>
                </c:pt>
                <c:pt idx="1794">
                  <c:v>2020-08-05</c:v>
                </c:pt>
                <c:pt idx="1795">
                  <c:v>2020-08-06</c:v>
                </c:pt>
                <c:pt idx="1796">
                  <c:v>2020-08-07</c:v>
                </c:pt>
                <c:pt idx="1797">
                  <c:v>2020-08-10</c:v>
                </c:pt>
                <c:pt idx="1798">
                  <c:v>2020-08-11</c:v>
                </c:pt>
                <c:pt idx="1799">
                  <c:v>2020-08-12</c:v>
                </c:pt>
                <c:pt idx="1800">
                  <c:v>2020-08-13</c:v>
                </c:pt>
                <c:pt idx="1801">
                  <c:v>2020-08-14</c:v>
                </c:pt>
                <c:pt idx="1802">
                  <c:v>2020-08-17</c:v>
                </c:pt>
                <c:pt idx="1803">
                  <c:v>2020-08-18</c:v>
                </c:pt>
                <c:pt idx="1804">
                  <c:v>2020-08-19</c:v>
                </c:pt>
                <c:pt idx="1805">
                  <c:v>2020-08-20</c:v>
                </c:pt>
                <c:pt idx="1806">
                  <c:v>2020-08-21</c:v>
                </c:pt>
                <c:pt idx="1807">
                  <c:v>2020-08-24</c:v>
                </c:pt>
                <c:pt idx="1808">
                  <c:v>2020-08-25</c:v>
                </c:pt>
                <c:pt idx="1809">
                  <c:v>2020-08-26</c:v>
                </c:pt>
                <c:pt idx="1810">
                  <c:v>2020-08-27</c:v>
                </c:pt>
                <c:pt idx="1811">
                  <c:v>2020-08-28</c:v>
                </c:pt>
                <c:pt idx="1812">
                  <c:v>2020-08-31</c:v>
                </c:pt>
                <c:pt idx="1813">
                  <c:v>2020-09-01</c:v>
                </c:pt>
                <c:pt idx="1814">
                  <c:v>2020-09-02</c:v>
                </c:pt>
                <c:pt idx="1815">
                  <c:v>2020-09-03</c:v>
                </c:pt>
                <c:pt idx="1816">
                  <c:v>2020-09-04</c:v>
                </c:pt>
                <c:pt idx="1817">
                  <c:v>2020-09-07</c:v>
                </c:pt>
                <c:pt idx="1818">
                  <c:v>2020-09-08</c:v>
                </c:pt>
                <c:pt idx="1819">
                  <c:v>2020-09-09</c:v>
                </c:pt>
                <c:pt idx="1820">
                  <c:v>2020-09-10</c:v>
                </c:pt>
                <c:pt idx="1821">
                  <c:v>2020-09-11</c:v>
                </c:pt>
                <c:pt idx="1822">
                  <c:v>2020-09-14</c:v>
                </c:pt>
                <c:pt idx="1823">
                  <c:v>2020-09-15</c:v>
                </c:pt>
                <c:pt idx="1824">
                  <c:v>2020-09-16</c:v>
                </c:pt>
                <c:pt idx="1825">
                  <c:v>2020-09-17</c:v>
                </c:pt>
                <c:pt idx="1826">
                  <c:v>2020-09-18</c:v>
                </c:pt>
                <c:pt idx="1827">
                  <c:v>2020-09-21</c:v>
                </c:pt>
                <c:pt idx="1828">
                  <c:v>2020-09-22</c:v>
                </c:pt>
                <c:pt idx="1829">
                  <c:v>2020-09-23</c:v>
                </c:pt>
                <c:pt idx="1830">
                  <c:v>2020-09-24</c:v>
                </c:pt>
                <c:pt idx="1831">
                  <c:v>2020-09-25</c:v>
                </c:pt>
                <c:pt idx="1832">
                  <c:v>2020-09-28</c:v>
                </c:pt>
                <c:pt idx="1833">
                  <c:v>2020-09-29</c:v>
                </c:pt>
                <c:pt idx="1834">
                  <c:v>2020-09-30</c:v>
                </c:pt>
                <c:pt idx="1835">
                  <c:v>2020-10-09</c:v>
                </c:pt>
                <c:pt idx="1836">
                  <c:v>2020-10-12</c:v>
                </c:pt>
                <c:pt idx="1837">
                  <c:v>2020-10-13</c:v>
                </c:pt>
                <c:pt idx="1838">
                  <c:v>2020-10-14</c:v>
                </c:pt>
                <c:pt idx="1839">
                  <c:v>2020-10-15</c:v>
                </c:pt>
                <c:pt idx="1840">
                  <c:v>2020-10-16</c:v>
                </c:pt>
                <c:pt idx="1841">
                  <c:v>2020-10-19</c:v>
                </c:pt>
                <c:pt idx="1842">
                  <c:v>2020-10-20</c:v>
                </c:pt>
                <c:pt idx="1843">
                  <c:v>2020-10-21</c:v>
                </c:pt>
                <c:pt idx="1844">
                  <c:v>2020-10-22</c:v>
                </c:pt>
                <c:pt idx="1845">
                  <c:v>2020-10-23</c:v>
                </c:pt>
                <c:pt idx="1846">
                  <c:v>2020-10-26</c:v>
                </c:pt>
                <c:pt idx="1847">
                  <c:v>2020-10-27</c:v>
                </c:pt>
                <c:pt idx="1848">
                  <c:v>2020-10-28</c:v>
                </c:pt>
                <c:pt idx="1849">
                  <c:v>2020-10-29</c:v>
                </c:pt>
                <c:pt idx="1850">
                  <c:v>2020-10-30</c:v>
                </c:pt>
                <c:pt idx="1851">
                  <c:v>2020-11-02</c:v>
                </c:pt>
                <c:pt idx="1852">
                  <c:v>2020-11-03</c:v>
                </c:pt>
                <c:pt idx="1853">
                  <c:v>2020-11-04</c:v>
                </c:pt>
                <c:pt idx="1854">
                  <c:v>2020-11-05</c:v>
                </c:pt>
                <c:pt idx="1855">
                  <c:v>2020-11-06</c:v>
                </c:pt>
                <c:pt idx="1856">
                  <c:v>2020-11-09</c:v>
                </c:pt>
                <c:pt idx="1857">
                  <c:v>2020-11-10</c:v>
                </c:pt>
                <c:pt idx="1858">
                  <c:v>2020-11-11</c:v>
                </c:pt>
                <c:pt idx="1859">
                  <c:v>2020-11-12</c:v>
                </c:pt>
                <c:pt idx="1860">
                  <c:v>2020-11-13</c:v>
                </c:pt>
                <c:pt idx="1861">
                  <c:v>2020-11-16</c:v>
                </c:pt>
                <c:pt idx="1862">
                  <c:v>2020-11-17</c:v>
                </c:pt>
                <c:pt idx="1863">
                  <c:v>2020-11-18</c:v>
                </c:pt>
                <c:pt idx="1864">
                  <c:v>2020-11-19</c:v>
                </c:pt>
                <c:pt idx="1865">
                  <c:v>2020-11-20</c:v>
                </c:pt>
                <c:pt idx="1866">
                  <c:v>2020-11-23</c:v>
                </c:pt>
                <c:pt idx="1867">
                  <c:v>2020-11-24</c:v>
                </c:pt>
                <c:pt idx="1868">
                  <c:v>2020-11-25</c:v>
                </c:pt>
                <c:pt idx="1869">
                  <c:v>2020-11-26</c:v>
                </c:pt>
                <c:pt idx="1870">
                  <c:v>2020-11-27</c:v>
                </c:pt>
                <c:pt idx="1871">
                  <c:v>2020-11-30</c:v>
                </c:pt>
                <c:pt idx="1872">
                  <c:v>2020-12-01</c:v>
                </c:pt>
                <c:pt idx="1873">
                  <c:v>2020-12-02</c:v>
                </c:pt>
                <c:pt idx="1874">
                  <c:v>2020-12-03</c:v>
                </c:pt>
                <c:pt idx="1875">
                  <c:v>2020-12-04</c:v>
                </c:pt>
                <c:pt idx="1876">
                  <c:v>2020-12-07</c:v>
                </c:pt>
                <c:pt idx="1877">
                  <c:v>2020-12-08</c:v>
                </c:pt>
                <c:pt idx="1878">
                  <c:v>2020-12-09</c:v>
                </c:pt>
                <c:pt idx="1879">
                  <c:v>2020-12-10</c:v>
                </c:pt>
                <c:pt idx="1880">
                  <c:v>2020-12-11</c:v>
                </c:pt>
                <c:pt idx="1881">
                  <c:v>2020-12-14</c:v>
                </c:pt>
                <c:pt idx="1882">
                  <c:v>2020-12-15</c:v>
                </c:pt>
                <c:pt idx="1883">
                  <c:v>2020-12-16</c:v>
                </c:pt>
                <c:pt idx="1884">
                  <c:v>2020-12-17</c:v>
                </c:pt>
                <c:pt idx="1885">
                  <c:v>2020-12-18</c:v>
                </c:pt>
                <c:pt idx="1886">
                  <c:v>2020-12-21</c:v>
                </c:pt>
                <c:pt idx="1887">
                  <c:v>2020-12-22</c:v>
                </c:pt>
                <c:pt idx="1888">
                  <c:v>2020-12-23</c:v>
                </c:pt>
                <c:pt idx="1889">
                  <c:v>2020-12-24</c:v>
                </c:pt>
                <c:pt idx="1890">
                  <c:v>2020-12-25</c:v>
                </c:pt>
                <c:pt idx="1891">
                  <c:v>2020-12-28</c:v>
                </c:pt>
                <c:pt idx="1892">
                  <c:v>2020-12-29</c:v>
                </c:pt>
                <c:pt idx="1893">
                  <c:v>2020-12-30</c:v>
                </c:pt>
                <c:pt idx="1894">
                  <c:v>2020-12-31</c:v>
                </c:pt>
                <c:pt idx="1895">
                  <c:v>2021-01-04</c:v>
                </c:pt>
                <c:pt idx="1896">
                  <c:v>2021-01-05</c:v>
                </c:pt>
                <c:pt idx="1897">
                  <c:v>2021-01-06</c:v>
                </c:pt>
                <c:pt idx="1898">
                  <c:v>2021-01-07</c:v>
                </c:pt>
                <c:pt idx="1899">
                  <c:v>2021-01-08</c:v>
                </c:pt>
                <c:pt idx="1900">
                  <c:v>2021-01-11</c:v>
                </c:pt>
                <c:pt idx="1901">
                  <c:v>2021-01-12</c:v>
                </c:pt>
                <c:pt idx="1902">
                  <c:v>2021-01-13</c:v>
                </c:pt>
                <c:pt idx="1903">
                  <c:v>2021-01-14</c:v>
                </c:pt>
                <c:pt idx="1904">
                  <c:v>2021-01-15</c:v>
                </c:pt>
                <c:pt idx="1905">
                  <c:v>2021-01-18</c:v>
                </c:pt>
                <c:pt idx="1906">
                  <c:v>2021-01-19</c:v>
                </c:pt>
                <c:pt idx="1907">
                  <c:v>2021-01-20</c:v>
                </c:pt>
                <c:pt idx="1908">
                  <c:v>2021-01-21</c:v>
                </c:pt>
                <c:pt idx="1909">
                  <c:v>2021-01-22</c:v>
                </c:pt>
                <c:pt idx="1910">
                  <c:v>2021-01-25</c:v>
                </c:pt>
                <c:pt idx="1911">
                  <c:v>2021-01-26</c:v>
                </c:pt>
                <c:pt idx="1912">
                  <c:v>2021-01-27</c:v>
                </c:pt>
                <c:pt idx="1913">
                  <c:v>2021-01-28</c:v>
                </c:pt>
                <c:pt idx="1914">
                  <c:v>2021-01-29</c:v>
                </c:pt>
                <c:pt idx="1915">
                  <c:v>2021-02-01</c:v>
                </c:pt>
                <c:pt idx="1916">
                  <c:v>2021-02-02</c:v>
                </c:pt>
                <c:pt idx="1917">
                  <c:v>2021-02-03</c:v>
                </c:pt>
                <c:pt idx="1918">
                  <c:v>2021-02-04</c:v>
                </c:pt>
                <c:pt idx="1919">
                  <c:v>2021-02-05</c:v>
                </c:pt>
                <c:pt idx="1920">
                  <c:v>2021-02-08</c:v>
                </c:pt>
                <c:pt idx="1921">
                  <c:v>2021-02-09</c:v>
                </c:pt>
                <c:pt idx="1922">
                  <c:v>2021-02-10</c:v>
                </c:pt>
                <c:pt idx="1923">
                  <c:v>2021-02-18</c:v>
                </c:pt>
                <c:pt idx="1924">
                  <c:v>2021-02-19</c:v>
                </c:pt>
                <c:pt idx="1925">
                  <c:v>2021-02-22</c:v>
                </c:pt>
                <c:pt idx="1926">
                  <c:v>2021-02-23</c:v>
                </c:pt>
                <c:pt idx="1927">
                  <c:v>2021-02-24</c:v>
                </c:pt>
                <c:pt idx="1928">
                  <c:v>2021-02-25</c:v>
                </c:pt>
                <c:pt idx="1929">
                  <c:v>2021-02-26</c:v>
                </c:pt>
                <c:pt idx="1930">
                  <c:v>2021-03-01</c:v>
                </c:pt>
                <c:pt idx="1931">
                  <c:v>2021-03-02</c:v>
                </c:pt>
                <c:pt idx="1932">
                  <c:v>2021-03-03</c:v>
                </c:pt>
                <c:pt idx="1933">
                  <c:v>2021-03-04</c:v>
                </c:pt>
                <c:pt idx="1934">
                  <c:v>2021-03-05</c:v>
                </c:pt>
                <c:pt idx="1935">
                  <c:v>2021-03-08</c:v>
                </c:pt>
                <c:pt idx="1936">
                  <c:v>2021-03-09</c:v>
                </c:pt>
                <c:pt idx="1937">
                  <c:v>2021-03-10</c:v>
                </c:pt>
                <c:pt idx="1938">
                  <c:v>2021-03-11</c:v>
                </c:pt>
                <c:pt idx="1939">
                  <c:v>2021-03-12</c:v>
                </c:pt>
                <c:pt idx="1940">
                  <c:v>2021-03-15</c:v>
                </c:pt>
                <c:pt idx="1941">
                  <c:v>2021-03-16</c:v>
                </c:pt>
                <c:pt idx="1942">
                  <c:v>2021-03-17</c:v>
                </c:pt>
                <c:pt idx="1943">
                  <c:v>2021-03-18</c:v>
                </c:pt>
                <c:pt idx="1944">
                  <c:v>2021-03-19</c:v>
                </c:pt>
                <c:pt idx="1945">
                  <c:v>2021-03-22</c:v>
                </c:pt>
                <c:pt idx="1946">
                  <c:v>2021-03-23</c:v>
                </c:pt>
                <c:pt idx="1947">
                  <c:v>2021-03-24</c:v>
                </c:pt>
                <c:pt idx="1948">
                  <c:v>2021-03-25</c:v>
                </c:pt>
                <c:pt idx="1949">
                  <c:v>2021-03-26</c:v>
                </c:pt>
                <c:pt idx="1950">
                  <c:v>2021-03-29</c:v>
                </c:pt>
                <c:pt idx="1951">
                  <c:v>2021-03-30</c:v>
                </c:pt>
                <c:pt idx="1952">
                  <c:v>2021-03-31</c:v>
                </c:pt>
                <c:pt idx="1953">
                  <c:v>2021-04-01</c:v>
                </c:pt>
                <c:pt idx="1954">
                  <c:v>2021-04-02</c:v>
                </c:pt>
                <c:pt idx="1955">
                  <c:v>2021-04-06</c:v>
                </c:pt>
                <c:pt idx="1956">
                  <c:v>2021-04-07</c:v>
                </c:pt>
                <c:pt idx="1957">
                  <c:v>2021-04-08</c:v>
                </c:pt>
                <c:pt idx="1958">
                  <c:v>2021-04-09</c:v>
                </c:pt>
                <c:pt idx="1959">
                  <c:v>2021-04-12</c:v>
                </c:pt>
                <c:pt idx="1960">
                  <c:v>2021-04-13</c:v>
                </c:pt>
                <c:pt idx="1961">
                  <c:v>2021-04-14</c:v>
                </c:pt>
                <c:pt idx="1962">
                  <c:v>2021-04-15</c:v>
                </c:pt>
                <c:pt idx="1963">
                  <c:v>2021-04-16</c:v>
                </c:pt>
                <c:pt idx="1964">
                  <c:v>2021-04-19</c:v>
                </c:pt>
                <c:pt idx="1965">
                  <c:v>2021-04-20</c:v>
                </c:pt>
                <c:pt idx="1966">
                  <c:v>2021-04-21</c:v>
                </c:pt>
                <c:pt idx="1967">
                  <c:v>2021-04-22</c:v>
                </c:pt>
                <c:pt idx="1968">
                  <c:v>2021-04-23</c:v>
                </c:pt>
                <c:pt idx="1969">
                  <c:v>2021-04-26</c:v>
                </c:pt>
                <c:pt idx="1970">
                  <c:v>2021-04-27</c:v>
                </c:pt>
                <c:pt idx="1971">
                  <c:v>2021-04-28</c:v>
                </c:pt>
                <c:pt idx="1972">
                  <c:v>2021-04-29</c:v>
                </c:pt>
                <c:pt idx="1973">
                  <c:v>2021-04-30</c:v>
                </c:pt>
                <c:pt idx="1974">
                  <c:v>2021-05-06</c:v>
                </c:pt>
                <c:pt idx="1975">
                  <c:v>2021-05-07</c:v>
                </c:pt>
                <c:pt idx="1976">
                  <c:v>2021-05-10</c:v>
                </c:pt>
                <c:pt idx="1977">
                  <c:v>2021-05-11</c:v>
                </c:pt>
                <c:pt idx="1978">
                  <c:v>2021-05-12</c:v>
                </c:pt>
                <c:pt idx="1979">
                  <c:v>2021-05-13</c:v>
                </c:pt>
                <c:pt idx="1980">
                  <c:v>2021-05-14</c:v>
                </c:pt>
                <c:pt idx="1981">
                  <c:v>2021-05-17</c:v>
                </c:pt>
                <c:pt idx="1982">
                  <c:v>2021-05-18</c:v>
                </c:pt>
                <c:pt idx="1983">
                  <c:v>2021-05-19</c:v>
                </c:pt>
                <c:pt idx="1984">
                  <c:v>2021-05-20</c:v>
                </c:pt>
                <c:pt idx="1985">
                  <c:v>2021-05-21</c:v>
                </c:pt>
                <c:pt idx="1986">
                  <c:v>2021-05-24</c:v>
                </c:pt>
                <c:pt idx="1987">
                  <c:v>2021-05-25</c:v>
                </c:pt>
                <c:pt idx="1988">
                  <c:v>2021-05-26</c:v>
                </c:pt>
                <c:pt idx="1989">
                  <c:v>2021-05-27</c:v>
                </c:pt>
                <c:pt idx="1990">
                  <c:v>2021-05-28</c:v>
                </c:pt>
                <c:pt idx="1991">
                  <c:v>2021-05-31</c:v>
                </c:pt>
                <c:pt idx="1992">
                  <c:v>2021-06-01</c:v>
                </c:pt>
                <c:pt idx="1993">
                  <c:v>2021-06-02</c:v>
                </c:pt>
                <c:pt idx="1994">
                  <c:v>2021-06-03</c:v>
                </c:pt>
                <c:pt idx="1995">
                  <c:v>2021-06-04</c:v>
                </c:pt>
                <c:pt idx="1996">
                  <c:v>2021-06-07</c:v>
                </c:pt>
                <c:pt idx="1997">
                  <c:v>2021-06-08</c:v>
                </c:pt>
                <c:pt idx="1998">
                  <c:v>2021-06-09</c:v>
                </c:pt>
                <c:pt idx="1999">
                  <c:v>2021-06-10</c:v>
                </c:pt>
                <c:pt idx="2000">
                  <c:v>2021-06-11</c:v>
                </c:pt>
                <c:pt idx="2001">
                  <c:v>2021-06-15</c:v>
                </c:pt>
                <c:pt idx="2002">
                  <c:v>2021-06-16</c:v>
                </c:pt>
                <c:pt idx="2003">
                  <c:v>2021-06-17</c:v>
                </c:pt>
                <c:pt idx="2004">
                  <c:v>2021-06-18</c:v>
                </c:pt>
                <c:pt idx="2005">
                  <c:v>2021-06-21</c:v>
                </c:pt>
                <c:pt idx="2006">
                  <c:v>2021-06-22</c:v>
                </c:pt>
                <c:pt idx="2007">
                  <c:v>2021-06-23</c:v>
                </c:pt>
                <c:pt idx="2008">
                  <c:v>2021-06-24</c:v>
                </c:pt>
                <c:pt idx="2009">
                  <c:v>2021-06-25</c:v>
                </c:pt>
                <c:pt idx="2010">
                  <c:v>2021-06-28</c:v>
                </c:pt>
                <c:pt idx="2011">
                  <c:v>2021-06-29</c:v>
                </c:pt>
                <c:pt idx="2012">
                  <c:v>2021-06-30</c:v>
                </c:pt>
                <c:pt idx="2013">
                  <c:v>2021-07-01</c:v>
                </c:pt>
                <c:pt idx="2014">
                  <c:v>2021-07-02</c:v>
                </c:pt>
                <c:pt idx="2015">
                  <c:v>2021-07-05</c:v>
                </c:pt>
                <c:pt idx="2016">
                  <c:v>2021-07-06</c:v>
                </c:pt>
                <c:pt idx="2017">
                  <c:v>2021-07-07</c:v>
                </c:pt>
                <c:pt idx="2018">
                  <c:v>2021-07-08</c:v>
                </c:pt>
                <c:pt idx="2019">
                  <c:v>2021-07-09</c:v>
                </c:pt>
                <c:pt idx="2020">
                  <c:v>2021-07-12</c:v>
                </c:pt>
                <c:pt idx="2021">
                  <c:v>2021-07-13</c:v>
                </c:pt>
                <c:pt idx="2022">
                  <c:v>2021-07-14</c:v>
                </c:pt>
                <c:pt idx="2023">
                  <c:v>2021-07-15</c:v>
                </c:pt>
                <c:pt idx="2024">
                  <c:v>2021-07-16</c:v>
                </c:pt>
                <c:pt idx="2025">
                  <c:v>2021-07-19</c:v>
                </c:pt>
                <c:pt idx="2026">
                  <c:v>2021-07-20</c:v>
                </c:pt>
                <c:pt idx="2027">
                  <c:v>2021-07-21</c:v>
                </c:pt>
                <c:pt idx="2028">
                  <c:v>2021-07-22</c:v>
                </c:pt>
                <c:pt idx="2029">
                  <c:v>2021-07-23</c:v>
                </c:pt>
                <c:pt idx="2030">
                  <c:v>2021-07-26</c:v>
                </c:pt>
                <c:pt idx="2031">
                  <c:v>2021-07-27</c:v>
                </c:pt>
                <c:pt idx="2032">
                  <c:v>2021-07-28</c:v>
                </c:pt>
                <c:pt idx="2033">
                  <c:v>2021-07-29</c:v>
                </c:pt>
                <c:pt idx="2034">
                  <c:v>2021-07-30</c:v>
                </c:pt>
                <c:pt idx="2035">
                  <c:v>2021-08-02</c:v>
                </c:pt>
                <c:pt idx="2036">
                  <c:v>2021-08-03</c:v>
                </c:pt>
                <c:pt idx="2037">
                  <c:v>2021-08-04</c:v>
                </c:pt>
                <c:pt idx="2038">
                  <c:v>2021-08-05</c:v>
                </c:pt>
                <c:pt idx="2039">
                  <c:v>2021-08-06</c:v>
                </c:pt>
                <c:pt idx="2040">
                  <c:v>2021-08-09</c:v>
                </c:pt>
                <c:pt idx="2041">
                  <c:v>2021-08-10</c:v>
                </c:pt>
                <c:pt idx="2042">
                  <c:v>2021-08-11</c:v>
                </c:pt>
                <c:pt idx="2043">
                  <c:v>2021-08-12</c:v>
                </c:pt>
                <c:pt idx="2044">
                  <c:v>2021-08-13</c:v>
                </c:pt>
                <c:pt idx="2045">
                  <c:v>2021-08-16</c:v>
                </c:pt>
                <c:pt idx="2046">
                  <c:v>2021-08-17</c:v>
                </c:pt>
                <c:pt idx="2047">
                  <c:v>2021-08-18</c:v>
                </c:pt>
                <c:pt idx="2048">
                  <c:v>2021-08-19</c:v>
                </c:pt>
                <c:pt idx="2049">
                  <c:v>2021-08-20</c:v>
                </c:pt>
                <c:pt idx="2050">
                  <c:v>2021-08-23</c:v>
                </c:pt>
                <c:pt idx="2051">
                  <c:v>2021-08-24</c:v>
                </c:pt>
                <c:pt idx="2052">
                  <c:v>2021-08-25</c:v>
                </c:pt>
                <c:pt idx="2053">
                  <c:v>2021-08-26</c:v>
                </c:pt>
                <c:pt idx="2054">
                  <c:v>2021-08-27</c:v>
                </c:pt>
                <c:pt idx="2055">
                  <c:v>2021-08-30</c:v>
                </c:pt>
                <c:pt idx="2056">
                  <c:v>2021-08-31</c:v>
                </c:pt>
                <c:pt idx="2057">
                  <c:v>2021-09-01</c:v>
                </c:pt>
                <c:pt idx="2058">
                  <c:v>2021-09-02</c:v>
                </c:pt>
                <c:pt idx="2059">
                  <c:v>2021-09-03</c:v>
                </c:pt>
                <c:pt idx="2060">
                  <c:v>2021-09-06</c:v>
                </c:pt>
                <c:pt idx="2061">
                  <c:v>2021-09-07</c:v>
                </c:pt>
                <c:pt idx="2062">
                  <c:v>2021-09-08</c:v>
                </c:pt>
                <c:pt idx="2063">
                  <c:v>2021-09-09</c:v>
                </c:pt>
                <c:pt idx="2064">
                  <c:v>2021-09-10</c:v>
                </c:pt>
                <c:pt idx="2065">
                  <c:v>2021-09-13</c:v>
                </c:pt>
                <c:pt idx="2066">
                  <c:v>2021-09-14</c:v>
                </c:pt>
                <c:pt idx="2067">
                  <c:v>2021-09-15</c:v>
                </c:pt>
                <c:pt idx="2068">
                  <c:v>2021-09-16</c:v>
                </c:pt>
                <c:pt idx="2069">
                  <c:v>2021-09-17</c:v>
                </c:pt>
                <c:pt idx="2070">
                  <c:v>2021-09-22</c:v>
                </c:pt>
                <c:pt idx="2071">
                  <c:v>2021-09-23</c:v>
                </c:pt>
                <c:pt idx="2072">
                  <c:v>2021-09-24</c:v>
                </c:pt>
                <c:pt idx="2073">
                  <c:v>2021-09-27</c:v>
                </c:pt>
                <c:pt idx="2074">
                  <c:v>2021-09-28</c:v>
                </c:pt>
                <c:pt idx="2075">
                  <c:v>2021-09-29</c:v>
                </c:pt>
                <c:pt idx="2076">
                  <c:v>2021-09-30</c:v>
                </c:pt>
                <c:pt idx="2077">
                  <c:v>2021-10-08</c:v>
                </c:pt>
                <c:pt idx="2078">
                  <c:v>2021-10-11</c:v>
                </c:pt>
                <c:pt idx="2079">
                  <c:v>2021-10-12</c:v>
                </c:pt>
                <c:pt idx="2080">
                  <c:v>2021-10-13</c:v>
                </c:pt>
                <c:pt idx="2081">
                  <c:v>2021-10-14</c:v>
                </c:pt>
                <c:pt idx="2082">
                  <c:v>2021-10-15</c:v>
                </c:pt>
                <c:pt idx="2083">
                  <c:v>2021-10-18</c:v>
                </c:pt>
                <c:pt idx="2084">
                  <c:v>2021-10-19</c:v>
                </c:pt>
                <c:pt idx="2085">
                  <c:v>2021-10-20</c:v>
                </c:pt>
                <c:pt idx="2086">
                  <c:v>2021-10-21</c:v>
                </c:pt>
                <c:pt idx="2087">
                  <c:v>2021-10-22</c:v>
                </c:pt>
                <c:pt idx="2088">
                  <c:v>2021-10-25</c:v>
                </c:pt>
                <c:pt idx="2089">
                  <c:v>2021-10-26</c:v>
                </c:pt>
                <c:pt idx="2090">
                  <c:v>2021-10-27</c:v>
                </c:pt>
                <c:pt idx="2091">
                  <c:v>2021-10-28</c:v>
                </c:pt>
                <c:pt idx="2092">
                  <c:v>2021-10-29</c:v>
                </c:pt>
                <c:pt idx="2093">
                  <c:v>2021-11-01</c:v>
                </c:pt>
                <c:pt idx="2094">
                  <c:v>2021-11-02</c:v>
                </c:pt>
                <c:pt idx="2095">
                  <c:v>2021-11-03</c:v>
                </c:pt>
                <c:pt idx="2096">
                  <c:v>2021-11-04</c:v>
                </c:pt>
                <c:pt idx="2097">
                  <c:v>2021-11-05</c:v>
                </c:pt>
                <c:pt idx="2098">
                  <c:v>2021-11-08</c:v>
                </c:pt>
                <c:pt idx="2099">
                  <c:v>2021-11-09</c:v>
                </c:pt>
                <c:pt idx="2100">
                  <c:v>2021-11-10</c:v>
                </c:pt>
                <c:pt idx="2101">
                  <c:v>2021-11-11</c:v>
                </c:pt>
                <c:pt idx="2102">
                  <c:v>2021-11-12</c:v>
                </c:pt>
                <c:pt idx="2103">
                  <c:v>2021-11-15</c:v>
                </c:pt>
                <c:pt idx="2104">
                  <c:v>2021-11-16</c:v>
                </c:pt>
                <c:pt idx="2105">
                  <c:v>2021-11-17</c:v>
                </c:pt>
                <c:pt idx="2106">
                  <c:v>2021-11-18</c:v>
                </c:pt>
                <c:pt idx="2107">
                  <c:v>2021-11-19</c:v>
                </c:pt>
                <c:pt idx="2108">
                  <c:v>2021-11-22</c:v>
                </c:pt>
                <c:pt idx="2109">
                  <c:v>2021-11-23</c:v>
                </c:pt>
                <c:pt idx="2110">
                  <c:v>2021-11-24</c:v>
                </c:pt>
                <c:pt idx="2111">
                  <c:v>2021-11-25</c:v>
                </c:pt>
                <c:pt idx="2112">
                  <c:v>2021-11-26</c:v>
                </c:pt>
                <c:pt idx="2113">
                  <c:v>2021-11-29</c:v>
                </c:pt>
                <c:pt idx="2114">
                  <c:v>2021-11-30</c:v>
                </c:pt>
                <c:pt idx="2115">
                  <c:v>2021-12-01</c:v>
                </c:pt>
                <c:pt idx="2116">
                  <c:v>2021-12-02</c:v>
                </c:pt>
                <c:pt idx="2117">
                  <c:v>2021-12-03</c:v>
                </c:pt>
                <c:pt idx="2118">
                  <c:v>2021-12-06</c:v>
                </c:pt>
                <c:pt idx="2119">
                  <c:v>2021-12-07</c:v>
                </c:pt>
                <c:pt idx="2120">
                  <c:v>2021-12-08</c:v>
                </c:pt>
                <c:pt idx="2121">
                  <c:v>2021-12-09</c:v>
                </c:pt>
                <c:pt idx="2122">
                  <c:v>2021-12-10</c:v>
                </c:pt>
                <c:pt idx="2123">
                  <c:v>2021-12-13</c:v>
                </c:pt>
                <c:pt idx="2124">
                  <c:v>2021-12-14</c:v>
                </c:pt>
                <c:pt idx="2125">
                  <c:v>2021-12-15</c:v>
                </c:pt>
                <c:pt idx="2126">
                  <c:v>2021-12-16</c:v>
                </c:pt>
                <c:pt idx="2127">
                  <c:v>2021-12-17</c:v>
                </c:pt>
                <c:pt idx="2128">
                  <c:v>2021-12-20</c:v>
                </c:pt>
                <c:pt idx="2129">
                  <c:v>2021-12-21</c:v>
                </c:pt>
                <c:pt idx="2130">
                  <c:v>2021-12-22</c:v>
                </c:pt>
                <c:pt idx="2131">
                  <c:v>2021-12-23</c:v>
                </c:pt>
                <c:pt idx="2132">
                  <c:v>2021-12-24</c:v>
                </c:pt>
                <c:pt idx="2133">
                  <c:v>2021-12-27</c:v>
                </c:pt>
                <c:pt idx="2134">
                  <c:v>2021-12-28</c:v>
                </c:pt>
                <c:pt idx="2135">
                  <c:v>2021-12-29</c:v>
                </c:pt>
                <c:pt idx="2136">
                  <c:v>2021-12-30</c:v>
                </c:pt>
                <c:pt idx="2137">
                  <c:v>2021-12-31</c:v>
                </c:pt>
                <c:pt idx="2138">
                  <c:v>2022-01-04</c:v>
                </c:pt>
                <c:pt idx="2139">
                  <c:v>2022-01-05</c:v>
                </c:pt>
                <c:pt idx="2140">
                  <c:v>2022-01-06</c:v>
                </c:pt>
                <c:pt idx="2141">
                  <c:v>2022-01-07</c:v>
                </c:pt>
                <c:pt idx="2142">
                  <c:v>2022-01-10</c:v>
                </c:pt>
                <c:pt idx="2143">
                  <c:v>2022-01-11</c:v>
                </c:pt>
                <c:pt idx="2144">
                  <c:v>2022-01-12</c:v>
                </c:pt>
                <c:pt idx="2145">
                  <c:v>2022-01-13</c:v>
                </c:pt>
                <c:pt idx="2146">
                  <c:v>2022-01-14</c:v>
                </c:pt>
                <c:pt idx="2147">
                  <c:v>2022-01-17</c:v>
                </c:pt>
                <c:pt idx="2148">
                  <c:v>2022-01-18</c:v>
                </c:pt>
                <c:pt idx="2149">
                  <c:v>2022-01-19</c:v>
                </c:pt>
                <c:pt idx="2150">
                  <c:v>2022-01-20</c:v>
                </c:pt>
                <c:pt idx="2151">
                  <c:v>2022-01-21</c:v>
                </c:pt>
                <c:pt idx="2152">
                  <c:v>2022-01-24</c:v>
                </c:pt>
                <c:pt idx="2153">
                  <c:v>2022-01-25</c:v>
                </c:pt>
                <c:pt idx="2154">
                  <c:v>2022-01-26</c:v>
                </c:pt>
                <c:pt idx="2155">
                  <c:v>2022-01-27</c:v>
                </c:pt>
                <c:pt idx="2156">
                  <c:v>2022-01-28</c:v>
                </c:pt>
                <c:pt idx="2157">
                  <c:v>2022-02-07</c:v>
                </c:pt>
                <c:pt idx="2158">
                  <c:v>2022-02-08</c:v>
                </c:pt>
                <c:pt idx="2159">
                  <c:v>2022-02-09</c:v>
                </c:pt>
                <c:pt idx="2160">
                  <c:v>2022-02-10</c:v>
                </c:pt>
                <c:pt idx="2161">
                  <c:v>2022-02-11</c:v>
                </c:pt>
                <c:pt idx="2162">
                  <c:v>2022-02-14</c:v>
                </c:pt>
                <c:pt idx="2163">
                  <c:v>2022-02-15</c:v>
                </c:pt>
                <c:pt idx="2164">
                  <c:v>2022-02-16</c:v>
                </c:pt>
                <c:pt idx="2165">
                  <c:v>2022-02-17</c:v>
                </c:pt>
                <c:pt idx="2166">
                  <c:v>2022-02-18</c:v>
                </c:pt>
                <c:pt idx="2167">
                  <c:v>2022-02-21</c:v>
                </c:pt>
                <c:pt idx="2168">
                  <c:v>2022-02-22</c:v>
                </c:pt>
                <c:pt idx="2169">
                  <c:v>2022-02-23</c:v>
                </c:pt>
                <c:pt idx="2170">
                  <c:v>2022-02-24</c:v>
                </c:pt>
                <c:pt idx="2171">
                  <c:v>2022-02-25</c:v>
                </c:pt>
                <c:pt idx="2172">
                  <c:v>2022-02-28</c:v>
                </c:pt>
                <c:pt idx="2173">
                  <c:v>2022-03-01</c:v>
                </c:pt>
                <c:pt idx="2174">
                  <c:v>2022-03-02</c:v>
                </c:pt>
                <c:pt idx="2175">
                  <c:v>2022-03-03</c:v>
                </c:pt>
                <c:pt idx="2176">
                  <c:v>2022-03-04</c:v>
                </c:pt>
                <c:pt idx="2177">
                  <c:v>2022-03-07</c:v>
                </c:pt>
                <c:pt idx="2178">
                  <c:v>2022-03-08</c:v>
                </c:pt>
                <c:pt idx="2179">
                  <c:v>2022-03-09</c:v>
                </c:pt>
                <c:pt idx="2180">
                  <c:v>2022-03-10</c:v>
                </c:pt>
                <c:pt idx="2181">
                  <c:v>2022-03-11</c:v>
                </c:pt>
                <c:pt idx="2182">
                  <c:v>2022-03-14</c:v>
                </c:pt>
                <c:pt idx="2183">
                  <c:v>2022-03-15</c:v>
                </c:pt>
                <c:pt idx="2184">
                  <c:v>2022-03-16</c:v>
                </c:pt>
                <c:pt idx="2185">
                  <c:v>2022-03-17</c:v>
                </c:pt>
                <c:pt idx="2186">
                  <c:v>2022-03-18</c:v>
                </c:pt>
                <c:pt idx="2187">
                  <c:v>2022-03-21</c:v>
                </c:pt>
                <c:pt idx="2188">
                  <c:v>2022-03-22</c:v>
                </c:pt>
                <c:pt idx="2189">
                  <c:v>2022-03-23</c:v>
                </c:pt>
                <c:pt idx="2190">
                  <c:v>2022-03-24</c:v>
                </c:pt>
                <c:pt idx="2191">
                  <c:v>2022-03-25</c:v>
                </c:pt>
                <c:pt idx="2192">
                  <c:v>2022-03-28</c:v>
                </c:pt>
                <c:pt idx="2193">
                  <c:v>2022-03-29</c:v>
                </c:pt>
                <c:pt idx="2194">
                  <c:v>2022-03-30</c:v>
                </c:pt>
                <c:pt idx="2195">
                  <c:v>2022-03-31</c:v>
                </c:pt>
                <c:pt idx="2196">
                  <c:v>2022-04-01</c:v>
                </c:pt>
                <c:pt idx="2197">
                  <c:v>2022-04-06</c:v>
                </c:pt>
                <c:pt idx="2198">
                  <c:v>2022-04-07</c:v>
                </c:pt>
                <c:pt idx="2199">
                  <c:v>2022-04-08</c:v>
                </c:pt>
                <c:pt idx="2200">
                  <c:v>2022-04-11</c:v>
                </c:pt>
                <c:pt idx="2201">
                  <c:v>2022-04-12</c:v>
                </c:pt>
                <c:pt idx="2202">
                  <c:v>2022-04-13</c:v>
                </c:pt>
                <c:pt idx="2203">
                  <c:v>2022-04-14</c:v>
                </c:pt>
                <c:pt idx="2204">
                  <c:v>2022-04-15</c:v>
                </c:pt>
                <c:pt idx="2205">
                  <c:v>2022-04-18</c:v>
                </c:pt>
                <c:pt idx="2206">
                  <c:v>2022-04-19</c:v>
                </c:pt>
                <c:pt idx="2207">
                  <c:v>2022-04-20</c:v>
                </c:pt>
                <c:pt idx="2208">
                  <c:v>2022-04-21</c:v>
                </c:pt>
                <c:pt idx="2209">
                  <c:v>2022-04-22</c:v>
                </c:pt>
                <c:pt idx="2210">
                  <c:v>2022-04-25</c:v>
                </c:pt>
                <c:pt idx="2211">
                  <c:v>2022-04-26</c:v>
                </c:pt>
                <c:pt idx="2212">
                  <c:v>2022-04-27</c:v>
                </c:pt>
                <c:pt idx="2213">
                  <c:v>2022-04-28</c:v>
                </c:pt>
                <c:pt idx="2214">
                  <c:v>2022-04-29</c:v>
                </c:pt>
                <c:pt idx="2215">
                  <c:v>2022-05-05</c:v>
                </c:pt>
                <c:pt idx="2216">
                  <c:v>2022-05-06</c:v>
                </c:pt>
                <c:pt idx="2217">
                  <c:v>2022-05-09</c:v>
                </c:pt>
                <c:pt idx="2218">
                  <c:v>2022-05-10</c:v>
                </c:pt>
                <c:pt idx="2219">
                  <c:v>2022-05-11</c:v>
                </c:pt>
                <c:pt idx="2220">
                  <c:v>2022-05-12</c:v>
                </c:pt>
                <c:pt idx="2221">
                  <c:v>2022-05-13</c:v>
                </c:pt>
                <c:pt idx="2222">
                  <c:v>2022-05-16</c:v>
                </c:pt>
                <c:pt idx="2223">
                  <c:v>2022-05-17</c:v>
                </c:pt>
                <c:pt idx="2224">
                  <c:v>2022-05-18</c:v>
                </c:pt>
                <c:pt idx="2225">
                  <c:v>2022-05-19</c:v>
                </c:pt>
                <c:pt idx="2226">
                  <c:v>2022-05-20</c:v>
                </c:pt>
                <c:pt idx="2227">
                  <c:v>2022-05-23</c:v>
                </c:pt>
                <c:pt idx="2228">
                  <c:v>2022-05-24</c:v>
                </c:pt>
                <c:pt idx="2229">
                  <c:v>2022-05-25</c:v>
                </c:pt>
                <c:pt idx="2230">
                  <c:v>2022-05-26</c:v>
                </c:pt>
                <c:pt idx="2231">
                  <c:v>2022-05-27</c:v>
                </c:pt>
                <c:pt idx="2232">
                  <c:v>2022-05-30</c:v>
                </c:pt>
                <c:pt idx="2233">
                  <c:v>2022-05-31</c:v>
                </c:pt>
                <c:pt idx="2234">
                  <c:v>2022-06-01</c:v>
                </c:pt>
                <c:pt idx="2235">
                  <c:v>2022-06-02</c:v>
                </c:pt>
                <c:pt idx="2236">
                  <c:v>2022-06-06</c:v>
                </c:pt>
                <c:pt idx="2237">
                  <c:v>2022-06-07</c:v>
                </c:pt>
                <c:pt idx="2238">
                  <c:v>2022-06-08</c:v>
                </c:pt>
                <c:pt idx="2239">
                  <c:v>2022-06-09</c:v>
                </c:pt>
                <c:pt idx="2240">
                  <c:v>2022-06-10</c:v>
                </c:pt>
                <c:pt idx="2241">
                  <c:v>2022-06-13</c:v>
                </c:pt>
                <c:pt idx="2242">
                  <c:v>2022-06-14</c:v>
                </c:pt>
                <c:pt idx="2243">
                  <c:v>2022-06-15</c:v>
                </c:pt>
                <c:pt idx="2244">
                  <c:v>2022-06-16</c:v>
                </c:pt>
                <c:pt idx="2245">
                  <c:v>2022-06-17</c:v>
                </c:pt>
                <c:pt idx="2246">
                  <c:v>2022-06-20</c:v>
                </c:pt>
                <c:pt idx="2247">
                  <c:v>2022-06-21</c:v>
                </c:pt>
                <c:pt idx="2248">
                  <c:v>2022-06-22</c:v>
                </c:pt>
                <c:pt idx="2249">
                  <c:v>2022-06-23</c:v>
                </c:pt>
                <c:pt idx="2250">
                  <c:v>2022-06-24</c:v>
                </c:pt>
                <c:pt idx="2251">
                  <c:v>2022-06-27</c:v>
                </c:pt>
                <c:pt idx="2252">
                  <c:v>2022-06-28</c:v>
                </c:pt>
                <c:pt idx="2253">
                  <c:v>2022-06-29</c:v>
                </c:pt>
                <c:pt idx="2254">
                  <c:v>2022-06-30</c:v>
                </c:pt>
                <c:pt idx="2255">
                  <c:v>2022-07-01</c:v>
                </c:pt>
                <c:pt idx="2256">
                  <c:v>2022-07-04</c:v>
                </c:pt>
                <c:pt idx="2257">
                  <c:v>2022-07-05</c:v>
                </c:pt>
                <c:pt idx="2258">
                  <c:v>2022-07-06</c:v>
                </c:pt>
                <c:pt idx="2259">
                  <c:v>2022-07-07</c:v>
                </c:pt>
                <c:pt idx="2260">
                  <c:v>2022-07-08</c:v>
                </c:pt>
                <c:pt idx="2261">
                  <c:v>2022-07-11</c:v>
                </c:pt>
                <c:pt idx="2262">
                  <c:v>2022-07-12</c:v>
                </c:pt>
                <c:pt idx="2263">
                  <c:v>2022-07-13</c:v>
                </c:pt>
                <c:pt idx="2264">
                  <c:v>2022-07-14</c:v>
                </c:pt>
                <c:pt idx="2265">
                  <c:v>2022-07-15</c:v>
                </c:pt>
                <c:pt idx="2266">
                  <c:v>2022-07-18</c:v>
                </c:pt>
                <c:pt idx="2267">
                  <c:v>2022-07-19</c:v>
                </c:pt>
                <c:pt idx="2268">
                  <c:v>2022-07-20</c:v>
                </c:pt>
                <c:pt idx="2269">
                  <c:v>2022-07-21</c:v>
                </c:pt>
                <c:pt idx="2270">
                  <c:v>2022-07-22</c:v>
                </c:pt>
                <c:pt idx="2271">
                  <c:v>2022-07-25</c:v>
                </c:pt>
                <c:pt idx="2272">
                  <c:v>2022-07-26</c:v>
                </c:pt>
                <c:pt idx="2273">
                  <c:v>2022-07-27</c:v>
                </c:pt>
                <c:pt idx="2274">
                  <c:v>2022-07-28</c:v>
                </c:pt>
                <c:pt idx="2275">
                  <c:v>2022-07-29</c:v>
                </c:pt>
                <c:pt idx="2276">
                  <c:v>2022-08-01</c:v>
                </c:pt>
                <c:pt idx="2277">
                  <c:v>2022-08-02</c:v>
                </c:pt>
                <c:pt idx="2278">
                  <c:v>2022-08-03</c:v>
                </c:pt>
                <c:pt idx="2279">
                  <c:v>2022-08-04</c:v>
                </c:pt>
                <c:pt idx="2280">
                  <c:v>2022-08-05</c:v>
                </c:pt>
                <c:pt idx="2281">
                  <c:v>2022-08-08</c:v>
                </c:pt>
                <c:pt idx="2282">
                  <c:v>2022-08-09</c:v>
                </c:pt>
                <c:pt idx="2283">
                  <c:v>2022-08-10</c:v>
                </c:pt>
                <c:pt idx="2284">
                  <c:v>2022-08-11</c:v>
                </c:pt>
                <c:pt idx="2285">
                  <c:v>2022-08-12</c:v>
                </c:pt>
                <c:pt idx="2286">
                  <c:v>2022-08-15</c:v>
                </c:pt>
                <c:pt idx="2287">
                  <c:v>2022-08-16</c:v>
                </c:pt>
                <c:pt idx="2288">
                  <c:v>2022-08-17</c:v>
                </c:pt>
                <c:pt idx="2289">
                  <c:v>2022-08-18</c:v>
                </c:pt>
                <c:pt idx="2290">
                  <c:v>2022-08-19</c:v>
                </c:pt>
                <c:pt idx="2291">
                  <c:v>2022-08-22</c:v>
                </c:pt>
                <c:pt idx="2292">
                  <c:v>2022-08-23</c:v>
                </c:pt>
                <c:pt idx="2293">
                  <c:v>2022-08-24</c:v>
                </c:pt>
                <c:pt idx="2294">
                  <c:v>2022-08-25</c:v>
                </c:pt>
                <c:pt idx="2295">
                  <c:v>2022-08-26</c:v>
                </c:pt>
                <c:pt idx="2296">
                  <c:v>2022-08-29</c:v>
                </c:pt>
                <c:pt idx="2297">
                  <c:v>2022-08-30</c:v>
                </c:pt>
                <c:pt idx="2298">
                  <c:v>2022-08-31</c:v>
                </c:pt>
                <c:pt idx="2299">
                  <c:v>2022-09-01</c:v>
                </c:pt>
                <c:pt idx="2300">
                  <c:v>2022-09-02</c:v>
                </c:pt>
                <c:pt idx="2301">
                  <c:v>2022-09-05</c:v>
                </c:pt>
                <c:pt idx="2302">
                  <c:v>2022-09-06</c:v>
                </c:pt>
                <c:pt idx="2303">
                  <c:v>2022-09-07</c:v>
                </c:pt>
                <c:pt idx="2304">
                  <c:v>2022-09-08</c:v>
                </c:pt>
                <c:pt idx="2305">
                  <c:v>2022-09-09</c:v>
                </c:pt>
                <c:pt idx="2306">
                  <c:v>2022-09-13</c:v>
                </c:pt>
                <c:pt idx="2307">
                  <c:v>2022-09-14</c:v>
                </c:pt>
                <c:pt idx="2308">
                  <c:v>2022-09-15</c:v>
                </c:pt>
                <c:pt idx="2309">
                  <c:v>2022-09-16</c:v>
                </c:pt>
                <c:pt idx="2310">
                  <c:v>2022-09-19</c:v>
                </c:pt>
                <c:pt idx="2311">
                  <c:v>2022-09-20</c:v>
                </c:pt>
                <c:pt idx="2312">
                  <c:v>2022-09-21</c:v>
                </c:pt>
                <c:pt idx="2313">
                  <c:v>2022-09-22</c:v>
                </c:pt>
                <c:pt idx="2314">
                  <c:v>2022-09-23</c:v>
                </c:pt>
                <c:pt idx="2315">
                  <c:v>2022-09-26</c:v>
                </c:pt>
                <c:pt idx="2316">
                  <c:v>2022-09-27</c:v>
                </c:pt>
                <c:pt idx="2317">
                  <c:v>2022-09-28</c:v>
                </c:pt>
                <c:pt idx="2318">
                  <c:v>2022-09-29</c:v>
                </c:pt>
                <c:pt idx="2319">
                  <c:v>2022-09-30</c:v>
                </c:pt>
                <c:pt idx="2320">
                  <c:v>2022-10-10</c:v>
                </c:pt>
                <c:pt idx="2321">
                  <c:v>2022-10-11</c:v>
                </c:pt>
                <c:pt idx="2322">
                  <c:v>2022-10-12</c:v>
                </c:pt>
                <c:pt idx="2323">
                  <c:v>2022-10-13</c:v>
                </c:pt>
                <c:pt idx="2324">
                  <c:v>2022-10-14</c:v>
                </c:pt>
                <c:pt idx="2325">
                  <c:v>2022-10-17</c:v>
                </c:pt>
                <c:pt idx="2326">
                  <c:v>2022-10-18</c:v>
                </c:pt>
                <c:pt idx="2327">
                  <c:v>2022-10-19</c:v>
                </c:pt>
                <c:pt idx="2328">
                  <c:v>2022-10-20</c:v>
                </c:pt>
                <c:pt idx="2329">
                  <c:v>2022-10-21</c:v>
                </c:pt>
                <c:pt idx="2330">
                  <c:v>2022-10-24</c:v>
                </c:pt>
                <c:pt idx="2331">
                  <c:v>2022-10-25</c:v>
                </c:pt>
                <c:pt idx="2332">
                  <c:v>2022-10-26</c:v>
                </c:pt>
                <c:pt idx="2333">
                  <c:v>2022-10-27</c:v>
                </c:pt>
                <c:pt idx="2334">
                  <c:v>2022-10-28</c:v>
                </c:pt>
                <c:pt idx="2335">
                  <c:v>2022-10-31</c:v>
                </c:pt>
                <c:pt idx="2336">
                  <c:v>2022-11-01</c:v>
                </c:pt>
                <c:pt idx="2337">
                  <c:v>2022-11-02</c:v>
                </c:pt>
                <c:pt idx="2338">
                  <c:v>2022-11-03</c:v>
                </c:pt>
                <c:pt idx="2339">
                  <c:v>2022-11-04</c:v>
                </c:pt>
                <c:pt idx="2340">
                  <c:v>2022-11-07</c:v>
                </c:pt>
                <c:pt idx="2341">
                  <c:v>2022-11-08</c:v>
                </c:pt>
                <c:pt idx="2342">
                  <c:v>2022-11-09</c:v>
                </c:pt>
                <c:pt idx="2343">
                  <c:v>2022-11-10</c:v>
                </c:pt>
                <c:pt idx="2344">
                  <c:v>2022-11-11</c:v>
                </c:pt>
                <c:pt idx="2345">
                  <c:v>2022-11-14</c:v>
                </c:pt>
                <c:pt idx="2346">
                  <c:v>2022-11-15</c:v>
                </c:pt>
                <c:pt idx="2347">
                  <c:v>2022-11-16</c:v>
                </c:pt>
                <c:pt idx="2348">
                  <c:v>2022-11-17</c:v>
                </c:pt>
                <c:pt idx="2349">
                  <c:v>2022-11-18</c:v>
                </c:pt>
                <c:pt idx="2350">
                  <c:v>2022-11-21</c:v>
                </c:pt>
                <c:pt idx="2351">
                  <c:v>2022-11-22</c:v>
                </c:pt>
                <c:pt idx="2352">
                  <c:v>2022-11-23</c:v>
                </c:pt>
                <c:pt idx="2353">
                  <c:v>2022-11-24</c:v>
                </c:pt>
                <c:pt idx="2354">
                  <c:v>2022-11-25</c:v>
                </c:pt>
                <c:pt idx="2355">
                  <c:v>2022-11-28</c:v>
                </c:pt>
                <c:pt idx="2356">
                  <c:v>2022-11-29</c:v>
                </c:pt>
                <c:pt idx="2357">
                  <c:v>2022-11-30</c:v>
                </c:pt>
                <c:pt idx="2358">
                  <c:v>2022-12-01</c:v>
                </c:pt>
                <c:pt idx="2359">
                  <c:v>2022-12-02</c:v>
                </c:pt>
                <c:pt idx="2360">
                  <c:v>2022-12-05</c:v>
                </c:pt>
                <c:pt idx="2361">
                  <c:v>2022-12-06</c:v>
                </c:pt>
                <c:pt idx="2362">
                  <c:v>2022-12-07</c:v>
                </c:pt>
                <c:pt idx="2363">
                  <c:v>2022-12-08</c:v>
                </c:pt>
                <c:pt idx="2364">
                  <c:v>2022-12-09</c:v>
                </c:pt>
                <c:pt idx="2365">
                  <c:v>2022-12-12</c:v>
                </c:pt>
                <c:pt idx="2366">
                  <c:v>2022-12-13</c:v>
                </c:pt>
                <c:pt idx="2367">
                  <c:v>2022-12-14</c:v>
                </c:pt>
                <c:pt idx="2368">
                  <c:v>2022-12-15</c:v>
                </c:pt>
                <c:pt idx="2369">
                  <c:v>2022-12-16</c:v>
                </c:pt>
                <c:pt idx="2370">
                  <c:v>2022-12-19</c:v>
                </c:pt>
                <c:pt idx="2371">
                  <c:v>2022-12-20</c:v>
                </c:pt>
                <c:pt idx="2372">
                  <c:v>2022-12-21</c:v>
                </c:pt>
                <c:pt idx="2373">
                  <c:v>2022-12-22</c:v>
                </c:pt>
                <c:pt idx="2374">
                  <c:v>2022-12-23</c:v>
                </c:pt>
                <c:pt idx="2375">
                  <c:v>2022-12-26</c:v>
                </c:pt>
                <c:pt idx="2376">
                  <c:v>2022-12-27</c:v>
                </c:pt>
                <c:pt idx="2377">
                  <c:v>2022-12-28</c:v>
                </c:pt>
                <c:pt idx="2378">
                  <c:v>2022-12-29</c:v>
                </c:pt>
                <c:pt idx="2379">
                  <c:v>2022-12-30</c:v>
                </c:pt>
                <c:pt idx="2380">
                  <c:v>2023-01-03</c:v>
                </c:pt>
                <c:pt idx="2381">
                  <c:v>2023-01-04</c:v>
                </c:pt>
                <c:pt idx="2382">
                  <c:v>2023-01-05</c:v>
                </c:pt>
                <c:pt idx="2383">
                  <c:v>2023-01-06</c:v>
                </c:pt>
                <c:pt idx="2384">
                  <c:v>2023-01-09</c:v>
                </c:pt>
                <c:pt idx="2385">
                  <c:v>2023-01-10</c:v>
                </c:pt>
                <c:pt idx="2386">
                  <c:v>2023-01-11</c:v>
                </c:pt>
                <c:pt idx="2387">
                  <c:v>2023-01-12</c:v>
                </c:pt>
                <c:pt idx="2388">
                  <c:v>2023-01-13</c:v>
                </c:pt>
                <c:pt idx="2389">
                  <c:v>2023-01-16</c:v>
                </c:pt>
                <c:pt idx="2390">
                  <c:v>2023-01-17</c:v>
                </c:pt>
                <c:pt idx="2391">
                  <c:v>2023-01-18</c:v>
                </c:pt>
                <c:pt idx="2392">
                  <c:v>2023-01-19</c:v>
                </c:pt>
                <c:pt idx="2393">
                  <c:v>2023-01-20</c:v>
                </c:pt>
                <c:pt idx="2394">
                  <c:v>2023-01-30</c:v>
                </c:pt>
                <c:pt idx="2395">
                  <c:v>2023-01-31</c:v>
                </c:pt>
                <c:pt idx="2396">
                  <c:v>2023-02-01</c:v>
                </c:pt>
                <c:pt idx="2397">
                  <c:v>2023-02-02</c:v>
                </c:pt>
                <c:pt idx="2398">
                  <c:v>2023-02-03</c:v>
                </c:pt>
                <c:pt idx="2399">
                  <c:v>2023-02-06</c:v>
                </c:pt>
                <c:pt idx="2400">
                  <c:v>2023-02-07</c:v>
                </c:pt>
                <c:pt idx="2401">
                  <c:v>2023-02-08</c:v>
                </c:pt>
                <c:pt idx="2402">
                  <c:v>2023-02-09</c:v>
                </c:pt>
                <c:pt idx="2403">
                  <c:v>2023-02-10</c:v>
                </c:pt>
                <c:pt idx="2404">
                  <c:v>2023-02-13</c:v>
                </c:pt>
                <c:pt idx="2405">
                  <c:v>2023-02-14</c:v>
                </c:pt>
                <c:pt idx="2406">
                  <c:v>2023-02-15</c:v>
                </c:pt>
                <c:pt idx="2407">
                  <c:v>2023-02-16</c:v>
                </c:pt>
                <c:pt idx="2408">
                  <c:v>2023-02-17</c:v>
                </c:pt>
                <c:pt idx="2409">
                  <c:v>2023-02-20</c:v>
                </c:pt>
                <c:pt idx="2410">
                  <c:v>2023-02-21</c:v>
                </c:pt>
                <c:pt idx="2411">
                  <c:v>2023-02-22</c:v>
                </c:pt>
                <c:pt idx="2412">
                  <c:v>2023-02-23</c:v>
                </c:pt>
                <c:pt idx="2413">
                  <c:v>2023-02-24</c:v>
                </c:pt>
                <c:pt idx="2414">
                  <c:v>2023-02-27</c:v>
                </c:pt>
                <c:pt idx="2415">
                  <c:v>2023-02-28</c:v>
                </c:pt>
                <c:pt idx="2416">
                  <c:v>2023-03-01</c:v>
                </c:pt>
                <c:pt idx="2417">
                  <c:v>2023-03-02</c:v>
                </c:pt>
                <c:pt idx="2418">
                  <c:v>2023-03-03</c:v>
                </c:pt>
                <c:pt idx="2419">
                  <c:v>2023-03-06</c:v>
                </c:pt>
                <c:pt idx="2420">
                  <c:v>2023-03-07</c:v>
                </c:pt>
                <c:pt idx="2421">
                  <c:v>2023-03-08</c:v>
                </c:pt>
                <c:pt idx="2422">
                  <c:v>2023-03-09</c:v>
                </c:pt>
                <c:pt idx="2423">
                  <c:v>2023-03-10</c:v>
                </c:pt>
                <c:pt idx="2424">
                  <c:v>2023-03-13</c:v>
                </c:pt>
                <c:pt idx="2425">
                  <c:v>2023-03-14</c:v>
                </c:pt>
                <c:pt idx="2426">
                  <c:v>2023-03-15</c:v>
                </c:pt>
                <c:pt idx="2427">
                  <c:v>2023-03-16</c:v>
                </c:pt>
                <c:pt idx="2428">
                  <c:v>2023-03-17</c:v>
                </c:pt>
                <c:pt idx="2429">
                  <c:v>2023-03-20</c:v>
                </c:pt>
                <c:pt idx="2430">
                  <c:v>2023-03-21</c:v>
                </c:pt>
                <c:pt idx="2431">
                  <c:v>2023-03-22</c:v>
                </c:pt>
                <c:pt idx="2432">
                  <c:v>2023-03-23</c:v>
                </c:pt>
                <c:pt idx="2433">
                  <c:v>2023-03-24</c:v>
                </c:pt>
                <c:pt idx="2434">
                  <c:v>2023-03-27</c:v>
                </c:pt>
                <c:pt idx="2435">
                  <c:v>2023-03-28</c:v>
                </c:pt>
                <c:pt idx="2436">
                  <c:v>2023-03-29</c:v>
                </c:pt>
                <c:pt idx="2437">
                  <c:v>2023-03-30</c:v>
                </c:pt>
                <c:pt idx="2438">
                  <c:v>2023-03-31</c:v>
                </c:pt>
                <c:pt idx="2439">
                  <c:v>2023-04-03</c:v>
                </c:pt>
                <c:pt idx="2440">
                  <c:v>2023-04-04</c:v>
                </c:pt>
                <c:pt idx="2441">
                  <c:v>2023-04-06</c:v>
                </c:pt>
                <c:pt idx="2442">
                  <c:v>2023-04-07</c:v>
                </c:pt>
                <c:pt idx="2443">
                  <c:v>2023-04-10</c:v>
                </c:pt>
                <c:pt idx="2444">
                  <c:v>2023-04-11</c:v>
                </c:pt>
                <c:pt idx="2445">
                  <c:v>2023-04-12</c:v>
                </c:pt>
                <c:pt idx="2446">
                  <c:v>2023-04-13</c:v>
                </c:pt>
                <c:pt idx="2447">
                  <c:v>2023-04-14</c:v>
                </c:pt>
                <c:pt idx="2448">
                  <c:v>2023-04-17</c:v>
                </c:pt>
                <c:pt idx="2449">
                  <c:v>2023-04-18</c:v>
                </c:pt>
                <c:pt idx="2450">
                  <c:v>2023-04-19</c:v>
                </c:pt>
                <c:pt idx="2451">
                  <c:v>2023-04-20</c:v>
                </c:pt>
                <c:pt idx="2452">
                  <c:v>2023-04-21</c:v>
                </c:pt>
                <c:pt idx="2453">
                  <c:v>2023-04-24</c:v>
                </c:pt>
                <c:pt idx="2454">
                  <c:v>2023-04-25</c:v>
                </c:pt>
                <c:pt idx="2455">
                  <c:v>2023-04-26</c:v>
                </c:pt>
                <c:pt idx="2456">
                  <c:v>2023-04-27</c:v>
                </c:pt>
                <c:pt idx="2457">
                  <c:v>2023-04-28</c:v>
                </c:pt>
                <c:pt idx="2458">
                  <c:v>2023-05-04</c:v>
                </c:pt>
                <c:pt idx="2459">
                  <c:v>2023-05-05</c:v>
                </c:pt>
                <c:pt idx="2460">
                  <c:v>2023-05-08</c:v>
                </c:pt>
                <c:pt idx="2461">
                  <c:v>2023-05-09</c:v>
                </c:pt>
                <c:pt idx="2462">
                  <c:v>2023-05-10</c:v>
                </c:pt>
                <c:pt idx="2463">
                  <c:v>2023-05-11</c:v>
                </c:pt>
                <c:pt idx="2464">
                  <c:v>2023-05-12</c:v>
                </c:pt>
                <c:pt idx="2465">
                  <c:v>2023-05-15</c:v>
                </c:pt>
                <c:pt idx="2466">
                  <c:v>2023-05-16</c:v>
                </c:pt>
                <c:pt idx="2467">
                  <c:v>2023-05-17</c:v>
                </c:pt>
                <c:pt idx="2468">
                  <c:v>2023-05-18</c:v>
                </c:pt>
                <c:pt idx="2469">
                  <c:v>2023-05-19</c:v>
                </c:pt>
                <c:pt idx="2470">
                  <c:v>2023-05-22</c:v>
                </c:pt>
                <c:pt idx="2471">
                  <c:v>2023-05-23</c:v>
                </c:pt>
                <c:pt idx="2472">
                  <c:v>2023-05-24</c:v>
                </c:pt>
                <c:pt idx="2473">
                  <c:v>2023-05-25</c:v>
                </c:pt>
                <c:pt idx="2474">
                  <c:v>2023-05-26</c:v>
                </c:pt>
                <c:pt idx="2475">
                  <c:v>2023-05-29</c:v>
                </c:pt>
                <c:pt idx="2476">
                  <c:v>2023-05-30</c:v>
                </c:pt>
                <c:pt idx="2477">
                  <c:v>2023-05-31</c:v>
                </c:pt>
                <c:pt idx="2478">
                  <c:v>2023-06-01</c:v>
                </c:pt>
                <c:pt idx="2479">
                  <c:v>2023-06-02</c:v>
                </c:pt>
                <c:pt idx="2480">
                  <c:v>2023-06-05</c:v>
                </c:pt>
                <c:pt idx="2481">
                  <c:v>2023-06-06</c:v>
                </c:pt>
                <c:pt idx="2482">
                  <c:v>2023-06-07</c:v>
                </c:pt>
                <c:pt idx="2483">
                  <c:v>2023-06-08</c:v>
                </c:pt>
                <c:pt idx="2484">
                  <c:v>2023-06-09</c:v>
                </c:pt>
                <c:pt idx="2485">
                  <c:v>2023-06-12</c:v>
                </c:pt>
                <c:pt idx="2486">
                  <c:v>2023-06-13</c:v>
                </c:pt>
                <c:pt idx="2487">
                  <c:v>2023-06-14</c:v>
                </c:pt>
                <c:pt idx="2488">
                  <c:v>2023-06-15</c:v>
                </c:pt>
                <c:pt idx="2489">
                  <c:v>2023-06-16</c:v>
                </c:pt>
                <c:pt idx="2490">
                  <c:v>2023-06-19</c:v>
                </c:pt>
                <c:pt idx="2491">
                  <c:v>2023-06-20</c:v>
                </c:pt>
                <c:pt idx="2492">
                  <c:v>2023-06-21</c:v>
                </c:pt>
                <c:pt idx="2493">
                  <c:v>2023-06-26</c:v>
                </c:pt>
                <c:pt idx="2494">
                  <c:v>2023-06-27</c:v>
                </c:pt>
                <c:pt idx="2495">
                  <c:v>2023-06-28</c:v>
                </c:pt>
                <c:pt idx="2496">
                  <c:v>2023-06-29</c:v>
                </c:pt>
                <c:pt idx="2497">
                  <c:v>2023-06-30</c:v>
                </c:pt>
                <c:pt idx="2498">
                  <c:v>2023-07-03</c:v>
                </c:pt>
                <c:pt idx="2499">
                  <c:v>2023-07-04</c:v>
                </c:pt>
                <c:pt idx="2500">
                  <c:v>2023-07-05</c:v>
                </c:pt>
                <c:pt idx="2501">
                  <c:v>2023-07-06</c:v>
                </c:pt>
                <c:pt idx="2502">
                  <c:v>2023-07-07</c:v>
                </c:pt>
                <c:pt idx="2503">
                  <c:v>2023-07-10</c:v>
                </c:pt>
                <c:pt idx="2504">
                  <c:v>2023-07-11</c:v>
                </c:pt>
                <c:pt idx="2505">
                  <c:v>2023-07-12</c:v>
                </c:pt>
                <c:pt idx="2506">
                  <c:v>2023-07-13</c:v>
                </c:pt>
                <c:pt idx="2507">
                  <c:v>2023-07-14</c:v>
                </c:pt>
                <c:pt idx="2508">
                  <c:v>2023-07-17</c:v>
                </c:pt>
                <c:pt idx="2509">
                  <c:v>2023-07-18</c:v>
                </c:pt>
                <c:pt idx="2510">
                  <c:v>2023-07-19</c:v>
                </c:pt>
                <c:pt idx="2511">
                  <c:v>2023-07-20</c:v>
                </c:pt>
                <c:pt idx="2512">
                  <c:v>2023-07-21</c:v>
                </c:pt>
                <c:pt idx="2513">
                  <c:v>2023-07-24</c:v>
                </c:pt>
                <c:pt idx="2514">
                  <c:v>2023-07-25</c:v>
                </c:pt>
                <c:pt idx="2515">
                  <c:v>2023-07-26</c:v>
                </c:pt>
                <c:pt idx="2516">
                  <c:v>2023-07-27</c:v>
                </c:pt>
                <c:pt idx="2517">
                  <c:v>2023-07-28</c:v>
                </c:pt>
                <c:pt idx="2518">
                  <c:v>2023-07-31</c:v>
                </c:pt>
                <c:pt idx="2519">
                  <c:v>2023-08-01</c:v>
                </c:pt>
                <c:pt idx="2520">
                  <c:v>2023-08-02</c:v>
                </c:pt>
                <c:pt idx="2521">
                  <c:v>2023-08-03</c:v>
                </c:pt>
                <c:pt idx="2522">
                  <c:v>2023-08-04</c:v>
                </c:pt>
                <c:pt idx="2523">
                  <c:v>2023-08-07</c:v>
                </c:pt>
                <c:pt idx="2524">
                  <c:v>2023-08-08</c:v>
                </c:pt>
                <c:pt idx="2525">
                  <c:v>2023-08-09</c:v>
                </c:pt>
                <c:pt idx="2526">
                  <c:v>2023-08-10</c:v>
                </c:pt>
                <c:pt idx="2527">
                  <c:v>2023-08-11</c:v>
                </c:pt>
                <c:pt idx="2528">
                  <c:v>2023-08-14</c:v>
                </c:pt>
                <c:pt idx="2529">
                  <c:v>2023-08-15</c:v>
                </c:pt>
                <c:pt idx="2530">
                  <c:v>2023-08-16</c:v>
                </c:pt>
                <c:pt idx="2531">
                  <c:v>2023-08-17</c:v>
                </c:pt>
                <c:pt idx="2532">
                  <c:v>2023-08-18</c:v>
                </c:pt>
                <c:pt idx="2533">
                  <c:v>2023-08-21</c:v>
                </c:pt>
                <c:pt idx="2534">
                  <c:v>2023-08-22</c:v>
                </c:pt>
                <c:pt idx="2535">
                  <c:v>2023-08-23</c:v>
                </c:pt>
                <c:pt idx="2536">
                  <c:v>2023-08-24</c:v>
                </c:pt>
                <c:pt idx="2537">
                  <c:v>2023-08-25</c:v>
                </c:pt>
                <c:pt idx="2538">
                  <c:v>2023-08-28</c:v>
                </c:pt>
                <c:pt idx="2539">
                  <c:v>2023-08-29</c:v>
                </c:pt>
                <c:pt idx="2540">
                  <c:v>2023-08-30</c:v>
                </c:pt>
                <c:pt idx="2541">
                  <c:v>2023-08-31</c:v>
                </c:pt>
                <c:pt idx="2542">
                  <c:v>2023-09-01</c:v>
                </c:pt>
                <c:pt idx="2543">
                  <c:v>2023-09-04</c:v>
                </c:pt>
                <c:pt idx="2544">
                  <c:v>2023-09-05</c:v>
                </c:pt>
                <c:pt idx="2545">
                  <c:v>2023-09-06</c:v>
                </c:pt>
                <c:pt idx="2546">
                  <c:v>2023-09-07</c:v>
                </c:pt>
                <c:pt idx="2547">
                  <c:v>2023-09-08</c:v>
                </c:pt>
                <c:pt idx="2548">
                  <c:v>2023-09-11</c:v>
                </c:pt>
                <c:pt idx="2549">
                  <c:v>2023-09-12</c:v>
                </c:pt>
                <c:pt idx="2550">
                  <c:v>2023-09-13</c:v>
                </c:pt>
                <c:pt idx="2551">
                  <c:v>2023-09-14</c:v>
                </c:pt>
                <c:pt idx="2552">
                  <c:v>2023-09-15</c:v>
                </c:pt>
                <c:pt idx="2553">
                  <c:v>2023-09-18</c:v>
                </c:pt>
                <c:pt idx="2554">
                  <c:v>2023-09-19</c:v>
                </c:pt>
                <c:pt idx="2555">
                  <c:v>2023-09-20</c:v>
                </c:pt>
                <c:pt idx="2556">
                  <c:v>2023-09-21</c:v>
                </c:pt>
                <c:pt idx="2557">
                  <c:v>2023-09-22</c:v>
                </c:pt>
                <c:pt idx="2558">
                  <c:v>2023-09-25</c:v>
                </c:pt>
                <c:pt idx="2559">
                  <c:v>2023-09-26</c:v>
                </c:pt>
                <c:pt idx="2560">
                  <c:v>2023-09-27</c:v>
                </c:pt>
                <c:pt idx="2561">
                  <c:v>2023-09-28</c:v>
                </c:pt>
                <c:pt idx="2562">
                  <c:v>2023-10-09</c:v>
                </c:pt>
                <c:pt idx="2563">
                  <c:v>2023-10-10</c:v>
                </c:pt>
                <c:pt idx="2564">
                  <c:v>2023-10-11</c:v>
                </c:pt>
                <c:pt idx="2565">
                  <c:v>2023-10-12</c:v>
                </c:pt>
                <c:pt idx="2566">
                  <c:v>2023-10-13</c:v>
                </c:pt>
                <c:pt idx="2567">
                  <c:v>2023-10-16</c:v>
                </c:pt>
                <c:pt idx="2568">
                  <c:v>2023-10-17</c:v>
                </c:pt>
                <c:pt idx="2569">
                  <c:v>2023-10-18</c:v>
                </c:pt>
                <c:pt idx="2570">
                  <c:v>2023-10-19</c:v>
                </c:pt>
                <c:pt idx="2571">
                  <c:v>2023-10-20</c:v>
                </c:pt>
                <c:pt idx="2572">
                  <c:v>2023-10-23</c:v>
                </c:pt>
                <c:pt idx="2573">
                  <c:v>2023-10-24</c:v>
                </c:pt>
                <c:pt idx="2574">
                  <c:v>2023-10-25</c:v>
                </c:pt>
                <c:pt idx="2575">
                  <c:v>2023-10-26</c:v>
                </c:pt>
                <c:pt idx="2576">
                  <c:v>2023-10-27</c:v>
                </c:pt>
                <c:pt idx="2577">
                  <c:v>2023-10-30</c:v>
                </c:pt>
                <c:pt idx="2578">
                  <c:v>2023-10-31</c:v>
                </c:pt>
                <c:pt idx="2579">
                  <c:v>2023-11-01</c:v>
                </c:pt>
                <c:pt idx="2580">
                  <c:v>2023-11-02</c:v>
                </c:pt>
                <c:pt idx="2581">
                  <c:v>2023-11-03</c:v>
                </c:pt>
                <c:pt idx="2582">
                  <c:v>2023-11-06</c:v>
                </c:pt>
                <c:pt idx="2583">
                  <c:v>2023-11-07</c:v>
                </c:pt>
                <c:pt idx="2584">
                  <c:v>2023-11-08</c:v>
                </c:pt>
                <c:pt idx="2585">
                  <c:v>2023-11-09</c:v>
                </c:pt>
                <c:pt idx="2586">
                  <c:v>2023-11-10</c:v>
                </c:pt>
                <c:pt idx="2587">
                  <c:v>2023-11-13</c:v>
                </c:pt>
                <c:pt idx="2588">
                  <c:v>2023-11-14</c:v>
                </c:pt>
                <c:pt idx="2589">
                  <c:v>2023-11-15</c:v>
                </c:pt>
                <c:pt idx="2590">
                  <c:v>2023-11-16</c:v>
                </c:pt>
                <c:pt idx="2591">
                  <c:v>2023-11-17</c:v>
                </c:pt>
                <c:pt idx="2592">
                  <c:v>2023-11-20</c:v>
                </c:pt>
                <c:pt idx="2593">
                  <c:v>2023-11-21</c:v>
                </c:pt>
                <c:pt idx="2594">
                  <c:v>2023-11-22</c:v>
                </c:pt>
                <c:pt idx="2595">
                  <c:v>2023-11-23</c:v>
                </c:pt>
                <c:pt idx="2596">
                  <c:v>2023-11-24</c:v>
                </c:pt>
                <c:pt idx="2597">
                  <c:v>2023-11-27</c:v>
                </c:pt>
                <c:pt idx="2598">
                  <c:v>2023-11-28</c:v>
                </c:pt>
                <c:pt idx="2599">
                  <c:v>2023-11-29</c:v>
                </c:pt>
                <c:pt idx="2600">
                  <c:v>2023-11-30</c:v>
                </c:pt>
                <c:pt idx="2601">
                  <c:v>2023-12-01</c:v>
                </c:pt>
                <c:pt idx="2602">
                  <c:v>2023-12-04</c:v>
                </c:pt>
                <c:pt idx="2603">
                  <c:v>2023-12-05</c:v>
                </c:pt>
                <c:pt idx="2604">
                  <c:v>2023-12-06</c:v>
                </c:pt>
                <c:pt idx="2605">
                  <c:v>2023-12-07</c:v>
                </c:pt>
                <c:pt idx="2606">
                  <c:v>2023-12-08</c:v>
                </c:pt>
                <c:pt idx="2607">
                  <c:v>2023-12-11</c:v>
                </c:pt>
                <c:pt idx="2608">
                  <c:v>2023-12-12</c:v>
                </c:pt>
                <c:pt idx="2609">
                  <c:v>2023-12-13</c:v>
                </c:pt>
                <c:pt idx="2610">
                  <c:v>2023-12-14</c:v>
                </c:pt>
                <c:pt idx="2611">
                  <c:v>2023-12-15</c:v>
                </c:pt>
                <c:pt idx="2612">
                  <c:v>2023-12-18</c:v>
                </c:pt>
                <c:pt idx="2613">
                  <c:v>2023-12-19</c:v>
                </c:pt>
                <c:pt idx="2614">
                  <c:v>2023-12-20</c:v>
                </c:pt>
                <c:pt idx="2615">
                  <c:v>2023-12-21</c:v>
                </c:pt>
                <c:pt idx="2616">
                  <c:v>2023-12-22</c:v>
                </c:pt>
                <c:pt idx="2617">
                  <c:v>2023-12-25</c:v>
                </c:pt>
                <c:pt idx="2618">
                  <c:v>2023-12-26</c:v>
                </c:pt>
                <c:pt idx="2619">
                  <c:v>2023-12-27</c:v>
                </c:pt>
                <c:pt idx="2620">
                  <c:v>2023-12-28</c:v>
                </c:pt>
                <c:pt idx="2621">
                  <c:v>2023-12-29</c:v>
                </c:pt>
                <c:pt idx="2622">
                  <c:v>2024-01-02</c:v>
                </c:pt>
                <c:pt idx="2623">
                  <c:v>2024-01-03</c:v>
                </c:pt>
                <c:pt idx="2624">
                  <c:v>2024-01-04</c:v>
                </c:pt>
                <c:pt idx="2625">
                  <c:v>2024-01-05</c:v>
                </c:pt>
                <c:pt idx="2626">
                  <c:v>2024-01-08</c:v>
                </c:pt>
                <c:pt idx="2627">
                  <c:v>2024-01-09</c:v>
                </c:pt>
                <c:pt idx="2628">
                  <c:v>2024-01-10</c:v>
                </c:pt>
                <c:pt idx="2629">
                  <c:v>2024-01-11</c:v>
                </c:pt>
                <c:pt idx="2630">
                  <c:v>2024-01-12</c:v>
                </c:pt>
                <c:pt idx="2631">
                  <c:v>2024-01-15</c:v>
                </c:pt>
                <c:pt idx="2632">
                  <c:v>2024-01-16</c:v>
                </c:pt>
                <c:pt idx="2633">
                  <c:v>2024-01-17</c:v>
                </c:pt>
                <c:pt idx="2634">
                  <c:v>2024-01-18</c:v>
                </c:pt>
                <c:pt idx="2635">
                  <c:v>2024-01-19</c:v>
                </c:pt>
                <c:pt idx="2636">
                  <c:v>2024-01-22</c:v>
                </c:pt>
                <c:pt idx="2637">
                  <c:v>2024-01-23</c:v>
                </c:pt>
                <c:pt idx="2638">
                  <c:v>2024-01-24</c:v>
                </c:pt>
                <c:pt idx="2639">
                  <c:v>2024-01-25</c:v>
                </c:pt>
                <c:pt idx="2640">
                  <c:v>2024-01-26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2024-02-05</c:v>
                </c:pt>
                <c:pt idx="2647">
                  <c:v>2024-02-06</c:v>
                </c:pt>
                <c:pt idx="2648">
                  <c:v>2024-02-07</c:v>
                </c:pt>
                <c:pt idx="2649">
                  <c:v>2024-02-08</c:v>
                </c:pt>
                <c:pt idx="2650">
                  <c:v>2024-02-19</c:v>
                </c:pt>
                <c:pt idx="2651">
                  <c:v>2024-02-20</c:v>
                </c:pt>
                <c:pt idx="2652">
                  <c:v>2024-02-21</c:v>
                </c:pt>
                <c:pt idx="2653">
                  <c:v>2024-02-22</c:v>
                </c:pt>
                <c:pt idx="2654">
                  <c:v>2024-02-23</c:v>
                </c:pt>
                <c:pt idx="2655">
                  <c:v>2024-02-26</c:v>
                </c:pt>
                <c:pt idx="2656">
                  <c:v>2024-02-27</c:v>
                </c:pt>
                <c:pt idx="2657">
                  <c:v>2024-02-28</c:v>
                </c:pt>
                <c:pt idx="2658">
                  <c:v>2024-02-29</c:v>
                </c:pt>
                <c:pt idx="2659">
                  <c:v>2024-03-01</c:v>
                </c:pt>
                <c:pt idx="2660">
                  <c:v>2024-03-04</c:v>
                </c:pt>
                <c:pt idx="2661">
                  <c:v>2024-03-05</c:v>
                </c:pt>
                <c:pt idx="2662">
                  <c:v>2024-03-06</c:v>
                </c:pt>
                <c:pt idx="2663">
                  <c:v>2024-03-07</c:v>
                </c:pt>
                <c:pt idx="2664">
                  <c:v>2024-03-08</c:v>
                </c:pt>
                <c:pt idx="2665">
                  <c:v>2024-03-11</c:v>
                </c:pt>
                <c:pt idx="2666">
                  <c:v>2024-03-12</c:v>
                </c:pt>
                <c:pt idx="2667">
                  <c:v>2024-03-13</c:v>
                </c:pt>
                <c:pt idx="2668">
                  <c:v>2024-03-14</c:v>
                </c:pt>
                <c:pt idx="2669">
                  <c:v>2024-03-15</c:v>
                </c:pt>
                <c:pt idx="2670">
                  <c:v>2024-03-18</c:v>
                </c:pt>
                <c:pt idx="2671">
                  <c:v>2024-03-19</c:v>
                </c:pt>
                <c:pt idx="2672">
                  <c:v>2024-03-20</c:v>
                </c:pt>
                <c:pt idx="2673">
                  <c:v>2024-03-21</c:v>
                </c:pt>
                <c:pt idx="2674">
                  <c:v>2024-03-22</c:v>
                </c:pt>
                <c:pt idx="2675">
                  <c:v>2024-03-25</c:v>
                </c:pt>
                <c:pt idx="2676">
                  <c:v>2024-03-26</c:v>
                </c:pt>
                <c:pt idx="2677">
                  <c:v>2024-03-27</c:v>
                </c:pt>
                <c:pt idx="2678">
                  <c:v>2024-03-28</c:v>
                </c:pt>
                <c:pt idx="2679">
                  <c:v>2024-03-29</c:v>
                </c:pt>
                <c:pt idx="2680">
                  <c:v>2024-04-01</c:v>
                </c:pt>
                <c:pt idx="2681">
                  <c:v>2024-04-02</c:v>
                </c:pt>
                <c:pt idx="2682">
                  <c:v>2024-04-03</c:v>
                </c:pt>
                <c:pt idx="2683">
                  <c:v>2024-04-08</c:v>
                </c:pt>
                <c:pt idx="2684">
                  <c:v>2024-04-09</c:v>
                </c:pt>
                <c:pt idx="2685">
                  <c:v>2024-04-10</c:v>
                </c:pt>
                <c:pt idx="2686">
                  <c:v>2024-04-11</c:v>
                </c:pt>
                <c:pt idx="2687">
                  <c:v>2024-04-12</c:v>
                </c:pt>
                <c:pt idx="2688">
                  <c:v>2024-04-15</c:v>
                </c:pt>
                <c:pt idx="2689">
                  <c:v>2024-04-16</c:v>
                </c:pt>
                <c:pt idx="2690">
                  <c:v>2024-04-17</c:v>
                </c:pt>
                <c:pt idx="2691">
                  <c:v>2024-04-18</c:v>
                </c:pt>
                <c:pt idx="2692">
                  <c:v>2024-04-19</c:v>
                </c:pt>
                <c:pt idx="2693">
                  <c:v>2024-04-22</c:v>
                </c:pt>
                <c:pt idx="2694">
                  <c:v>2024-04-23</c:v>
                </c:pt>
                <c:pt idx="2695">
                  <c:v>2024-04-24</c:v>
                </c:pt>
                <c:pt idx="2696">
                  <c:v>2024-04-25</c:v>
                </c:pt>
                <c:pt idx="2697">
                  <c:v>2024-04-26</c:v>
                </c:pt>
                <c:pt idx="2698">
                  <c:v>2024-04-29</c:v>
                </c:pt>
                <c:pt idx="2699">
                  <c:v>2024-04-30</c:v>
                </c:pt>
                <c:pt idx="2700">
                  <c:v>2024-05-06</c:v>
                </c:pt>
                <c:pt idx="2701">
                  <c:v>2024-05-07</c:v>
                </c:pt>
                <c:pt idx="2702">
                  <c:v>2024-05-08</c:v>
                </c:pt>
                <c:pt idx="2703">
                  <c:v>2024-05-09</c:v>
                </c:pt>
                <c:pt idx="2704">
                  <c:v>2024-05-10</c:v>
                </c:pt>
                <c:pt idx="2705">
                  <c:v>2024-05-13</c:v>
                </c:pt>
                <c:pt idx="2706">
                  <c:v>2024-05-14</c:v>
                </c:pt>
                <c:pt idx="2707">
                  <c:v>2024-05-15</c:v>
                </c:pt>
                <c:pt idx="2708">
                  <c:v>2024-05-16</c:v>
                </c:pt>
                <c:pt idx="2709">
                  <c:v>2024-05-17</c:v>
                </c:pt>
                <c:pt idx="2710">
                  <c:v>2024-05-20</c:v>
                </c:pt>
                <c:pt idx="2711">
                  <c:v>2024-05-21</c:v>
                </c:pt>
                <c:pt idx="2712">
                  <c:v>2024-05-22</c:v>
                </c:pt>
                <c:pt idx="2713">
                  <c:v>2024-05-23</c:v>
                </c:pt>
                <c:pt idx="2714">
                  <c:v>2024-05-24</c:v>
                </c:pt>
                <c:pt idx="2715">
                  <c:v>2024-05-27</c:v>
                </c:pt>
                <c:pt idx="2716">
                  <c:v>2024-05-28</c:v>
                </c:pt>
                <c:pt idx="2717">
                  <c:v>2024-05-29</c:v>
                </c:pt>
                <c:pt idx="2718">
                  <c:v>2024-05-30</c:v>
                </c:pt>
                <c:pt idx="2719">
                  <c:v>2024-05-31</c:v>
                </c:pt>
                <c:pt idx="2720">
                  <c:v>2024-06-03</c:v>
                </c:pt>
                <c:pt idx="2721">
                  <c:v>2024-06-04</c:v>
                </c:pt>
                <c:pt idx="2722">
                  <c:v>2024-06-05</c:v>
                </c:pt>
                <c:pt idx="2723">
                  <c:v>2024-06-06</c:v>
                </c:pt>
                <c:pt idx="2724">
                  <c:v>2024-06-07</c:v>
                </c:pt>
                <c:pt idx="2725">
                  <c:v>2024-06-11</c:v>
                </c:pt>
                <c:pt idx="2726">
                  <c:v>2024-06-12</c:v>
                </c:pt>
                <c:pt idx="2727">
                  <c:v>2024-06-13</c:v>
                </c:pt>
                <c:pt idx="2728">
                  <c:v>2024-06-14</c:v>
                </c:pt>
                <c:pt idx="2729">
                  <c:v>2024-06-17</c:v>
                </c:pt>
                <c:pt idx="2730">
                  <c:v>2024-06-18</c:v>
                </c:pt>
                <c:pt idx="2731">
                  <c:v>2024-06-19</c:v>
                </c:pt>
                <c:pt idx="2732">
                  <c:v>2024-06-20</c:v>
                </c:pt>
                <c:pt idx="2733">
                  <c:v>2024-06-21</c:v>
                </c:pt>
                <c:pt idx="2734">
                  <c:v>2024-06-24</c:v>
                </c:pt>
                <c:pt idx="2735">
                  <c:v>2024-06-25</c:v>
                </c:pt>
                <c:pt idx="2736">
                  <c:v>2024-06-26</c:v>
                </c:pt>
                <c:pt idx="2737">
                  <c:v>2024-06-27</c:v>
                </c:pt>
                <c:pt idx="2738">
                  <c:v>2024-06-28</c:v>
                </c:pt>
                <c:pt idx="2739">
                  <c:v>2024-07-01</c:v>
                </c:pt>
                <c:pt idx="2740">
                  <c:v>2024-07-02</c:v>
                </c:pt>
                <c:pt idx="2741">
                  <c:v>2024-07-03</c:v>
                </c:pt>
                <c:pt idx="2742">
                  <c:v>2024-07-04</c:v>
                </c:pt>
                <c:pt idx="2743">
                  <c:v>2024-07-05</c:v>
                </c:pt>
                <c:pt idx="2744">
                  <c:v>2024-07-08</c:v>
                </c:pt>
                <c:pt idx="2745">
                  <c:v>2024-07-09</c:v>
                </c:pt>
                <c:pt idx="2746">
                  <c:v>2024-07-10</c:v>
                </c:pt>
                <c:pt idx="2747">
                  <c:v>2024-07-11</c:v>
                </c:pt>
                <c:pt idx="2748">
                  <c:v>2024-07-12</c:v>
                </c:pt>
                <c:pt idx="2749">
                  <c:v>2024-07-15</c:v>
                </c:pt>
                <c:pt idx="2750">
                  <c:v>2024-07-16</c:v>
                </c:pt>
                <c:pt idx="2751">
                  <c:v>2024-07-17</c:v>
                </c:pt>
                <c:pt idx="2752">
                  <c:v>2024-07-18</c:v>
                </c:pt>
                <c:pt idx="2753">
                  <c:v>2024-07-19</c:v>
                </c:pt>
                <c:pt idx="2754">
                  <c:v>2024-07-22</c:v>
                </c:pt>
                <c:pt idx="2755">
                  <c:v>2024-07-23</c:v>
                </c:pt>
                <c:pt idx="2756">
                  <c:v>2024-07-24</c:v>
                </c:pt>
                <c:pt idx="2757">
                  <c:v>2024-07-25</c:v>
                </c:pt>
                <c:pt idx="2758">
                  <c:v>2024-07-26</c:v>
                </c:pt>
                <c:pt idx="2759">
                  <c:v>2024-07-29</c:v>
                </c:pt>
                <c:pt idx="2760">
                  <c:v>2024-07-30</c:v>
                </c:pt>
                <c:pt idx="2761">
                  <c:v>2024-07-31</c:v>
                </c:pt>
                <c:pt idx="2762">
                  <c:v>2024-08-01</c:v>
                </c:pt>
                <c:pt idx="2763">
                  <c:v>2024-08-02</c:v>
                </c:pt>
                <c:pt idx="2764">
                  <c:v>2024-08-05</c:v>
                </c:pt>
                <c:pt idx="2765">
                  <c:v>2024-08-06</c:v>
                </c:pt>
                <c:pt idx="2766">
                  <c:v>2024-08-07</c:v>
                </c:pt>
                <c:pt idx="2767">
                  <c:v>2024-08-08</c:v>
                </c:pt>
                <c:pt idx="2768">
                  <c:v>2024-08-09</c:v>
                </c:pt>
                <c:pt idx="2769">
                  <c:v>2024-08-12</c:v>
                </c:pt>
                <c:pt idx="2770">
                  <c:v>2024-08-13</c:v>
                </c:pt>
                <c:pt idx="2771">
                  <c:v>2024-08-14</c:v>
                </c:pt>
                <c:pt idx="2772">
                  <c:v>2024-08-15</c:v>
                </c:pt>
                <c:pt idx="2773">
                  <c:v>2024-08-16</c:v>
                </c:pt>
                <c:pt idx="2774">
                  <c:v>2024-08-19</c:v>
                </c:pt>
                <c:pt idx="2775">
                  <c:v>2024-08-20</c:v>
                </c:pt>
                <c:pt idx="2776">
                  <c:v>2024-08-21</c:v>
                </c:pt>
                <c:pt idx="2777">
                  <c:v>2024-08-22</c:v>
                </c:pt>
                <c:pt idx="2778">
                  <c:v>2024-08-23</c:v>
                </c:pt>
                <c:pt idx="2779">
                  <c:v>2024-08-26</c:v>
                </c:pt>
                <c:pt idx="2780">
                  <c:v>2024-08-27</c:v>
                </c:pt>
                <c:pt idx="2781">
                  <c:v>2024-08-28</c:v>
                </c:pt>
                <c:pt idx="2782">
                  <c:v>2024-08-29</c:v>
                </c:pt>
                <c:pt idx="2783">
                  <c:v>2024-08-30</c:v>
                </c:pt>
                <c:pt idx="2784">
                  <c:v>2024-09-02</c:v>
                </c:pt>
                <c:pt idx="2785">
                  <c:v>2024-09-03</c:v>
                </c:pt>
                <c:pt idx="2786">
                  <c:v>2024-09-04</c:v>
                </c:pt>
                <c:pt idx="2787">
                  <c:v>2024-09-05</c:v>
                </c:pt>
                <c:pt idx="2788">
                  <c:v>2024-09-06</c:v>
                </c:pt>
                <c:pt idx="2789">
                  <c:v>2024-09-09</c:v>
                </c:pt>
                <c:pt idx="2790">
                  <c:v>2024-09-10</c:v>
                </c:pt>
                <c:pt idx="2791">
                  <c:v>2024-09-11</c:v>
                </c:pt>
                <c:pt idx="2792">
                  <c:v>2024-09-12</c:v>
                </c:pt>
                <c:pt idx="2793">
                  <c:v>2024-09-13</c:v>
                </c:pt>
                <c:pt idx="2794">
                  <c:v>2024-09-18</c:v>
                </c:pt>
                <c:pt idx="2795">
                  <c:v>2024-09-19</c:v>
                </c:pt>
                <c:pt idx="2796">
                  <c:v>2024-09-20</c:v>
                </c:pt>
                <c:pt idx="2797">
                  <c:v>2024-09-23</c:v>
                </c:pt>
                <c:pt idx="2798">
                  <c:v>2024-09-24</c:v>
                </c:pt>
                <c:pt idx="2799">
                  <c:v>2024-09-25</c:v>
                </c:pt>
                <c:pt idx="2800">
                  <c:v>2024-09-26</c:v>
                </c:pt>
                <c:pt idx="2801">
                  <c:v>2024-09-27</c:v>
                </c:pt>
                <c:pt idx="2802">
                  <c:v>2024-09-30</c:v>
                </c:pt>
                <c:pt idx="2803">
                  <c:v>2024-10-08</c:v>
                </c:pt>
                <c:pt idx="2804">
                  <c:v>2024-10-09</c:v>
                </c:pt>
                <c:pt idx="2805">
                  <c:v>2024-10-10</c:v>
                </c:pt>
                <c:pt idx="2806">
                  <c:v>2024-10-11</c:v>
                </c:pt>
                <c:pt idx="2807">
                  <c:v>2024-10-14</c:v>
                </c:pt>
                <c:pt idx="2808">
                  <c:v>2024-10-15</c:v>
                </c:pt>
                <c:pt idx="2809">
                  <c:v>2024-10-16</c:v>
                </c:pt>
                <c:pt idx="2810">
                  <c:v>2024-10-17</c:v>
                </c:pt>
                <c:pt idx="2811">
                  <c:v>2024-10-18</c:v>
                </c:pt>
                <c:pt idx="2812">
                  <c:v>2024-10-21</c:v>
                </c:pt>
                <c:pt idx="2813">
                  <c:v>2024-10-22</c:v>
                </c:pt>
                <c:pt idx="2814">
                  <c:v>2024-10-23</c:v>
                </c:pt>
                <c:pt idx="2815">
                  <c:v>2024-10-24</c:v>
                </c:pt>
                <c:pt idx="2816">
                  <c:v>2024-10-25</c:v>
                </c:pt>
                <c:pt idx="2817">
                  <c:v>2024-10-28</c:v>
                </c:pt>
                <c:pt idx="2818">
                  <c:v>2024-10-29</c:v>
                </c:pt>
                <c:pt idx="2819">
                  <c:v>2024-10-30</c:v>
                </c:pt>
                <c:pt idx="2820">
                  <c:v>2024-10-31</c:v>
                </c:pt>
                <c:pt idx="2821">
                  <c:v>2024-11-01</c:v>
                </c:pt>
                <c:pt idx="2822">
                  <c:v>2024-11-04</c:v>
                </c:pt>
                <c:pt idx="2823">
                  <c:v>2024-11-05</c:v>
                </c:pt>
                <c:pt idx="2824">
                  <c:v>2024-11-06</c:v>
                </c:pt>
                <c:pt idx="2825">
                  <c:v>2024-11-07</c:v>
                </c:pt>
                <c:pt idx="2826">
                  <c:v>2024-11-08</c:v>
                </c:pt>
                <c:pt idx="2827">
                  <c:v>2024-11-11</c:v>
                </c:pt>
                <c:pt idx="2828">
                  <c:v>2024-11-12</c:v>
                </c:pt>
                <c:pt idx="2829">
                  <c:v>2024-11-13</c:v>
                </c:pt>
                <c:pt idx="2830">
                  <c:v>2024-11-14</c:v>
                </c:pt>
                <c:pt idx="2831">
                  <c:v>2024-11-15</c:v>
                </c:pt>
                <c:pt idx="2832">
                  <c:v>2024-11-18</c:v>
                </c:pt>
                <c:pt idx="2833">
                  <c:v>2024-11-19</c:v>
                </c:pt>
                <c:pt idx="2834">
                  <c:v>2024-11-20</c:v>
                </c:pt>
                <c:pt idx="2835">
                  <c:v>2024-11-21</c:v>
                </c:pt>
                <c:pt idx="2836">
                  <c:v>2024-11-22</c:v>
                </c:pt>
                <c:pt idx="2837">
                  <c:v>2024-11-25</c:v>
                </c:pt>
                <c:pt idx="2838">
                  <c:v>2024-11-26</c:v>
                </c:pt>
                <c:pt idx="2839">
                  <c:v>2024-11-27</c:v>
                </c:pt>
                <c:pt idx="2840">
                  <c:v>2024-11-28</c:v>
                </c:pt>
                <c:pt idx="2841">
                  <c:v>2024-11-29</c:v>
                </c:pt>
                <c:pt idx="2842">
                  <c:v>2024-12-02</c:v>
                </c:pt>
                <c:pt idx="2843">
                  <c:v>2024-12-03</c:v>
                </c:pt>
                <c:pt idx="2844">
                  <c:v>2024-12-04</c:v>
                </c:pt>
                <c:pt idx="2845">
                  <c:v>2024-12-05</c:v>
                </c:pt>
                <c:pt idx="2846">
                  <c:v>2024-12-06</c:v>
                </c:pt>
                <c:pt idx="2847">
                  <c:v>2024-12-09</c:v>
                </c:pt>
                <c:pt idx="2848">
                  <c:v>2024-12-10</c:v>
                </c:pt>
                <c:pt idx="2849">
                  <c:v>2024-12-11</c:v>
                </c:pt>
                <c:pt idx="2850">
                  <c:v>2024-12-12</c:v>
                </c:pt>
                <c:pt idx="2851">
                  <c:v>2024-12-13</c:v>
                </c:pt>
                <c:pt idx="2852">
                  <c:v>2024-12-16</c:v>
                </c:pt>
                <c:pt idx="2853">
                  <c:v>2024-12-17</c:v>
                </c:pt>
                <c:pt idx="2854">
                  <c:v>2024-12-18</c:v>
                </c:pt>
                <c:pt idx="2855">
                  <c:v>2024-12-19</c:v>
                </c:pt>
                <c:pt idx="2856">
                  <c:v>2024-12-20</c:v>
                </c:pt>
                <c:pt idx="2857">
                  <c:v>2024-12-23</c:v>
                </c:pt>
                <c:pt idx="2858">
                  <c:v>2024-12-24</c:v>
                </c:pt>
                <c:pt idx="2859">
                  <c:v>2024-12-25</c:v>
                </c:pt>
                <c:pt idx="2860">
                  <c:v>2024-12-26</c:v>
                </c:pt>
                <c:pt idx="2861">
                  <c:v>2024-12-27</c:v>
                </c:pt>
                <c:pt idx="2862">
                  <c:v>2024-12-30</c:v>
                </c:pt>
                <c:pt idx="2863">
                  <c:v>2024-12-31</c:v>
                </c:pt>
                <c:pt idx="2864">
                  <c:v>2025-01-02</c:v>
                </c:pt>
                <c:pt idx="2865">
                  <c:v>2025-01-03</c:v>
                </c:pt>
                <c:pt idx="2866">
                  <c:v>2025-01-06</c:v>
                </c:pt>
                <c:pt idx="2867">
                  <c:v>2025-01-07</c:v>
                </c:pt>
                <c:pt idx="2868">
                  <c:v>2025-01-08</c:v>
                </c:pt>
                <c:pt idx="2869">
                  <c:v>2025-01-09</c:v>
                </c:pt>
                <c:pt idx="2870">
                  <c:v>2025-01-10</c:v>
                </c:pt>
                <c:pt idx="2871">
                  <c:v>2025-01-13</c:v>
                </c:pt>
                <c:pt idx="2872">
                  <c:v>2025-01-14</c:v>
                </c:pt>
                <c:pt idx="2873">
                  <c:v>2025-01-15</c:v>
                </c:pt>
                <c:pt idx="2874">
                  <c:v>2025-01-16</c:v>
                </c:pt>
                <c:pt idx="2875">
                  <c:v>2025-01-17</c:v>
                </c:pt>
                <c:pt idx="2876">
                  <c:v>2025-01-20</c:v>
                </c:pt>
                <c:pt idx="2877">
                  <c:v>2025-01-21</c:v>
                </c:pt>
                <c:pt idx="2878">
                  <c:v>2025-01-22</c:v>
                </c:pt>
                <c:pt idx="2879">
                  <c:v>2025-01-23</c:v>
                </c:pt>
                <c:pt idx="2880">
                  <c:v>2025-01-24</c:v>
                </c:pt>
                <c:pt idx="2881">
                  <c:v>2025-01-27</c:v>
                </c:pt>
                <c:pt idx="2882">
                  <c:v>2025-02-05</c:v>
                </c:pt>
                <c:pt idx="2883">
                  <c:v>2025-02-06</c:v>
                </c:pt>
                <c:pt idx="2884">
                  <c:v>2025-02-07</c:v>
                </c:pt>
                <c:pt idx="2885">
                  <c:v>2025-02-10</c:v>
                </c:pt>
                <c:pt idx="2886">
                  <c:v>2025-02-11</c:v>
                </c:pt>
                <c:pt idx="2887">
                  <c:v>2025-02-12</c:v>
                </c:pt>
                <c:pt idx="2888">
                  <c:v>2025-02-13</c:v>
                </c:pt>
                <c:pt idx="2889">
                  <c:v>2025-02-14</c:v>
                </c:pt>
                <c:pt idx="2890">
                  <c:v>2025-02-17</c:v>
                </c:pt>
                <c:pt idx="2891">
                  <c:v>2025-02-18</c:v>
                </c:pt>
                <c:pt idx="2892">
                  <c:v>2025-02-19</c:v>
                </c:pt>
                <c:pt idx="2893">
                  <c:v>2025-02-20</c:v>
                </c:pt>
                <c:pt idx="2894">
                  <c:v>2025-02-21</c:v>
                </c:pt>
                <c:pt idx="2895">
                  <c:v>2025-02-24</c:v>
                </c:pt>
                <c:pt idx="2896">
                  <c:v>2025-02-25</c:v>
                </c:pt>
                <c:pt idx="2897">
                  <c:v>2025-02-26</c:v>
                </c:pt>
                <c:pt idx="2898">
                  <c:v>2025-02-27</c:v>
                </c:pt>
                <c:pt idx="2899">
                  <c:v>2025-02-28</c:v>
                </c:pt>
                <c:pt idx="2900">
                  <c:v>2025-03-03</c:v>
                </c:pt>
                <c:pt idx="2901">
                  <c:v>2025-03-04</c:v>
                </c:pt>
                <c:pt idx="2902">
                  <c:v>2025-03-05</c:v>
                </c:pt>
                <c:pt idx="2903">
                  <c:v>2025-03-06</c:v>
                </c:pt>
                <c:pt idx="2904">
                  <c:v>2025-03-07</c:v>
                </c:pt>
                <c:pt idx="2905">
                  <c:v>2025-03-10</c:v>
                </c:pt>
                <c:pt idx="2906">
                  <c:v>2025-03-11</c:v>
                </c:pt>
                <c:pt idx="2907">
                  <c:v>2025-03-12</c:v>
                </c:pt>
                <c:pt idx="2908">
                  <c:v>2025-03-13</c:v>
                </c:pt>
                <c:pt idx="2909">
                  <c:v>2025-03-14</c:v>
                </c:pt>
                <c:pt idx="2910">
                  <c:v>2025-03-17</c:v>
                </c:pt>
                <c:pt idx="2911">
                  <c:v>2025-03-18</c:v>
                </c:pt>
                <c:pt idx="2912">
                  <c:v>2025-03-19</c:v>
                </c:pt>
                <c:pt idx="2913">
                  <c:v>2025-03-20</c:v>
                </c:pt>
                <c:pt idx="2914">
                  <c:v>2025-03-21</c:v>
                </c:pt>
                <c:pt idx="2915">
                  <c:v>2025-03-24</c:v>
                </c:pt>
                <c:pt idx="2916">
                  <c:v>2025-03-25</c:v>
                </c:pt>
                <c:pt idx="2917">
                  <c:v>2025-03-26</c:v>
                </c:pt>
                <c:pt idx="2918">
                  <c:v>2025-03-27</c:v>
                </c:pt>
                <c:pt idx="2919">
                  <c:v>2025-03-28</c:v>
                </c:pt>
                <c:pt idx="2920">
                  <c:v>2025-03-31</c:v>
                </c:pt>
                <c:pt idx="2921">
                  <c:v>2025-04-01</c:v>
                </c:pt>
                <c:pt idx="2922">
                  <c:v>2025-04-02</c:v>
                </c:pt>
                <c:pt idx="2923">
                  <c:v>2025-04-03</c:v>
                </c:pt>
                <c:pt idx="2924">
                  <c:v>2025-04-07</c:v>
                </c:pt>
                <c:pt idx="2925">
                  <c:v>2025-04-08</c:v>
                </c:pt>
                <c:pt idx="2926">
                  <c:v>2025-04-09</c:v>
                </c:pt>
                <c:pt idx="2927">
                  <c:v>2025-04-10</c:v>
                </c:pt>
                <c:pt idx="2928">
                  <c:v>2025-04-11</c:v>
                </c:pt>
                <c:pt idx="2929">
                  <c:v>2025-04-14</c:v>
                </c:pt>
                <c:pt idx="2930">
                  <c:v>2025-04-15</c:v>
                </c:pt>
                <c:pt idx="2931">
                  <c:v>2025-04-16</c:v>
                </c:pt>
                <c:pt idx="2932">
                  <c:v>2025-04-17</c:v>
                </c:pt>
                <c:pt idx="2933">
                  <c:v>2025-04-18</c:v>
                </c:pt>
                <c:pt idx="2934">
                  <c:v>2025-04-21</c:v>
                </c:pt>
                <c:pt idx="2935">
                  <c:v>2025-04-22</c:v>
                </c:pt>
                <c:pt idx="2936">
                  <c:v>2025-04-23</c:v>
                </c:pt>
                <c:pt idx="2937">
                  <c:v>2025-04-24</c:v>
                </c:pt>
                <c:pt idx="2938">
                  <c:v>2025-04-25</c:v>
                </c:pt>
                <c:pt idx="2939">
                  <c:v>2025-04-28</c:v>
                </c:pt>
                <c:pt idx="2940">
                  <c:v>2025-04-29</c:v>
                </c:pt>
                <c:pt idx="2941">
                  <c:v>2025-04-30</c:v>
                </c:pt>
                <c:pt idx="2942">
                  <c:v>2025-05-06</c:v>
                </c:pt>
                <c:pt idx="2943">
                  <c:v>2025-05-07</c:v>
                </c:pt>
                <c:pt idx="2944">
                  <c:v>2025-05-08</c:v>
                </c:pt>
                <c:pt idx="2945">
                  <c:v>2025-05-09</c:v>
                </c:pt>
                <c:pt idx="2946">
                  <c:v>2025-05-12</c:v>
                </c:pt>
                <c:pt idx="2947">
                  <c:v>2025-05-13</c:v>
                </c:pt>
                <c:pt idx="2948">
                  <c:v>2025-05-14</c:v>
                </c:pt>
                <c:pt idx="2949">
                  <c:v>2025-05-15</c:v>
                </c:pt>
                <c:pt idx="2950">
                  <c:v>2025-05-16</c:v>
                </c:pt>
                <c:pt idx="2951">
                  <c:v>2025-05-19</c:v>
                </c:pt>
                <c:pt idx="2952">
                  <c:v>2025-05-20</c:v>
                </c:pt>
                <c:pt idx="2953">
                  <c:v>2025-05-21</c:v>
                </c:pt>
                <c:pt idx="2954">
                  <c:v>2025-05-22</c:v>
                </c:pt>
                <c:pt idx="2955">
                  <c:v>2025-05-23</c:v>
                </c:pt>
                <c:pt idx="2956">
                  <c:v>2025-05-26</c:v>
                </c:pt>
                <c:pt idx="2957">
                  <c:v>2025-05-27</c:v>
                </c:pt>
                <c:pt idx="2958">
                  <c:v>2025-05-28</c:v>
                </c:pt>
                <c:pt idx="2959">
                  <c:v>2025-05-29</c:v>
                </c:pt>
                <c:pt idx="2960">
                  <c:v>2025-05-30</c:v>
                </c:pt>
                <c:pt idx="2961">
                  <c:v>2025-06-03</c:v>
                </c:pt>
                <c:pt idx="2962">
                  <c:v>2025-06-04</c:v>
                </c:pt>
                <c:pt idx="2963">
                  <c:v>2025-06-05</c:v>
                </c:pt>
                <c:pt idx="2964">
                  <c:v>2025-06-06</c:v>
                </c:pt>
                <c:pt idx="2965">
                  <c:v>2025-06-09</c:v>
                </c:pt>
                <c:pt idx="2966">
                  <c:v>2025-06-10</c:v>
                </c:pt>
                <c:pt idx="2967">
                  <c:v>2025-06-11</c:v>
                </c:pt>
                <c:pt idx="2968">
                  <c:v>2025-06-12</c:v>
                </c:pt>
                <c:pt idx="2969">
                  <c:v>2025-06-13</c:v>
                </c:pt>
                <c:pt idx="2970">
                  <c:v>2025-06-16</c:v>
                </c:pt>
                <c:pt idx="2971">
                  <c:v>2025-06-17</c:v>
                </c:pt>
                <c:pt idx="2972">
                  <c:v>2025-06-18</c:v>
                </c:pt>
                <c:pt idx="2973">
                  <c:v>2025-06-19</c:v>
                </c:pt>
                <c:pt idx="2974">
                  <c:v>2025-06-20</c:v>
                </c:pt>
                <c:pt idx="2975">
                  <c:v>2025-06-23</c:v>
                </c:pt>
                <c:pt idx="2976">
                  <c:v>2025-06-24</c:v>
                </c:pt>
                <c:pt idx="2977">
                  <c:v>2025-06-25</c:v>
                </c:pt>
                <c:pt idx="2978">
                  <c:v>2025-06-26</c:v>
                </c:pt>
                <c:pt idx="2979">
                  <c:v>2025-06-27</c:v>
                </c:pt>
                <c:pt idx="2980">
                  <c:v>2025-06-30</c:v>
                </c:pt>
                <c:pt idx="2981">
                  <c:v>2025-07-01</c:v>
                </c:pt>
                <c:pt idx="2982">
                  <c:v>2025-07-02</c:v>
                </c:pt>
                <c:pt idx="2983">
                  <c:v>2025-07-03</c:v>
                </c:pt>
                <c:pt idx="2984">
                  <c:v>2025-07-04</c:v>
                </c:pt>
                <c:pt idx="2985">
                  <c:v>2025-07-07</c:v>
                </c:pt>
                <c:pt idx="2986">
                  <c:v>2025-07-08</c:v>
                </c:pt>
                <c:pt idx="2987">
                  <c:v>2025-07-09</c:v>
                </c:pt>
                <c:pt idx="2988">
                  <c:v>2025-07-10</c:v>
                </c:pt>
                <c:pt idx="2989">
                  <c:v>2025-07-11</c:v>
                </c:pt>
                <c:pt idx="2990">
                  <c:v>2025-07-14</c:v>
                </c:pt>
                <c:pt idx="2991">
                  <c:v>2025-07-15</c:v>
                </c:pt>
                <c:pt idx="2992">
                  <c:v>2025-07-16</c:v>
                </c:pt>
                <c:pt idx="2993">
                  <c:v>2025-07-17</c:v>
                </c:pt>
                <c:pt idx="2994">
                  <c:v>2025-07-18</c:v>
                </c:pt>
                <c:pt idx="2995">
                  <c:v>2025-07-21</c:v>
                </c:pt>
                <c:pt idx="2996">
                  <c:v>2025-07-22</c:v>
                </c:pt>
                <c:pt idx="2997">
                  <c:v>2025-07-23</c:v>
                </c:pt>
                <c:pt idx="2998">
                  <c:v>2025-07-24</c:v>
                </c:pt>
                <c:pt idx="2999">
                  <c:v>2025-07-25</c:v>
                </c:pt>
                <c:pt idx="3000">
                  <c:v>2025-07-28</c:v>
                </c:pt>
                <c:pt idx="3001">
                  <c:v>2025-07-29</c:v>
                </c:pt>
                <c:pt idx="3002">
                  <c:v>2025-07-30</c:v>
                </c:pt>
                <c:pt idx="3003">
                  <c:v>2025-07-31</c:v>
                </c:pt>
                <c:pt idx="3004">
                  <c:v>2025-08-01</c:v>
                </c:pt>
                <c:pt idx="3005">
                  <c:v>2025-08-04</c:v>
                </c:pt>
                <c:pt idx="3006">
                  <c:v>2025-08-05</c:v>
                </c:pt>
                <c:pt idx="3007">
                  <c:v>2025-08-06</c:v>
                </c:pt>
                <c:pt idx="3008">
                  <c:v>2025-08-07</c:v>
                </c:pt>
                <c:pt idx="3009">
                  <c:v>2025-08-08</c:v>
                </c:pt>
                <c:pt idx="3010">
                  <c:v>2025-08-11</c:v>
                </c:pt>
                <c:pt idx="3011">
                  <c:v>2025-08-12</c:v>
                </c:pt>
                <c:pt idx="3012">
                  <c:v>2025-08-13</c:v>
                </c:pt>
                <c:pt idx="3013">
                  <c:v>2025-08-14</c:v>
                </c:pt>
                <c:pt idx="3014">
                  <c:v>2025-08-15</c:v>
                </c:pt>
                <c:pt idx="3015">
                  <c:v>2025-08-18</c:v>
                </c:pt>
                <c:pt idx="3016">
                  <c:v>2025-08-19</c:v>
                </c:pt>
                <c:pt idx="3017">
                  <c:v>2025-08-20</c:v>
                </c:pt>
                <c:pt idx="3018">
                  <c:v>2025-08-21</c:v>
                </c:pt>
                <c:pt idx="3019">
                  <c:v>2025-08-22</c:v>
                </c:pt>
                <c:pt idx="3020">
                  <c:v>2025-08-25</c:v>
                </c:pt>
                <c:pt idx="3021">
                  <c:v>2025-08-26</c:v>
                </c:pt>
                <c:pt idx="3022">
                  <c:v>2025-08-27</c:v>
                </c:pt>
                <c:pt idx="3023">
                  <c:v>2025-08-28</c:v>
                </c:pt>
                <c:pt idx="3024">
                  <c:v>2025-08-29</c:v>
                </c:pt>
                <c:pt idx="3025">
                  <c:v>2025-09-01</c:v>
                </c:pt>
                <c:pt idx="3026">
                  <c:v>2025-09-02</c:v>
                </c:pt>
                <c:pt idx="3027">
                  <c:v>2025-09-03</c:v>
                </c:pt>
                <c:pt idx="3028">
                  <c:v>2025-09-04</c:v>
                </c:pt>
                <c:pt idx="3029">
                  <c:v>2025-09-05</c:v>
                </c:pt>
                <c:pt idx="3030">
                  <c:v>2025-09-08</c:v>
                </c:pt>
                <c:pt idx="3031">
                  <c:v>2025-09-09</c:v>
                </c:pt>
                <c:pt idx="3032">
                  <c:v>2025-09-10</c:v>
                </c:pt>
                <c:pt idx="3033">
                  <c:v>2025-09-11</c:v>
                </c:pt>
                <c:pt idx="3034">
                  <c:v>2025-09-12</c:v>
                </c:pt>
                <c:pt idx="3035">
                  <c:v>2025-09-15</c:v>
                </c:pt>
                <c:pt idx="3036">
                  <c:v>2025-09-16</c:v>
                </c:pt>
                <c:pt idx="3037">
                  <c:v>2025-09-17</c:v>
                </c:pt>
                <c:pt idx="3038">
                  <c:v>2025-09-18</c:v>
                </c:pt>
                <c:pt idx="3039">
                  <c:v>2025-09-19</c:v>
                </c:pt>
                <c:pt idx="3040">
                  <c:v>2025-09-22</c:v>
                </c:pt>
                <c:pt idx="3041">
                  <c:v>2025-09-23</c:v>
                </c:pt>
                <c:pt idx="3042">
                  <c:v>2025-09-24</c:v>
                </c:pt>
                <c:pt idx="3043">
                  <c:v>2025-09-25</c:v>
                </c:pt>
                <c:pt idx="3044">
                  <c:v>2025-09-26</c:v>
                </c:pt>
                <c:pt idx="3045">
                  <c:v>2025-09-29</c:v>
                </c:pt>
                <c:pt idx="3046">
                  <c:v>2025-09-30</c:v>
                </c:pt>
                <c:pt idx="3047">
                  <c:v>2025-10-09</c:v>
                </c:pt>
                <c:pt idx="3048">
                  <c:v>2025-10-10</c:v>
                </c:pt>
                <c:pt idx="3049">
                  <c:v>2025-10-13</c:v>
                </c:pt>
                <c:pt idx="3050">
                  <c:v>2025-10-14</c:v>
                </c:pt>
                <c:pt idx="3051">
                  <c:v>2025-10-15</c:v>
                </c:pt>
                <c:pt idx="3052">
                  <c:v>2025-10-16</c:v>
                </c:pt>
                <c:pt idx="3053">
                  <c:v>2025-10-17</c:v>
                </c:pt>
                <c:pt idx="3054">
                  <c:v>2025-10-20</c:v>
                </c:pt>
                <c:pt idx="3055">
                  <c:v>2025-10-21</c:v>
                </c:pt>
                <c:pt idx="3056">
                  <c:v>2025-10-22</c:v>
                </c:pt>
                <c:pt idx="3057">
                  <c:v>2025-10-23</c:v>
                </c:pt>
                <c:pt idx="3058">
                  <c:v>2025-10-24</c:v>
                </c:pt>
                <c:pt idx="3059">
                  <c:v>2025-10-27</c:v>
                </c:pt>
                <c:pt idx="3060">
                  <c:v>2025-10-28</c:v>
                </c:pt>
                <c:pt idx="3061">
                  <c:v>2025-10-29</c:v>
                </c:pt>
                <c:pt idx="3062">
                  <c:v>2025-10-30</c:v>
                </c:pt>
                <c:pt idx="3063">
                  <c:v>2025-10-31</c:v>
                </c:pt>
                <c:pt idx="3064">
                  <c:v>2025-11-03</c:v>
                </c:pt>
                <c:pt idx="3065">
                  <c:v>2025-11-04</c:v>
                </c:pt>
                <c:pt idx="3066">
                  <c:v>2025-11-05</c:v>
                </c:pt>
                <c:pt idx="3067">
                  <c:v>2025-11-06</c:v>
                </c:pt>
                <c:pt idx="3068">
                  <c:v>2025-11-07</c:v>
                </c:pt>
                <c:pt idx="3069">
                  <c:v>2025-11-10</c:v>
                </c:pt>
                <c:pt idx="3070">
                  <c:v>2025-11-11</c:v>
                </c:pt>
                <c:pt idx="3071">
                  <c:v>2025-11-12</c:v>
                </c:pt>
                <c:pt idx="3072">
                  <c:v>2025-11-13</c:v>
                </c:pt>
                <c:pt idx="3073">
                  <c:v>2025-11-14</c:v>
                </c:pt>
                <c:pt idx="3074">
                  <c:v>2025-11-17</c:v>
                </c:pt>
                <c:pt idx="3075">
                  <c:v>2025-11-18</c:v>
                </c:pt>
                <c:pt idx="3076">
                  <c:v>2025-11-19</c:v>
                </c:pt>
                <c:pt idx="3077">
                  <c:v>2025-11-20</c:v>
                </c:pt>
                <c:pt idx="3078">
                  <c:v>2025-11-21</c:v>
                </c:pt>
                <c:pt idx="3079">
                  <c:v>2025-11-24</c:v>
                </c:pt>
                <c:pt idx="3080">
                  <c:v>2025-11-25</c:v>
                </c:pt>
                <c:pt idx="3081">
                  <c:v>2025-11-26</c:v>
                </c:pt>
                <c:pt idx="3082">
                  <c:v>2025-11-27</c:v>
                </c:pt>
                <c:pt idx="3083">
                  <c:v>2025-11-28</c:v>
                </c:pt>
                <c:pt idx="3084">
                  <c:v>2025-12-01</c:v>
                </c:pt>
                <c:pt idx="3085">
                  <c:v>2025-12-02</c:v>
                </c:pt>
                <c:pt idx="3086">
                  <c:v>2025-12-03</c:v>
                </c:pt>
                <c:pt idx="3087">
                  <c:v>2025-12-04</c:v>
                </c:pt>
                <c:pt idx="3088">
                  <c:v>2025-12-05</c:v>
                </c:pt>
                <c:pt idx="3089">
                  <c:v>2025-12-08</c:v>
                </c:pt>
                <c:pt idx="3090">
                  <c:v>2025-12-09</c:v>
                </c:pt>
                <c:pt idx="3091">
                  <c:v>2025-12-10</c:v>
                </c:pt>
                <c:pt idx="3092">
                  <c:v>2025-12-11</c:v>
                </c:pt>
                <c:pt idx="3093">
                  <c:v>2025-12-12</c:v>
                </c:pt>
                <c:pt idx="3094">
                  <c:v>2025-12-15</c:v>
                </c:pt>
                <c:pt idx="3095">
                  <c:v>2025-12-16</c:v>
                </c:pt>
                <c:pt idx="3096">
                  <c:v>2025-12-17</c:v>
                </c:pt>
                <c:pt idx="3097">
                  <c:v>2025-12-18</c:v>
                </c:pt>
                <c:pt idx="3098">
                  <c:v>2025-12-19</c:v>
                </c:pt>
                <c:pt idx="3099">
                  <c:v>2025-12-22</c:v>
                </c:pt>
                <c:pt idx="3100">
                  <c:v>2025-12-23</c:v>
                </c:pt>
                <c:pt idx="3101">
                  <c:v>2025-12-24</c:v>
                </c:pt>
                <c:pt idx="3102">
                  <c:v>2025-12-25</c:v>
                </c:pt>
                <c:pt idx="3103">
                  <c:v>2025-12-26</c:v>
                </c:pt>
                <c:pt idx="3104">
                  <c:v>2025-12-29</c:v>
                </c:pt>
                <c:pt idx="3105">
                  <c:v>2025-12-30</c:v>
                </c:pt>
                <c:pt idx="3106">
                  <c:v>2025-12-31</c:v>
                </c:pt>
                <c:pt idx="3107">
                  <c:v>2026-01-05</c:v>
                </c:pt>
                <c:pt idx="3108">
                  <c:v>2026-01-06</c:v>
                </c:pt>
                <c:pt idx="3109">
                  <c:v>2026-01-07</c:v>
                </c:pt>
                <c:pt idx="3110">
                  <c:v>2026-01-08</c:v>
                </c:pt>
                <c:pt idx="3111">
                  <c:v>2026-01-09</c:v>
                </c:pt>
                <c:pt idx="3112">
                  <c:v>2026-01-12</c:v>
                </c:pt>
                <c:pt idx="3113">
                  <c:v>2026-01-13</c:v>
                </c:pt>
                <c:pt idx="3114">
                  <c:v>2026-01-14</c:v>
                </c:pt>
                <c:pt idx="3115">
                  <c:v>2026-01-15</c:v>
                </c:pt>
                <c:pt idx="3116">
                  <c:v>2026-01-16</c:v>
                </c:pt>
                <c:pt idx="3117">
                  <c:v>2026-01-19</c:v>
                </c:pt>
                <c:pt idx="3118">
                  <c:v>2026-01-20</c:v>
                </c:pt>
                <c:pt idx="3119">
                  <c:v>2026-01-21</c:v>
                </c:pt>
                <c:pt idx="3120">
                  <c:v>2026-01-22</c:v>
                </c:pt>
                <c:pt idx="3121">
                  <c:v>2026-01-23</c:v>
                </c:pt>
                <c:pt idx="3122">
                  <c:v>2026-01-26</c:v>
                </c:pt>
                <c:pt idx="3123">
                  <c:v>2026-01-27</c:v>
                </c:pt>
                <c:pt idx="3124">
                  <c:v>2026-01-28</c:v>
                </c:pt>
                <c:pt idx="3125">
                  <c:v>2026-01-29</c:v>
                </c:pt>
                <c:pt idx="3126">
                  <c:v>2026-01-30</c:v>
                </c:pt>
                <c:pt idx="3127">
                  <c:v>2026-02-02</c:v>
                </c:pt>
                <c:pt idx="3128">
                  <c:v>2026-02-03</c:v>
                </c:pt>
                <c:pt idx="3129">
                  <c:v>2026-02-04</c:v>
                </c:pt>
                <c:pt idx="3130">
                  <c:v>2026-02-05</c:v>
                </c:pt>
                <c:pt idx="3131">
                  <c:v>2026-02-06</c:v>
                </c:pt>
                <c:pt idx="3132">
                  <c:v>2026-02-09</c:v>
                </c:pt>
                <c:pt idx="3133">
                  <c:v>2026-02-10</c:v>
                </c:pt>
                <c:pt idx="3134">
                  <c:v>2026-02-11</c:v>
                </c:pt>
                <c:pt idx="3135">
                  <c:v>2026-02-12</c:v>
                </c:pt>
                <c:pt idx="3136">
                  <c:v>2026-02-13</c:v>
                </c:pt>
                <c:pt idx="3137">
                  <c:v>2026-02-24</c:v>
                </c:pt>
                <c:pt idx="3138">
                  <c:v>2026-02-25</c:v>
                </c:pt>
                <c:pt idx="3139">
                  <c:v>2026-02-26</c:v>
                </c:pt>
                <c:pt idx="3140">
                  <c:v>2026-02-27</c:v>
                </c:pt>
                <c:pt idx="3141">
                  <c:v>2026-03-02</c:v>
                </c:pt>
                <c:pt idx="3142">
                  <c:v>2026-03-03</c:v>
                </c:pt>
                <c:pt idx="3143">
                  <c:v>2026-03-04</c:v>
                </c:pt>
                <c:pt idx="3144">
                  <c:v>2026-03-05</c:v>
                </c:pt>
                <c:pt idx="3145">
                  <c:v>2026-03-06</c:v>
                </c:pt>
                <c:pt idx="3146">
                  <c:v>2026-03-09</c:v>
                </c:pt>
                <c:pt idx="3147">
                  <c:v>2026-03-10</c:v>
                </c:pt>
                <c:pt idx="3148">
                  <c:v>2026-03-11</c:v>
                </c:pt>
                <c:pt idx="3149">
                  <c:v>2026-03-12</c:v>
                </c:pt>
                <c:pt idx="3150">
                  <c:v>2026-03-13</c:v>
                </c:pt>
                <c:pt idx="3151">
                  <c:v>2026-03-16</c:v>
                </c:pt>
                <c:pt idx="3152">
                  <c:v>2026-03-17</c:v>
                </c:pt>
                <c:pt idx="3153">
                  <c:v>2026-03-18</c:v>
                </c:pt>
                <c:pt idx="3154">
                  <c:v>2026-03-19</c:v>
                </c:pt>
                <c:pt idx="3155">
                  <c:v>2026-03-20</c:v>
                </c:pt>
                <c:pt idx="3156">
                  <c:v>2026-03-23</c:v>
                </c:pt>
                <c:pt idx="3157">
                  <c:v>2026-03-24</c:v>
                </c:pt>
                <c:pt idx="3158">
                  <c:v>2026-03-25</c:v>
                </c:pt>
                <c:pt idx="3159">
                  <c:v>2026-03-26</c:v>
                </c:pt>
                <c:pt idx="3160">
                  <c:v>2026-03-27</c:v>
                </c:pt>
                <c:pt idx="3161">
                  <c:v>2026-03-30</c:v>
                </c:pt>
                <c:pt idx="3162">
                  <c:v>2026-03-31</c:v>
                </c:pt>
                <c:pt idx="3163">
                  <c:v>2026-04-01</c:v>
                </c:pt>
                <c:pt idx="3164">
                  <c:v>2026-04-02</c:v>
                </c:pt>
                <c:pt idx="3165">
                  <c:v>2026-04-03</c:v>
                </c:pt>
                <c:pt idx="3166">
                  <c:v>2026-04-07</c:v>
                </c:pt>
                <c:pt idx="3167">
                  <c:v>2026-04-08</c:v>
                </c:pt>
                <c:pt idx="3168">
                  <c:v>2026-04-09</c:v>
                </c:pt>
                <c:pt idx="3169">
                  <c:v>2026-04-10</c:v>
                </c:pt>
                <c:pt idx="3170">
                  <c:v>2026-04-13</c:v>
                </c:pt>
                <c:pt idx="3171">
                  <c:v>2026-04-14</c:v>
                </c:pt>
                <c:pt idx="3172">
                  <c:v>2026-04-15</c:v>
                </c:pt>
                <c:pt idx="3173">
                  <c:v>2026-04-16</c:v>
                </c:pt>
                <c:pt idx="3174">
                  <c:v>2026-04-17</c:v>
                </c:pt>
                <c:pt idx="3175">
                  <c:v>2026-04-20</c:v>
                </c:pt>
                <c:pt idx="3176">
                  <c:v>2026-04-21</c:v>
                </c:pt>
                <c:pt idx="3177">
                  <c:v>2026-04-22</c:v>
                </c:pt>
                <c:pt idx="3178">
                  <c:v>2026-04-23</c:v>
                </c:pt>
                <c:pt idx="3179">
                  <c:v>2026-04-24</c:v>
                </c:pt>
                <c:pt idx="3180">
                  <c:v>2026-04-27</c:v>
                </c:pt>
                <c:pt idx="3181">
                  <c:v>2026-04-28</c:v>
                </c:pt>
                <c:pt idx="3182">
                  <c:v>2026-04-29</c:v>
                </c:pt>
                <c:pt idx="3183">
                  <c:v>2026-04-30</c:v>
                </c:pt>
                <c:pt idx="3184">
                  <c:v>2026-05-06</c:v>
                </c:pt>
                <c:pt idx="3185">
                  <c:v>2026-05-07</c:v>
                </c:pt>
                <c:pt idx="3186">
                  <c:v>2026-05-08</c:v>
                </c:pt>
                <c:pt idx="3187">
                  <c:v>2026-05-11</c:v>
                </c:pt>
                <c:pt idx="3188">
                  <c:v>2026-05-12</c:v>
                </c:pt>
                <c:pt idx="3189">
                  <c:v>2026-05-13</c:v>
                </c:pt>
                <c:pt idx="3190">
                  <c:v>2026-05-14</c:v>
                </c:pt>
                <c:pt idx="3191">
                  <c:v>2026-05-15</c:v>
                </c:pt>
                <c:pt idx="3192">
                  <c:v>2026-05-18</c:v>
                </c:pt>
                <c:pt idx="3193">
                  <c:v>2026-05-19</c:v>
                </c:pt>
                <c:pt idx="3194">
                  <c:v>2026-05-20</c:v>
                </c:pt>
                <c:pt idx="3195">
                  <c:v>2026-05-21</c:v>
                </c:pt>
                <c:pt idx="3196">
                  <c:v>2026-05-22</c:v>
                </c:pt>
                <c:pt idx="3197">
                  <c:v>2026-05-25</c:v>
                </c:pt>
                <c:pt idx="3198">
                  <c:v>2026-05-26</c:v>
                </c:pt>
                <c:pt idx="3199">
                  <c:v>2026-05-27</c:v>
                </c:pt>
                <c:pt idx="3200">
                  <c:v>2026-05-28</c:v>
                </c:pt>
                <c:pt idx="3201">
                  <c:v>2026-05-29</c:v>
                </c:pt>
                <c:pt idx="3202">
                  <c:v>2026-06-01</c:v>
                </c:pt>
                <c:pt idx="3203">
                  <c:v>2026-06-02</c:v>
                </c:pt>
                <c:pt idx="3204">
                  <c:v>2026-06-03</c:v>
                </c:pt>
                <c:pt idx="3205">
                  <c:v>2026-06-04</c:v>
                </c:pt>
                <c:pt idx="3206">
                  <c:v>2026-06-05</c:v>
                </c:pt>
                <c:pt idx="3207">
                  <c:v>2026-06-08</c:v>
                </c:pt>
                <c:pt idx="3208">
                  <c:v>2026-06-09</c:v>
                </c:pt>
                <c:pt idx="3209">
                  <c:v>2026-06-10</c:v>
                </c:pt>
                <c:pt idx="3210">
                  <c:v>2026-06-11</c:v>
                </c:pt>
                <c:pt idx="3211">
                  <c:v>2026-06-12</c:v>
                </c:pt>
                <c:pt idx="3212">
                  <c:v>2026-06-15</c:v>
                </c:pt>
                <c:pt idx="3213">
                  <c:v>2026-06-16</c:v>
                </c:pt>
                <c:pt idx="3214">
                  <c:v>2026-06-17</c:v>
                </c:pt>
                <c:pt idx="3215">
                  <c:v>2026-06-18</c:v>
                </c:pt>
                <c:pt idx="3216">
                  <c:v>2026-06-22</c:v>
                </c:pt>
                <c:pt idx="3217">
                  <c:v>2026-06-23</c:v>
                </c:pt>
                <c:pt idx="3218">
                  <c:v>2026-06-24</c:v>
                </c:pt>
                <c:pt idx="3219">
                  <c:v>2026-06-25</c:v>
                </c:pt>
                <c:pt idx="3220">
                  <c:v>2026-06-26</c:v>
                </c:pt>
                <c:pt idx="3221">
                  <c:v>2026-06-29</c:v>
                </c:pt>
                <c:pt idx="3222">
                  <c:v>2026-06-30</c:v>
                </c:pt>
                <c:pt idx="3223">
                  <c:v>2026-07-01</c:v>
                </c:pt>
                <c:pt idx="3224">
                  <c:v>2026-07-02</c:v>
                </c:pt>
                <c:pt idx="3225">
                  <c:v>2026-07-03</c:v>
                </c:pt>
                <c:pt idx="3226">
                  <c:v>2026-07-06</c:v>
                </c:pt>
                <c:pt idx="3227">
                  <c:v>2026-07-07</c:v>
                </c:pt>
                <c:pt idx="3228">
                  <c:v>2026-07-08</c:v>
                </c:pt>
                <c:pt idx="3229">
                  <c:v>2026-07-09</c:v>
                </c:pt>
                <c:pt idx="3230">
                  <c:v>2026-07-10</c:v>
                </c:pt>
                <c:pt idx="3231">
                  <c:v>2026-07-13</c:v>
                </c:pt>
                <c:pt idx="3232">
                  <c:v>2026-07-14</c:v>
                </c:pt>
                <c:pt idx="3233">
                  <c:v>2026-07-15</c:v>
                </c:pt>
                <c:pt idx="3234">
                  <c:v>2026-07-16</c:v>
                </c:pt>
                <c:pt idx="3235">
                  <c:v>2026-07-17</c:v>
                </c:pt>
                <c:pt idx="3236">
                  <c:v>2026-07-20</c:v>
                </c:pt>
                <c:pt idx="3237">
                  <c:v>2026-07-21</c:v>
                </c:pt>
                <c:pt idx="3238">
                  <c:v>2026-07-22</c:v>
                </c:pt>
                <c:pt idx="3239">
                  <c:v>2026-07-23</c:v>
                </c:pt>
                <c:pt idx="3240">
                  <c:v>2026-07-24</c:v>
                </c:pt>
                <c:pt idx="3241">
                  <c:v>2026-07-27</c:v>
                </c:pt>
                <c:pt idx="3242">
                  <c:v>2026-07-28</c:v>
                </c:pt>
                <c:pt idx="3243">
                  <c:v>2026-07-29</c:v>
                </c:pt>
                <c:pt idx="3244">
                  <c:v>2026-07-30</c:v>
                </c:pt>
                <c:pt idx="3245">
                  <c:v>2026-07-31</c:v>
                </c:pt>
                <c:pt idx="3246">
                  <c:v>2026-08-03</c:v>
                </c:pt>
                <c:pt idx="3247">
                  <c:v>2026-08-04</c:v>
                </c:pt>
                <c:pt idx="3248">
                  <c:v>2026-08-05</c:v>
                </c:pt>
                <c:pt idx="3249">
                  <c:v>2026-08-06</c:v>
                </c:pt>
                <c:pt idx="3250">
                  <c:v>2026-08-07</c:v>
                </c:pt>
                <c:pt idx="3251">
                  <c:v>2026-08-10</c:v>
                </c:pt>
                <c:pt idx="3252">
                  <c:v>2026-08-11</c:v>
                </c:pt>
                <c:pt idx="3253">
                  <c:v>2026-08-12</c:v>
                </c:pt>
                <c:pt idx="3254">
                  <c:v>2026-08-13</c:v>
                </c:pt>
                <c:pt idx="3255">
                  <c:v>2026-08-14</c:v>
                </c:pt>
                <c:pt idx="3256">
                  <c:v>2026-08-17</c:v>
                </c:pt>
                <c:pt idx="3257">
                  <c:v>2026-08-18</c:v>
                </c:pt>
                <c:pt idx="3258">
                  <c:v>2026-08-19</c:v>
                </c:pt>
                <c:pt idx="3259">
                  <c:v>2026-08-20</c:v>
                </c:pt>
                <c:pt idx="3260">
                  <c:v>2026-08-21</c:v>
                </c:pt>
                <c:pt idx="3261">
                  <c:v>2026-08-24</c:v>
                </c:pt>
                <c:pt idx="3262">
                  <c:v>2026-08-25</c:v>
                </c:pt>
                <c:pt idx="3263">
                  <c:v>2026-08-26</c:v>
                </c:pt>
                <c:pt idx="3264">
                  <c:v>2026-08-27</c:v>
                </c:pt>
                <c:pt idx="3265">
                  <c:v>2026-08-28</c:v>
                </c:pt>
                <c:pt idx="3266">
                  <c:v>2026-08-31</c:v>
                </c:pt>
                <c:pt idx="3267">
                  <c:v>2026-09-01</c:v>
                </c:pt>
                <c:pt idx="3268">
                  <c:v>2026-09-02</c:v>
                </c:pt>
                <c:pt idx="3269">
                  <c:v>2026-09-03</c:v>
                </c:pt>
                <c:pt idx="3270">
                  <c:v>2026-09-04</c:v>
                </c:pt>
                <c:pt idx="3271">
                  <c:v>2026-09-07</c:v>
                </c:pt>
                <c:pt idx="3272">
                  <c:v>2026-09-08</c:v>
                </c:pt>
                <c:pt idx="3273">
                  <c:v>2026-09-09</c:v>
                </c:pt>
                <c:pt idx="3274">
                  <c:v>2026-09-10</c:v>
                </c:pt>
                <c:pt idx="3275">
                  <c:v>2026-09-11</c:v>
                </c:pt>
                <c:pt idx="3276">
                  <c:v>2026-09-14</c:v>
                </c:pt>
                <c:pt idx="3277">
                  <c:v>2026-09-15</c:v>
                </c:pt>
                <c:pt idx="3278">
                  <c:v>2026-09-16</c:v>
                </c:pt>
                <c:pt idx="3279">
                  <c:v>2026-09-17</c:v>
                </c:pt>
                <c:pt idx="3280">
                  <c:v>2026-09-18</c:v>
                </c:pt>
                <c:pt idx="3281">
                  <c:v>2026-09-21</c:v>
                </c:pt>
                <c:pt idx="3282">
                  <c:v>2026-09-22</c:v>
                </c:pt>
                <c:pt idx="3283">
                  <c:v>2026-09-23</c:v>
                </c:pt>
                <c:pt idx="3284">
                  <c:v>2026-09-24</c:v>
                </c:pt>
                <c:pt idx="3285">
                  <c:v>2026-09-28</c:v>
                </c:pt>
                <c:pt idx="3286">
                  <c:v>2026-09-29</c:v>
                </c:pt>
                <c:pt idx="3287">
                  <c:v>2026-09-30</c:v>
                </c:pt>
                <c:pt idx="3288">
                  <c:v>2026-10-08</c:v>
                </c:pt>
                <c:pt idx="3289">
                  <c:v>2026-10-09</c:v>
                </c:pt>
                <c:pt idx="3290">
                  <c:v>2026-10-12</c:v>
                </c:pt>
                <c:pt idx="3291">
                  <c:v>2026-10-13</c:v>
                </c:pt>
                <c:pt idx="3292">
                  <c:v>2026-10-14</c:v>
                </c:pt>
                <c:pt idx="3293">
                  <c:v>2026-10-15</c:v>
                </c:pt>
                <c:pt idx="3294">
                  <c:v>2026-10-16</c:v>
                </c:pt>
                <c:pt idx="3295">
                  <c:v>2026-10-19</c:v>
                </c:pt>
                <c:pt idx="3296">
                  <c:v>2026-10-20</c:v>
                </c:pt>
                <c:pt idx="3297">
                  <c:v>2026-10-21</c:v>
                </c:pt>
                <c:pt idx="3298">
                  <c:v>2026-10-22</c:v>
                </c:pt>
                <c:pt idx="3299">
                  <c:v>2026-10-23</c:v>
                </c:pt>
                <c:pt idx="3300">
                  <c:v>2026-10-26</c:v>
                </c:pt>
                <c:pt idx="3301">
                  <c:v>2026-10-27</c:v>
                </c:pt>
                <c:pt idx="3302">
                  <c:v>2026-10-28</c:v>
                </c:pt>
                <c:pt idx="3303">
                  <c:v>2026-10-29</c:v>
                </c:pt>
              </c:strCache>
            </c:strRef>
          </c:cat>
          <c:val>
            <c:numRef>
              <c:f>资金曲线!$C$2:$C$3305</c:f>
              <c:numCache>
                <c:formatCode>#,##0</c:formatCode>
                <c:ptCount val="3304"/>
                <c:pt idx="0">
                  <c:v>500000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  <c:pt idx="5">
                  <c:v>500000</c:v>
                </c:pt>
                <c:pt idx="6">
                  <c:v>500000</c:v>
                </c:pt>
                <c:pt idx="7">
                  <c:v>500000</c:v>
                </c:pt>
                <c:pt idx="8">
                  <c:v>500000</c:v>
                </c:pt>
                <c:pt idx="9">
                  <c:v>500000</c:v>
                </c:pt>
                <c:pt idx="10">
                  <c:v>500000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  <c:pt idx="14">
                  <c:v>500000</c:v>
                </c:pt>
                <c:pt idx="15">
                  <c:v>500000</c:v>
                </c:pt>
                <c:pt idx="16">
                  <c:v>500000</c:v>
                </c:pt>
                <c:pt idx="17">
                  <c:v>500000</c:v>
                </c:pt>
                <c:pt idx="18">
                  <c:v>500000</c:v>
                </c:pt>
                <c:pt idx="19">
                  <c:v>500000</c:v>
                </c:pt>
                <c:pt idx="20">
                  <c:v>500000</c:v>
                </c:pt>
                <c:pt idx="21">
                  <c:v>500000</c:v>
                </c:pt>
                <c:pt idx="22">
                  <c:v>500000</c:v>
                </c:pt>
                <c:pt idx="23">
                  <c:v>500000</c:v>
                </c:pt>
                <c:pt idx="24">
                  <c:v>500000</c:v>
                </c:pt>
                <c:pt idx="25">
                  <c:v>500000</c:v>
                </c:pt>
                <c:pt idx="26">
                  <c:v>500000</c:v>
                </c:pt>
                <c:pt idx="27">
                  <c:v>500000</c:v>
                </c:pt>
                <c:pt idx="28">
                  <c:v>500000</c:v>
                </c:pt>
                <c:pt idx="29">
                  <c:v>500000</c:v>
                </c:pt>
                <c:pt idx="30">
                  <c:v>500000</c:v>
                </c:pt>
                <c:pt idx="31">
                  <c:v>500000</c:v>
                </c:pt>
                <c:pt idx="32">
                  <c:v>500000</c:v>
                </c:pt>
                <c:pt idx="33">
                  <c:v>500000</c:v>
                </c:pt>
                <c:pt idx="34">
                  <c:v>500000</c:v>
                </c:pt>
                <c:pt idx="35">
                  <c:v>500000</c:v>
                </c:pt>
                <c:pt idx="36">
                  <c:v>500000</c:v>
                </c:pt>
                <c:pt idx="37">
                  <c:v>500000</c:v>
                </c:pt>
                <c:pt idx="38">
                  <c:v>500000</c:v>
                </c:pt>
                <c:pt idx="39">
                  <c:v>500000</c:v>
                </c:pt>
                <c:pt idx="40">
                  <c:v>500000</c:v>
                </c:pt>
                <c:pt idx="41">
                  <c:v>500000</c:v>
                </c:pt>
                <c:pt idx="42">
                  <c:v>500000</c:v>
                </c:pt>
                <c:pt idx="43">
                  <c:v>500000</c:v>
                </c:pt>
                <c:pt idx="44">
                  <c:v>500000</c:v>
                </c:pt>
                <c:pt idx="45">
                  <c:v>500000</c:v>
                </c:pt>
                <c:pt idx="46">
                  <c:v>500000</c:v>
                </c:pt>
                <c:pt idx="47">
                  <c:v>500000</c:v>
                </c:pt>
                <c:pt idx="48">
                  <c:v>500000</c:v>
                </c:pt>
                <c:pt idx="49">
                  <c:v>500000</c:v>
                </c:pt>
                <c:pt idx="50">
                  <c:v>500000</c:v>
                </c:pt>
                <c:pt idx="51">
                  <c:v>500000</c:v>
                </c:pt>
                <c:pt idx="52">
                  <c:v>500000</c:v>
                </c:pt>
                <c:pt idx="53">
                  <c:v>500000</c:v>
                </c:pt>
                <c:pt idx="54">
                  <c:v>500000</c:v>
                </c:pt>
                <c:pt idx="55">
                  <c:v>500000</c:v>
                </c:pt>
                <c:pt idx="56">
                  <c:v>500000</c:v>
                </c:pt>
                <c:pt idx="57">
                  <c:v>500000</c:v>
                </c:pt>
                <c:pt idx="58">
                  <c:v>500000</c:v>
                </c:pt>
                <c:pt idx="59">
                  <c:v>500000</c:v>
                </c:pt>
                <c:pt idx="60">
                  <c:v>500000</c:v>
                </c:pt>
                <c:pt idx="61">
                  <c:v>500000</c:v>
                </c:pt>
                <c:pt idx="62">
                  <c:v>500000</c:v>
                </c:pt>
                <c:pt idx="63">
                  <c:v>500000</c:v>
                </c:pt>
                <c:pt idx="64">
                  <c:v>500000</c:v>
                </c:pt>
                <c:pt idx="65">
                  <c:v>500000</c:v>
                </c:pt>
                <c:pt idx="66">
                  <c:v>500000</c:v>
                </c:pt>
                <c:pt idx="67">
                  <c:v>500000</c:v>
                </c:pt>
                <c:pt idx="68">
                  <c:v>500000</c:v>
                </c:pt>
                <c:pt idx="69">
                  <c:v>500000</c:v>
                </c:pt>
                <c:pt idx="70">
                  <c:v>500000</c:v>
                </c:pt>
                <c:pt idx="71">
                  <c:v>500000</c:v>
                </c:pt>
                <c:pt idx="72">
                  <c:v>468115.68</c:v>
                </c:pt>
                <c:pt idx="73">
                  <c:v>446995.68</c:v>
                </c:pt>
                <c:pt idx="74">
                  <c:v>454675.68</c:v>
                </c:pt>
                <c:pt idx="75">
                  <c:v>489235.68</c:v>
                </c:pt>
                <c:pt idx="76">
                  <c:v>500755.68</c:v>
                </c:pt>
                <c:pt idx="77">
                  <c:v>504595.68</c:v>
                </c:pt>
                <c:pt idx="78">
                  <c:v>514195.68</c:v>
                </c:pt>
                <c:pt idx="79">
                  <c:v>519955.68</c:v>
                </c:pt>
                <c:pt idx="80">
                  <c:v>508435.68</c:v>
                </c:pt>
                <c:pt idx="81">
                  <c:v>504595.68</c:v>
                </c:pt>
                <c:pt idx="82">
                  <c:v>494995.68</c:v>
                </c:pt>
                <c:pt idx="83">
                  <c:v>468115.68</c:v>
                </c:pt>
                <c:pt idx="84">
                  <c:v>470035.68</c:v>
                </c:pt>
                <c:pt idx="85">
                  <c:v>479635.68</c:v>
                </c:pt>
                <c:pt idx="86">
                  <c:v>502675.68</c:v>
                </c:pt>
                <c:pt idx="87">
                  <c:v>519955.68</c:v>
                </c:pt>
                <c:pt idx="88">
                  <c:v>529555.68</c:v>
                </c:pt>
                <c:pt idx="89">
                  <c:v>525715.68</c:v>
                </c:pt>
                <c:pt idx="90">
                  <c:v>533395.68</c:v>
                </c:pt>
                <c:pt idx="91">
                  <c:v>583315.68</c:v>
                </c:pt>
                <c:pt idx="92">
                  <c:v>623635.68</c:v>
                </c:pt>
                <c:pt idx="93">
                  <c:v>681235.68</c:v>
                </c:pt>
                <c:pt idx="94">
                  <c:v>706195.68</c:v>
                </c:pt>
                <c:pt idx="95">
                  <c:v>690835.68</c:v>
                </c:pt>
                <c:pt idx="96">
                  <c:v>704275.68</c:v>
                </c:pt>
                <c:pt idx="97">
                  <c:v>669715.68</c:v>
                </c:pt>
                <c:pt idx="98">
                  <c:v>686995.68</c:v>
                </c:pt>
                <c:pt idx="99">
                  <c:v>710035.68</c:v>
                </c:pt>
                <c:pt idx="100">
                  <c:v>713875.68</c:v>
                </c:pt>
                <c:pt idx="101">
                  <c:v>708115.68</c:v>
                </c:pt>
                <c:pt idx="102">
                  <c:v>742675.68</c:v>
                </c:pt>
                <c:pt idx="103">
                  <c:v>761875.68</c:v>
                </c:pt>
                <c:pt idx="104">
                  <c:v>736915.68</c:v>
                </c:pt>
                <c:pt idx="105">
                  <c:v>656275.68</c:v>
                </c:pt>
                <c:pt idx="106">
                  <c:v>646675.68</c:v>
                </c:pt>
                <c:pt idx="107">
                  <c:v>644755.68</c:v>
                </c:pt>
                <c:pt idx="108">
                  <c:v>708115.68</c:v>
                </c:pt>
                <c:pt idx="109">
                  <c:v>696595.68</c:v>
                </c:pt>
                <c:pt idx="110">
                  <c:v>686995.68</c:v>
                </c:pt>
                <c:pt idx="111">
                  <c:v>706195.68</c:v>
                </c:pt>
                <c:pt idx="112">
                  <c:v>690835.68</c:v>
                </c:pt>
                <c:pt idx="113">
                  <c:v>711955.68</c:v>
                </c:pt>
                <c:pt idx="114">
                  <c:v>692755.68</c:v>
                </c:pt>
                <c:pt idx="115">
                  <c:v>694675.68</c:v>
                </c:pt>
                <c:pt idx="116">
                  <c:v>671635.68</c:v>
                </c:pt>
                <c:pt idx="117">
                  <c:v>648595.68</c:v>
                </c:pt>
                <c:pt idx="118">
                  <c:v>655095.81</c:v>
                </c:pt>
                <c:pt idx="119">
                  <c:v>655095.81</c:v>
                </c:pt>
                <c:pt idx="120">
                  <c:v>655095.81</c:v>
                </c:pt>
                <c:pt idx="121">
                  <c:v>655095.81</c:v>
                </c:pt>
                <c:pt idx="122">
                  <c:v>655095.81</c:v>
                </c:pt>
                <c:pt idx="123">
                  <c:v>655095.81</c:v>
                </c:pt>
                <c:pt idx="124">
                  <c:v>655095.81</c:v>
                </c:pt>
                <c:pt idx="125">
                  <c:v>655095.81</c:v>
                </c:pt>
                <c:pt idx="126">
                  <c:v>655095.81</c:v>
                </c:pt>
                <c:pt idx="127">
                  <c:v>655996.43</c:v>
                </c:pt>
                <c:pt idx="128">
                  <c:v>681736.43</c:v>
                </c:pt>
                <c:pt idx="129">
                  <c:v>672376.43</c:v>
                </c:pt>
                <c:pt idx="130">
                  <c:v>684076.43</c:v>
                </c:pt>
                <c:pt idx="131">
                  <c:v>625576.43</c:v>
                </c:pt>
                <c:pt idx="132">
                  <c:v>641956.43</c:v>
                </c:pt>
                <c:pt idx="133">
                  <c:v>663016.43</c:v>
                </c:pt>
                <c:pt idx="134">
                  <c:v>665356.43</c:v>
                </c:pt>
                <c:pt idx="135">
                  <c:v>663016.43</c:v>
                </c:pt>
                <c:pt idx="136">
                  <c:v>620896.43</c:v>
                </c:pt>
                <c:pt idx="137">
                  <c:v>653656.43</c:v>
                </c:pt>
                <c:pt idx="138">
                  <c:v>677056.43</c:v>
                </c:pt>
                <c:pt idx="139">
                  <c:v>721516.43</c:v>
                </c:pt>
                <c:pt idx="140">
                  <c:v>740236.43</c:v>
                </c:pt>
                <c:pt idx="141">
                  <c:v>728536.43</c:v>
                </c:pt>
                <c:pt idx="142">
                  <c:v>749596.43</c:v>
                </c:pt>
                <c:pt idx="143">
                  <c:v>742576.43</c:v>
                </c:pt>
                <c:pt idx="144">
                  <c:v>770656.43</c:v>
                </c:pt>
                <c:pt idx="145">
                  <c:v>747256.43</c:v>
                </c:pt>
                <c:pt idx="146">
                  <c:v>770656.43</c:v>
                </c:pt>
                <c:pt idx="147">
                  <c:v>775336.43</c:v>
                </c:pt>
                <c:pt idx="148">
                  <c:v>770656.43</c:v>
                </c:pt>
                <c:pt idx="149">
                  <c:v>751936.43</c:v>
                </c:pt>
                <c:pt idx="150">
                  <c:v>780016.43</c:v>
                </c:pt>
                <c:pt idx="151">
                  <c:v>775336.43</c:v>
                </c:pt>
                <c:pt idx="152">
                  <c:v>758956.43</c:v>
                </c:pt>
                <c:pt idx="153">
                  <c:v>756616.43</c:v>
                </c:pt>
                <c:pt idx="154">
                  <c:v>751936.43</c:v>
                </c:pt>
                <c:pt idx="155">
                  <c:v>763636.43</c:v>
                </c:pt>
                <c:pt idx="156">
                  <c:v>761296.43</c:v>
                </c:pt>
                <c:pt idx="157">
                  <c:v>742576.43</c:v>
                </c:pt>
                <c:pt idx="158">
                  <c:v>714496.43</c:v>
                </c:pt>
                <c:pt idx="159">
                  <c:v>747256.43</c:v>
                </c:pt>
                <c:pt idx="160">
                  <c:v>747256.43</c:v>
                </c:pt>
                <c:pt idx="161">
                  <c:v>758956.43</c:v>
                </c:pt>
                <c:pt idx="162">
                  <c:v>756616.43</c:v>
                </c:pt>
                <c:pt idx="163">
                  <c:v>775336.43</c:v>
                </c:pt>
                <c:pt idx="164">
                  <c:v>763636.43</c:v>
                </c:pt>
                <c:pt idx="165">
                  <c:v>763636.43</c:v>
                </c:pt>
                <c:pt idx="166">
                  <c:v>751936.43</c:v>
                </c:pt>
                <c:pt idx="167">
                  <c:v>758956.43</c:v>
                </c:pt>
                <c:pt idx="168">
                  <c:v>733216.43</c:v>
                </c:pt>
                <c:pt idx="169">
                  <c:v>732832.88</c:v>
                </c:pt>
                <c:pt idx="170">
                  <c:v>705832.88</c:v>
                </c:pt>
                <c:pt idx="171">
                  <c:v>703132.88</c:v>
                </c:pt>
                <c:pt idx="172">
                  <c:v>711232.88</c:v>
                </c:pt>
                <c:pt idx="173">
                  <c:v>686932.88</c:v>
                </c:pt>
                <c:pt idx="174">
                  <c:v>678832.88</c:v>
                </c:pt>
                <c:pt idx="175">
                  <c:v>657516.91</c:v>
                </c:pt>
                <c:pt idx="176">
                  <c:v>657516.91</c:v>
                </c:pt>
                <c:pt idx="177">
                  <c:v>657516.91</c:v>
                </c:pt>
                <c:pt idx="178">
                  <c:v>657516.91</c:v>
                </c:pt>
                <c:pt idx="179">
                  <c:v>657516.91</c:v>
                </c:pt>
                <c:pt idx="180">
                  <c:v>657516.91</c:v>
                </c:pt>
                <c:pt idx="181">
                  <c:v>657516.91</c:v>
                </c:pt>
                <c:pt idx="182">
                  <c:v>657516.91</c:v>
                </c:pt>
                <c:pt idx="183">
                  <c:v>657516.91</c:v>
                </c:pt>
                <c:pt idx="184">
                  <c:v>657516.91</c:v>
                </c:pt>
                <c:pt idx="185">
                  <c:v>657516.91</c:v>
                </c:pt>
                <c:pt idx="186">
                  <c:v>657516.91</c:v>
                </c:pt>
                <c:pt idx="187">
                  <c:v>657516.91</c:v>
                </c:pt>
                <c:pt idx="188">
                  <c:v>657516.91</c:v>
                </c:pt>
                <c:pt idx="189">
                  <c:v>657516.91</c:v>
                </c:pt>
                <c:pt idx="190">
                  <c:v>657516.91</c:v>
                </c:pt>
                <c:pt idx="191">
                  <c:v>657516.91</c:v>
                </c:pt>
                <c:pt idx="192">
                  <c:v>657516.91</c:v>
                </c:pt>
                <c:pt idx="193">
                  <c:v>657516.91</c:v>
                </c:pt>
                <c:pt idx="194">
                  <c:v>657516.91</c:v>
                </c:pt>
                <c:pt idx="195">
                  <c:v>661382.8</c:v>
                </c:pt>
                <c:pt idx="196">
                  <c:v>642062.8</c:v>
                </c:pt>
                <c:pt idx="197">
                  <c:v>653102.8</c:v>
                </c:pt>
                <c:pt idx="198">
                  <c:v>697262.8</c:v>
                </c:pt>
                <c:pt idx="199">
                  <c:v>711062.8</c:v>
                </c:pt>
                <c:pt idx="200">
                  <c:v>810422.8</c:v>
                </c:pt>
                <c:pt idx="201">
                  <c:v>810422.8</c:v>
                </c:pt>
                <c:pt idx="202">
                  <c:v>802142.8</c:v>
                </c:pt>
                <c:pt idx="203">
                  <c:v>766262.8</c:v>
                </c:pt>
                <c:pt idx="204">
                  <c:v>741422.8</c:v>
                </c:pt>
                <c:pt idx="205">
                  <c:v>766262.8</c:v>
                </c:pt>
                <c:pt idx="206">
                  <c:v>838022.8</c:v>
                </c:pt>
                <c:pt idx="207">
                  <c:v>804902.8</c:v>
                </c:pt>
                <c:pt idx="208">
                  <c:v>804902.8</c:v>
                </c:pt>
                <c:pt idx="209">
                  <c:v>851822.8</c:v>
                </c:pt>
                <c:pt idx="210">
                  <c:v>804902.8</c:v>
                </c:pt>
                <c:pt idx="211">
                  <c:v>835262.8</c:v>
                </c:pt>
                <c:pt idx="212">
                  <c:v>813182.8</c:v>
                </c:pt>
                <c:pt idx="213">
                  <c:v>829742.8</c:v>
                </c:pt>
                <c:pt idx="214">
                  <c:v>815942.8</c:v>
                </c:pt>
                <c:pt idx="215">
                  <c:v>752462.8</c:v>
                </c:pt>
                <c:pt idx="216">
                  <c:v>777302.8</c:v>
                </c:pt>
                <c:pt idx="217">
                  <c:v>763502.8</c:v>
                </c:pt>
                <c:pt idx="218">
                  <c:v>791102.8</c:v>
                </c:pt>
                <c:pt idx="219">
                  <c:v>793862.8</c:v>
                </c:pt>
                <c:pt idx="220">
                  <c:v>871142.8</c:v>
                </c:pt>
                <c:pt idx="221">
                  <c:v>854582.8</c:v>
                </c:pt>
                <c:pt idx="222">
                  <c:v>829742.8</c:v>
                </c:pt>
                <c:pt idx="223">
                  <c:v>835262.8</c:v>
                </c:pt>
                <c:pt idx="224">
                  <c:v>846302.8</c:v>
                </c:pt>
                <c:pt idx="225">
                  <c:v>871142.8</c:v>
                </c:pt>
                <c:pt idx="226">
                  <c:v>912542.8</c:v>
                </c:pt>
                <c:pt idx="227">
                  <c:v>909782.8</c:v>
                </c:pt>
                <c:pt idx="228">
                  <c:v>959462.8</c:v>
                </c:pt>
                <c:pt idx="229">
                  <c:v>1045022.8</c:v>
                </c:pt>
                <c:pt idx="230">
                  <c:v>1102982.8</c:v>
                </c:pt>
                <c:pt idx="231">
                  <c:v>1114022.8</c:v>
                </c:pt>
                <c:pt idx="232">
                  <c:v>1072622.8</c:v>
                </c:pt>
                <c:pt idx="233">
                  <c:v>1078142.8</c:v>
                </c:pt>
                <c:pt idx="234">
                  <c:v>1102982.8</c:v>
                </c:pt>
                <c:pt idx="235">
                  <c:v>1105742.8</c:v>
                </c:pt>
                <c:pt idx="236">
                  <c:v>1080902.8</c:v>
                </c:pt>
                <c:pt idx="237">
                  <c:v>1089182.8</c:v>
                </c:pt>
                <c:pt idx="238">
                  <c:v>1149902.8</c:v>
                </c:pt>
                <c:pt idx="239">
                  <c:v>1177502.8</c:v>
                </c:pt>
                <c:pt idx="240">
                  <c:v>1199582.8</c:v>
                </c:pt>
                <c:pt idx="241">
                  <c:v>1119542.8</c:v>
                </c:pt>
                <c:pt idx="242">
                  <c:v>1119542.8</c:v>
                </c:pt>
                <c:pt idx="243">
                  <c:v>1133342.8</c:v>
                </c:pt>
                <c:pt idx="244">
                  <c:v>1075382.8</c:v>
                </c:pt>
                <c:pt idx="245">
                  <c:v>1091942.8</c:v>
                </c:pt>
                <c:pt idx="246">
                  <c:v>1094702.8</c:v>
                </c:pt>
                <c:pt idx="247">
                  <c:v>1111262.8</c:v>
                </c:pt>
                <c:pt idx="248">
                  <c:v>1033982.8</c:v>
                </c:pt>
                <c:pt idx="249">
                  <c:v>1059968.98</c:v>
                </c:pt>
                <c:pt idx="250">
                  <c:v>1059968.98</c:v>
                </c:pt>
                <c:pt idx="251">
                  <c:v>1059968.98</c:v>
                </c:pt>
                <c:pt idx="252">
                  <c:v>1059968.98</c:v>
                </c:pt>
                <c:pt idx="253">
                  <c:v>1059968.98</c:v>
                </c:pt>
                <c:pt idx="254">
                  <c:v>1059968.98</c:v>
                </c:pt>
                <c:pt idx="255">
                  <c:v>1059968.98</c:v>
                </c:pt>
                <c:pt idx="256">
                  <c:v>1059968.98</c:v>
                </c:pt>
                <c:pt idx="257">
                  <c:v>1059968.98</c:v>
                </c:pt>
                <c:pt idx="258">
                  <c:v>1059968.98</c:v>
                </c:pt>
                <c:pt idx="259">
                  <c:v>1059968.98</c:v>
                </c:pt>
                <c:pt idx="260">
                  <c:v>1059968.98</c:v>
                </c:pt>
                <c:pt idx="261">
                  <c:v>1059968.98</c:v>
                </c:pt>
                <c:pt idx="262">
                  <c:v>1059968.98</c:v>
                </c:pt>
                <c:pt idx="263">
                  <c:v>1059968.98</c:v>
                </c:pt>
                <c:pt idx="264">
                  <c:v>1059968.98</c:v>
                </c:pt>
                <c:pt idx="265">
                  <c:v>1059968.98</c:v>
                </c:pt>
                <c:pt idx="266">
                  <c:v>1059968.98</c:v>
                </c:pt>
                <c:pt idx="267">
                  <c:v>1059968.98</c:v>
                </c:pt>
                <c:pt idx="268">
                  <c:v>1059968.98</c:v>
                </c:pt>
                <c:pt idx="269">
                  <c:v>1059968.98</c:v>
                </c:pt>
                <c:pt idx="270">
                  <c:v>1059968.98</c:v>
                </c:pt>
                <c:pt idx="271">
                  <c:v>1059968.98</c:v>
                </c:pt>
                <c:pt idx="272">
                  <c:v>1059968.98</c:v>
                </c:pt>
                <c:pt idx="273">
                  <c:v>1059968.98</c:v>
                </c:pt>
                <c:pt idx="274">
                  <c:v>1059968.98</c:v>
                </c:pt>
                <c:pt idx="275">
                  <c:v>1059968.98</c:v>
                </c:pt>
                <c:pt idx="276">
                  <c:v>1059968.98</c:v>
                </c:pt>
                <c:pt idx="277">
                  <c:v>1056860.48</c:v>
                </c:pt>
                <c:pt idx="278">
                  <c:v>1062200.48</c:v>
                </c:pt>
                <c:pt idx="279">
                  <c:v>1110260.48</c:v>
                </c:pt>
                <c:pt idx="280">
                  <c:v>1035500.48</c:v>
                </c:pt>
                <c:pt idx="281">
                  <c:v>1051520.48</c:v>
                </c:pt>
                <c:pt idx="282">
                  <c:v>891320.48</c:v>
                </c:pt>
                <c:pt idx="283">
                  <c:v>912680.48</c:v>
                </c:pt>
                <c:pt idx="284">
                  <c:v>1003460.48</c:v>
                </c:pt>
                <c:pt idx="285">
                  <c:v>1035500.48</c:v>
                </c:pt>
                <c:pt idx="286">
                  <c:v>1024820.48</c:v>
                </c:pt>
                <c:pt idx="287">
                  <c:v>1067540.48</c:v>
                </c:pt>
                <c:pt idx="288">
                  <c:v>1008800.48</c:v>
                </c:pt>
                <c:pt idx="289">
                  <c:v>928700.48</c:v>
                </c:pt>
                <c:pt idx="290">
                  <c:v>944720.48</c:v>
                </c:pt>
                <c:pt idx="291">
                  <c:v>982100.48</c:v>
                </c:pt>
                <c:pt idx="292">
                  <c:v>976760.48</c:v>
                </c:pt>
                <c:pt idx="293">
                  <c:v>1003460.48</c:v>
                </c:pt>
                <c:pt idx="294">
                  <c:v>1078220.48</c:v>
                </c:pt>
                <c:pt idx="295">
                  <c:v>1062200.48</c:v>
                </c:pt>
                <c:pt idx="296">
                  <c:v>1136960.48</c:v>
                </c:pt>
                <c:pt idx="297">
                  <c:v>1083560.48</c:v>
                </c:pt>
                <c:pt idx="298">
                  <c:v>1099580.48</c:v>
                </c:pt>
                <c:pt idx="299">
                  <c:v>1142300.48</c:v>
                </c:pt>
                <c:pt idx="300">
                  <c:v>1083560.48</c:v>
                </c:pt>
                <c:pt idx="301">
                  <c:v>1078220.48</c:v>
                </c:pt>
                <c:pt idx="302">
                  <c:v>1099580.48</c:v>
                </c:pt>
                <c:pt idx="303">
                  <c:v>1062200.48</c:v>
                </c:pt>
                <c:pt idx="304">
                  <c:v>1014140.48</c:v>
                </c:pt>
                <c:pt idx="305">
                  <c:v>1062200.48</c:v>
                </c:pt>
                <c:pt idx="306">
                  <c:v>1099580.48</c:v>
                </c:pt>
                <c:pt idx="307">
                  <c:v>1104920.48</c:v>
                </c:pt>
                <c:pt idx="308">
                  <c:v>1062200.48</c:v>
                </c:pt>
                <c:pt idx="309">
                  <c:v>1115600.48</c:v>
                </c:pt>
                <c:pt idx="310">
                  <c:v>1185020.48</c:v>
                </c:pt>
                <c:pt idx="311">
                  <c:v>1201040.48</c:v>
                </c:pt>
                <c:pt idx="312">
                  <c:v>1152980.48</c:v>
                </c:pt>
                <c:pt idx="313">
                  <c:v>1211720.48</c:v>
                </c:pt>
                <c:pt idx="314">
                  <c:v>1222400.48</c:v>
                </c:pt>
                <c:pt idx="315">
                  <c:v>1275800.48</c:v>
                </c:pt>
                <c:pt idx="316">
                  <c:v>1275800.48</c:v>
                </c:pt>
                <c:pt idx="317">
                  <c:v>1238420.48</c:v>
                </c:pt>
                <c:pt idx="318">
                  <c:v>1270460.48</c:v>
                </c:pt>
                <c:pt idx="319">
                  <c:v>1275800.48</c:v>
                </c:pt>
                <c:pt idx="320">
                  <c:v>1307840.48</c:v>
                </c:pt>
                <c:pt idx="321">
                  <c:v>1275800.48</c:v>
                </c:pt>
                <c:pt idx="322">
                  <c:v>1297160.48</c:v>
                </c:pt>
                <c:pt idx="323">
                  <c:v>1339880.48</c:v>
                </c:pt>
                <c:pt idx="324">
                  <c:v>1345220.48</c:v>
                </c:pt>
                <c:pt idx="325">
                  <c:v>1323860.48</c:v>
                </c:pt>
                <c:pt idx="326">
                  <c:v>1270460.48</c:v>
                </c:pt>
                <c:pt idx="327">
                  <c:v>1243760.48</c:v>
                </c:pt>
                <c:pt idx="328">
                  <c:v>1265120.48</c:v>
                </c:pt>
                <c:pt idx="329">
                  <c:v>1313180.48</c:v>
                </c:pt>
                <c:pt idx="330">
                  <c:v>1323860.48</c:v>
                </c:pt>
                <c:pt idx="331">
                  <c:v>1222400.48</c:v>
                </c:pt>
                <c:pt idx="332">
                  <c:v>1190360.48</c:v>
                </c:pt>
                <c:pt idx="333">
                  <c:v>1192605.32</c:v>
                </c:pt>
                <c:pt idx="334">
                  <c:v>1192605.32</c:v>
                </c:pt>
                <c:pt idx="335">
                  <c:v>1192605.32</c:v>
                </c:pt>
                <c:pt idx="336">
                  <c:v>1192605.32</c:v>
                </c:pt>
                <c:pt idx="337">
                  <c:v>1192605.32</c:v>
                </c:pt>
                <c:pt idx="338">
                  <c:v>1192605.32</c:v>
                </c:pt>
                <c:pt idx="339">
                  <c:v>1192605.32</c:v>
                </c:pt>
                <c:pt idx="340">
                  <c:v>1192605.32</c:v>
                </c:pt>
                <c:pt idx="341">
                  <c:v>1192605.32</c:v>
                </c:pt>
                <c:pt idx="342">
                  <c:v>1192605.32</c:v>
                </c:pt>
                <c:pt idx="343">
                  <c:v>1192605.32</c:v>
                </c:pt>
                <c:pt idx="344">
                  <c:v>1192605.32</c:v>
                </c:pt>
                <c:pt idx="345">
                  <c:v>1192605.32</c:v>
                </c:pt>
                <c:pt idx="346">
                  <c:v>1226428.52</c:v>
                </c:pt>
                <c:pt idx="347">
                  <c:v>1257628.52</c:v>
                </c:pt>
                <c:pt idx="348">
                  <c:v>1213948.52</c:v>
                </c:pt>
                <c:pt idx="349">
                  <c:v>1195228.52</c:v>
                </c:pt>
                <c:pt idx="350">
                  <c:v>1195228.52</c:v>
                </c:pt>
                <c:pt idx="351">
                  <c:v>1188988.52</c:v>
                </c:pt>
                <c:pt idx="352">
                  <c:v>1263868.52</c:v>
                </c:pt>
                <c:pt idx="353">
                  <c:v>1201468.52</c:v>
                </c:pt>
                <c:pt idx="354">
                  <c:v>1182748.52</c:v>
                </c:pt>
                <c:pt idx="355">
                  <c:v>1145308.52</c:v>
                </c:pt>
                <c:pt idx="356">
                  <c:v>1076668.52</c:v>
                </c:pt>
                <c:pt idx="357">
                  <c:v>1035627.31</c:v>
                </c:pt>
                <c:pt idx="358">
                  <c:v>1035627.31</c:v>
                </c:pt>
                <c:pt idx="359">
                  <c:v>1035627.31</c:v>
                </c:pt>
                <c:pt idx="360">
                  <c:v>1035627.31</c:v>
                </c:pt>
                <c:pt idx="361">
                  <c:v>1035627.31</c:v>
                </c:pt>
                <c:pt idx="362">
                  <c:v>1035627.31</c:v>
                </c:pt>
                <c:pt idx="363">
                  <c:v>1035627.31</c:v>
                </c:pt>
                <c:pt idx="364">
                  <c:v>1035627.31</c:v>
                </c:pt>
                <c:pt idx="365">
                  <c:v>1035627.31</c:v>
                </c:pt>
                <c:pt idx="366">
                  <c:v>982757.21</c:v>
                </c:pt>
                <c:pt idx="367">
                  <c:v>966197.21</c:v>
                </c:pt>
                <c:pt idx="368">
                  <c:v>1043477.21</c:v>
                </c:pt>
                <c:pt idx="369">
                  <c:v>1010357.21</c:v>
                </c:pt>
                <c:pt idx="370">
                  <c:v>1021397.21</c:v>
                </c:pt>
                <c:pt idx="371">
                  <c:v>1021397.21</c:v>
                </c:pt>
                <c:pt idx="372">
                  <c:v>1021397.21</c:v>
                </c:pt>
                <c:pt idx="373">
                  <c:v>817099.63</c:v>
                </c:pt>
                <c:pt idx="374">
                  <c:v>798132.15</c:v>
                </c:pt>
                <c:pt idx="375">
                  <c:v>835392.15</c:v>
                </c:pt>
                <c:pt idx="376">
                  <c:v>806412.15</c:v>
                </c:pt>
                <c:pt idx="377">
                  <c:v>756732.15</c:v>
                </c:pt>
                <c:pt idx="378">
                  <c:v>731892.15</c:v>
                </c:pt>
                <c:pt idx="379">
                  <c:v>686352.15</c:v>
                </c:pt>
                <c:pt idx="380">
                  <c:v>682212.15</c:v>
                </c:pt>
                <c:pt idx="381">
                  <c:v>661512.15</c:v>
                </c:pt>
                <c:pt idx="382">
                  <c:v>638422.47</c:v>
                </c:pt>
                <c:pt idx="383">
                  <c:v>638422.47</c:v>
                </c:pt>
                <c:pt idx="384">
                  <c:v>638422.47</c:v>
                </c:pt>
                <c:pt idx="385">
                  <c:v>638422.47</c:v>
                </c:pt>
                <c:pt idx="386">
                  <c:v>638422.47</c:v>
                </c:pt>
                <c:pt idx="387">
                  <c:v>638422.47</c:v>
                </c:pt>
                <c:pt idx="388">
                  <c:v>638422.47</c:v>
                </c:pt>
                <c:pt idx="389">
                  <c:v>638422.47</c:v>
                </c:pt>
                <c:pt idx="390">
                  <c:v>638422.47</c:v>
                </c:pt>
                <c:pt idx="391">
                  <c:v>638422.47</c:v>
                </c:pt>
                <c:pt idx="392">
                  <c:v>638422.47</c:v>
                </c:pt>
                <c:pt idx="393">
                  <c:v>638422.47</c:v>
                </c:pt>
                <c:pt idx="394">
                  <c:v>638422.47</c:v>
                </c:pt>
                <c:pt idx="395">
                  <c:v>638422.47</c:v>
                </c:pt>
                <c:pt idx="396">
                  <c:v>638422.47</c:v>
                </c:pt>
                <c:pt idx="397">
                  <c:v>638422.47</c:v>
                </c:pt>
                <c:pt idx="398">
                  <c:v>638422.47</c:v>
                </c:pt>
                <c:pt idx="399">
                  <c:v>638422.47</c:v>
                </c:pt>
                <c:pt idx="400">
                  <c:v>638422.47</c:v>
                </c:pt>
                <c:pt idx="401">
                  <c:v>638422.47</c:v>
                </c:pt>
                <c:pt idx="402">
                  <c:v>638422.47</c:v>
                </c:pt>
                <c:pt idx="403">
                  <c:v>638422.47</c:v>
                </c:pt>
                <c:pt idx="404">
                  <c:v>638422.47</c:v>
                </c:pt>
                <c:pt idx="405">
                  <c:v>638422.47</c:v>
                </c:pt>
                <c:pt idx="406">
                  <c:v>638422.47</c:v>
                </c:pt>
                <c:pt idx="407">
                  <c:v>638422.47</c:v>
                </c:pt>
                <c:pt idx="408">
                  <c:v>638422.47</c:v>
                </c:pt>
                <c:pt idx="409">
                  <c:v>638422.47</c:v>
                </c:pt>
                <c:pt idx="410">
                  <c:v>638422.47</c:v>
                </c:pt>
                <c:pt idx="411">
                  <c:v>638422.47</c:v>
                </c:pt>
                <c:pt idx="412">
                  <c:v>650130.44</c:v>
                </c:pt>
                <c:pt idx="413">
                  <c:v>667230.44</c:v>
                </c:pt>
                <c:pt idx="414">
                  <c:v>663810.44</c:v>
                </c:pt>
                <c:pt idx="415">
                  <c:v>653550.44</c:v>
                </c:pt>
                <c:pt idx="416">
                  <c:v>653550.44</c:v>
                </c:pt>
                <c:pt idx="417">
                  <c:v>660390.44</c:v>
                </c:pt>
                <c:pt idx="418">
                  <c:v>670650.44</c:v>
                </c:pt>
                <c:pt idx="419">
                  <c:v>698010.44</c:v>
                </c:pt>
                <c:pt idx="420">
                  <c:v>653550.44</c:v>
                </c:pt>
                <c:pt idx="421">
                  <c:v>646710.44</c:v>
                </c:pt>
                <c:pt idx="422">
                  <c:v>633030.44</c:v>
                </c:pt>
                <c:pt idx="423">
                  <c:v>633030.44</c:v>
                </c:pt>
                <c:pt idx="424">
                  <c:v>643290.44</c:v>
                </c:pt>
                <c:pt idx="425">
                  <c:v>550950.44</c:v>
                </c:pt>
                <c:pt idx="426">
                  <c:v>545567.65</c:v>
                </c:pt>
                <c:pt idx="427">
                  <c:v>545567.65</c:v>
                </c:pt>
                <c:pt idx="428">
                  <c:v>545567.65</c:v>
                </c:pt>
                <c:pt idx="429">
                  <c:v>545567.65</c:v>
                </c:pt>
                <c:pt idx="430">
                  <c:v>545567.65</c:v>
                </c:pt>
                <c:pt idx="431">
                  <c:v>545567.65</c:v>
                </c:pt>
                <c:pt idx="432">
                  <c:v>545567.65</c:v>
                </c:pt>
                <c:pt idx="433">
                  <c:v>545567.65</c:v>
                </c:pt>
                <c:pt idx="434">
                  <c:v>545567.65</c:v>
                </c:pt>
                <c:pt idx="435">
                  <c:v>545567.65</c:v>
                </c:pt>
                <c:pt idx="436">
                  <c:v>545567.65</c:v>
                </c:pt>
                <c:pt idx="437">
                  <c:v>545567.65</c:v>
                </c:pt>
                <c:pt idx="438">
                  <c:v>545567.65</c:v>
                </c:pt>
                <c:pt idx="439">
                  <c:v>531300.15</c:v>
                </c:pt>
                <c:pt idx="440">
                  <c:v>543780.15</c:v>
                </c:pt>
                <c:pt idx="441">
                  <c:v>534420.15</c:v>
                </c:pt>
                <c:pt idx="442">
                  <c:v>553140.15</c:v>
                </c:pt>
                <c:pt idx="443">
                  <c:v>531300.15</c:v>
                </c:pt>
                <c:pt idx="444">
                  <c:v>546900.15</c:v>
                </c:pt>
                <c:pt idx="445">
                  <c:v>553140.15</c:v>
                </c:pt>
                <c:pt idx="446">
                  <c:v>559380.15</c:v>
                </c:pt>
                <c:pt idx="447">
                  <c:v>553140.15</c:v>
                </c:pt>
                <c:pt idx="448">
                  <c:v>571860.15</c:v>
                </c:pt>
                <c:pt idx="449">
                  <c:v>546900.15</c:v>
                </c:pt>
                <c:pt idx="450">
                  <c:v>537540.15</c:v>
                </c:pt>
                <c:pt idx="451">
                  <c:v>546900.15</c:v>
                </c:pt>
                <c:pt idx="452">
                  <c:v>543780.15</c:v>
                </c:pt>
                <c:pt idx="453">
                  <c:v>528180.15</c:v>
                </c:pt>
                <c:pt idx="454">
                  <c:v>515700.15</c:v>
                </c:pt>
                <c:pt idx="455">
                  <c:v>525060.15</c:v>
                </c:pt>
                <c:pt idx="456">
                  <c:v>528180.15</c:v>
                </c:pt>
                <c:pt idx="457">
                  <c:v>506340.15</c:v>
                </c:pt>
                <c:pt idx="458">
                  <c:v>537540.15</c:v>
                </c:pt>
                <c:pt idx="459">
                  <c:v>525060.15</c:v>
                </c:pt>
                <c:pt idx="460">
                  <c:v>525060.15</c:v>
                </c:pt>
                <c:pt idx="461">
                  <c:v>528180.15</c:v>
                </c:pt>
                <c:pt idx="462">
                  <c:v>506340.15</c:v>
                </c:pt>
                <c:pt idx="463">
                  <c:v>496980.15</c:v>
                </c:pt>
                <c:pt idx="464">
                  <c:v>525060.15</c:v>
                </c:pt>
                <c:pt idx="465">
                  <c:v>546900.15</c:v>
                </c:pt>
                <c:pt idx="466">
                  <c:v>518820.15</c:v>
                </c:pt>
                <c:pt idx="467">
                  <c:v>543780.15</c:v>
                </c:pt>
                <c:pt idx="468">
                  <c:v>531300.15</c:v>
                </c:pt>
                <c:pt idx="469">
                  <c:v>528180.15</c:v>
                </c:pt>
                <c:pt idx="470">
                  <c:v>550020.15</c:v>
                </c:pt>
                <c:pt idx="471">
                  <c:v>584340.15</c:v>
                </c:pt>
                <c:pt idx="472">
                  <c:v>584340.15</c:v>
                </c:pt>
                <c:pt idx="473">
                  <c:v>568740.15</c:v>
                </c:pt>
                <c:pt idx="474">
                  <c:v>574980.15</c:v>
                </c:pt>
                <c:pt idx="475">
                  <c:v>565620.15</c:v>
                </c:pt>
                <c:pt idx="476">
                  <c:v>559380.15</c:v>
                </c:pt>
                <c:pt idx="477">
                  <c:v>559380.15</c:v>
                </c:pt>
                <c:pt idx="478">
                  <c:v>559380.15</c:v>
                </c:pt>
                <c:pt idx="479">
                  <c:v>578100.15</c:v>
                </c:pt>
                <c:pt idx="480">
                  <c:v>606180.15</c:v>
                </c:pt>
                <c:pt idx="481">
                  <c:v>615540.15</c:v>
                </c:pt>
                <c:pt idx="482">
                  <c:v>609300.15</c:v>
                </c:pt>
                <c:pt idx="483">
                  <c:v>612420.15</c:v>
                </c:pt>
                <c:pt idx="484">
                  <c:v>606180.15</c:v>
                </c:pt>
                <c:pt idx="485">
                  <c:v>643620.15</c:v>
                </c:pt>
                <c:pt idx="486">
                  <c:v>615540.15</c:v>
                </c:pt>
                <c:pt idx="487">
                  <c:v>640500.15</c:v>
                </c:pt>
                <c:pt idx="488">
                  <c:v>662340.15</c:v>
                </c:pt>
                <c:pt idx="489">
                  <c:v>662340.15</c:v>
                </c:pt>
                <c:pt idx="490">
                  <c:v>649860.15</c:v>
                </c:pt>
                <c:pt idx="491">
                  <c:v>674820.15</c:v>
                </c:pt>
                <c:pt idx="492">
                  <c:v>674820.15</c:v>
                </c:pt>
                <c:pt idx="493">
                  <c:v>687300.15</c:v>
                </c:pt>
                <c:pt idx="494">
                  <c:v>690420.15</c:v>
                </c:pt>
                <c:pt idx="495">
                  <c:v>699780.15</c:v>
                </c:pt>
                <c:pt idx="496">
                  <c:v>730980.15</c:v>
                </c:pt>
                <c:pt idx="497">
                  <c:v>690420.15</c:v>
                </c:pt>
                <c:pt idx="498">
                  <c:v>693540.15</c:v>
                </c:pt>
                <c:pt idx="499">
                  <c:v>702900.15</c:v>
                </c:pt>
                <c:pt idx="500">
                  <c:v>690420.15</c:v>
                </c:pt>
                <c:pt idx="501">
                  <c:v>699780.15</c:v>
                </c:pt>
                <c:pt idx="502">
                  <c:v>757500.15</c:v>
                </c:pt>
                <c:pt idx="503">
                  <c:v>749700.15</c:v>
                </c:pt>
                <c:pt idx="504">
                  <c:v>730980.15</c:v>
                </c:pt>
                <c:pt idx="505">
                  <c:v>745020.15</c:v>
                </c:pt>
                <c:pt idx="506">
                  <c:v>706020.15</c:v>
                </c:pt>
                <c:pt idx="507">
                  <c:v>682620.15</c:v>
                </c:pt>
                <c:pt idx="508">
                  <c:v>664002.36</c:v>
                </c:pt>
                <c:pt idx="509">
                  <c:v>606042.36</c:v>
                </c:pt>
                <c:pt idx="510">
                  <c:v>626742.36</c:v>
                </c:pt>
                <c:pt idx="511">
                  <c:v>639162.36</c:v>
                </c:pt>
                <c:pt idx="512">
                  <c:v>643022.22</c:v>
                </c:pt>
                <c:pt idx="513">
                  <c:v>636904.03</c:v>
                </c:pt>
                <c:pt idx="514">
                  <c:v>621304.03</c:v>
                </c:pt>
                <c:pt idx="515">
                  <c:v>656404.03</c:v>
                </c:pt>
                <c:pt idx="516">
                  <c:v>642754.03</c:v>
                </c:pt>
                <c:pt idx="517">
                  <c:v>609604.03</c:v>
                </c:pt>
                <c:pt idx="518">
                  <c:v>617404.03</c:v>
                </c:pt>
                <c:pt idx="519">
                  <c:v>603754.03</c:v>
                </c:pt>
                <c:pt idx="520">
                  <c:v>595954.03</c:v>
                </c:pt>
                <c:pt idx="521">
                  <c:v>586204.03</c:v>
                </c:pt>
                <c:pt idx="522">
                  <c:v>578404.03</c:v>
                </c:pt>
                <c:pt idx="523">
                  <c:v>560854.03</c:v>
                </c:pt>
                <c:pt idx="524">
                  <c:v>607654.03</c:v>
                </c:pt>
                <c:pt idx="525">
                  <c:v>625204.03</c:v>
                </c:pt>
                <c:pt idx="526">
                  <c:v>621304.03</c:v>
                </c:pt>
                <c:pt idx="527">
                  <c:v>611554.03</c:v>
                </c:pt>
                <c:pt idx="528">
                  <c:v>627154.03</c:v>
                </c:pt>
                <c:pt idx="529">
                  <c:v>629104.03</c:v>
                </c:pt>
                <c:pt idx="530">
                  <c:v>652504.03</c:v>
                </c:pt>
                <c:pt idx="531">
                  <c:v>673954.03</c:v>
                </c:pt>
                <c:pt idx="532">
                  <c:v>677854.03</c:v>
                </c:pt>
                <c:pt idx="533">
                  <c:v>652504.03</c:v>
                </c:pt>
                <c:pt idx="534">
                  <c:v>668104.03</c:v>
                </c:pt>
                <c:pt idx="535">
                  <c:v>631054.03</c:v>
                </c:pt>
                <c:pt idx="536">
                  <c:v>638854.03</c:v>
                </c:pt>
                <c:pt idx="537">
                  <c:v>633004.03</c:v>
                </c:pt>
                <c:pt idx="538">
                  <c:v>685654.03</c:v>
                </c:pt>
                <c:pt idx="539">
                  <c:v>668104.03</c:v>
                </c:pt>
                <c:pt idx="540">
                  <c:v>656404.03</c:v>
                </c:pt>
                <c:pt idx="541">
                  <c:v>658354.03</c:v>
                </c:pt>
                <c:pt idx="542">
                  <c:v>656404.03</c:v>
                </c:pt>
                <c:pt idx="543">
                  <c:v>601804.03</c:v>
                </c:pt>
                <c:pt idx="544">
                  <c:v>590104.03</c:v>
                </c:pt>
                <c:pt idx="545">
                  <c:v>619354.03</c:v>
                </c:pt>
                <c:pt idx="546">
                  <c:v>609604.03</c:v>
                </c:pt>
                <c:pt idx="547">
                  <c:v>627154.03</c:v>
                </c:pt>
                <c:pt idx="548">
                  <c:v>599854.03</c:v>
                </c:pt>
                <c:pt idx="549">
                  <c:v>597904.03</c:v>
                </c:pt>
                <c:pt idx="550">
                  <c:v>597904.03</c:v>
                </c:pt>
                <c:pt idx="551">
                  <c:v>611554.03</c:v>
                </c:pt>
                <c:pt idx="552">
                  <c:v>631054.03</c:v>
                </c:pt>
                <c:pt idx="553">
                  <c:v>642754.03</c:v>
                </c:pt>
                <c:pt idx="554">
                  <c:v>597904.03</c:v>
                </c:pt>
                <c:pt idx="555">
                  <c:v>516004.03</c:v>
                </c:pt>
                <c:pt idx="556">
                  <c:v>509899.1</c:v>
                </c:pt>
                <c:pt idx="557">
                  <c:v>509899.1</c:v>
                </c:pt>
                <c:pt idx="558">
                  <c:v>509899.1</c:v>
                </c:pt>
                <c:pt idx="559">
                  <c:v>509899.1</c:v>
                </c:pt>
                <c:pt idx="560">
                  <c:v>509899.1</c:v>
                </c:pt>
                <c:pt idx="561">
                  <c:v>509899.1</c:v>
                </c:pt>
                <c:pt idx="562">
                  <c:v>509899.1</c:v>
                </c:pt>
                <c:pt idx="563">
                  <c:v>509899.1</c:v>
                </c:pt>
                <c:pt idx="564">
                  <c:v>509899.1</c:v>
                </c:pt>
                <c:pt idx="565">
                  <c:v>509899.1</c:v>
                </c:pt>
                <c:pt idx="566">
                  <c:v>509899.1</c:v>
                </c:pt>
                <c:pt idx="567">
                  <c:v>509899.1</c:v>
                </c:pt>
                <c:pt idx="568">
                  <c:v>509899.1</c:v>
                </c:pt>
                <c:pt idx="569">
                  <c:v>509899.1</c:v>
                </c:pt>
                <c:pt idx="570">
                  <c:v>509899.1</c:v>
                </c:pt>
                <c:pt idx="571">
                  <c:v>509899.1</c:v>
                </c:pt>
                <c:pt idx="572">
                  <c:v>509899.1</c:v>
                </c:pt>
                <c:pt idx="573">
                  <c:v>509899.1</c:v>
                </c:pt>
                <c:pt idx="574">
                  <c:v>509899.1</c:v>
                </c:pt>
                <c:pt idx="575">
                  <c:v>509899.1</c:v>
                </c:pt>
                <c:pt idx="576">
                  <c:v>509899.1</c:v>
                </c:pt>
                <c:pt idx="577">
                  <c:v>511398.37</c:v>
                </c:pt>
                <c:pt idx="578">
                  <c:v>526788.37</c:v>
                </c:pt>
                <c:pt idx="579">
                  <c:v>538758.37</c:v>
                </c:pt>
                <c:pt idx="580">
                  <c:v>555858.37</c:v>
                </c:pt>
                <c:pt idx="581">
                  <c:v>526788.37</c:v>
                </c:pt>
                <c:pt idx="582">
                  <c:v>489168.37</c:v>
                </c:pt>
                <c:pt idx="583">
                  <c:v>478908.37</c:v>
                </c:pt>
                <c:pt idx="584">
                  <c:v>482328.37</c:v>
                </c:pt>
                <c:pt idx="585">
                  <c:v>514818.37</c:v>
                </c:pt>
                <c:pt idx="586">
                  <c:v>530208.37</c:v>
                </c:pt>
                <c:pt idx="587">
                  <c:v>526788.37</c:v>
                </c:pt>
                <c:pt idx="588">
                  <c:v>557568.37</c:v>
                </c:pt>
                <c:pt idx="589">
                  <c:v>550728.37</c:v>
                </c:pt>
                <c:pt idx="590">
                  <c:v>631098.37</c:v>
                </c:pt>
                <c:pt idx="591">
                  <c:v>644778.37</c:v>
                </c:pt>
                <c:pt idx="592">
                  <c:v>684108.37</c:v>
                </c:pt>
                <c:pt idx="593">
                  <c:v>658458.37</c:v>
                </c:pt>
                <c:pt idx="594">
                  <c:v>653328.37</c:v>
                </c:pt>
                <c:pt idx="595">
                  <c:v>670428.37</c:v>
                </c:pt>
                <c:pt idx="596">
                  <c:v>651618.37</c:v>
                </c:pt>
                <c:pt idx="597">
                  <c:v>644778.37</c:v>
                </c:pt>
                <c:pt idx="598">
                  <c:v>637938.37</c:v>
                </c:pt>
                <c:pt idx="599">
                  <c:v>610578.37</c:v>
                </c:pt>
                <c:pt idx="600">
                  <c:v>595188.37</c:v>
                </c:pt>
                <c:pt idx="601">
                  <c:v>593478.37</c:v>
                </c:pt>
                <c:pt idx="602">
                  <c:v>613998.37</c:v>
                </c:pt>
                <c:pt idx="603">
                  <c:v>651618.37</c:v>
                </c:pt>
                <c:pt idx="604">
                  <c:v>651618.37</c:v>
                </c:pt>
                <c:pt idx="605">
                  <c:v>603738.37</c:v>
                </c:pt>
                <c:pt idx="606">
                  <c:v>613998.37</c:v>
                </c:pt>
                <c:pt idx="607">
                  <c:v>607158.37</c:v>
                </c:pt>
                <c:pt idx="608">
                  <c:v>569538.37</c:v>
                </c:pt>
                <c:pt idx="609">
                  <c:v>588348.37</c:v>
                </c:pt>
                <c:pt idx="610">
                  <c:v>615708.37</c:v>
                </c:pt>
                <c:pt idx="611">
                  <c:v>620838.37</c:v>
                </c:pt>
                <c:pt idx="612">
                  <c:v>613998.37</c:v>
                </c:pt>
                <c:pt idx="613">
                  <c:v>649908.37</c:v>
                </c:pt>
                <c:pt idx="614">
                  <c:v>660168.37</c:v>
                </c:pt>
                <c:pt idx="615">
                  <c:v>658458.37</c:v>
                </c:pt>
                <c:pt idx="616">
                  <c:v>661878.37</c:v>
                </c:pt>
                <c:pt idx="617">
                  <c:v>624258.37</c:v>
                </c:pt>
                <c:pt idx="618">
                  <c:v>673848.37</c:v>
                </c:pt>
                <c:pt idx="619">
                  <c:v>673848.37</c:v>
                </c:pt>
                <c:pt idx="620">
                  <c:v>682398.37</c:v>
                </c:pt>
                <c:pt idx="621">
                  <c:v>685818.37</c:v>
                </c:pt>
                <c:pt idx="622">
                  <c:v>680688.37</c:v>
                </c:pt>
                <c:pt idx="623">
                  <c:v>680688.37</c:v>
                </c:pt>
                <c:pt idx="624">
                  <c:v>667008.37</c:v>
                </c:pt>
                <c:pt idx="625">
                  <c:v>673848.37</c:v>
                </c:pt>
                <c:pt idx="626">
                  <c:v>661878.37</c:v>
                </c:pt>
                <c:pt idx="627">
                  <c:v>665298.37</c:v>
                </c:pt>
                <c:pt idx="628">
                  <c:v>685818.37</c:v>
                </c:pt>
                <c:pt idx="629">
                  <c:v>689238.37</c:v>
                </c:pt>
                <c:pt idx="630">
                  <c:v>716598.37</c:v>
                </c:pt>
                <c:pt idx="631">
                  <c:v>720018.37</c:v>
                </c:pt>
                <c:pt idx="632">
                  <c:v>720018.37</c:v>
                </c:pt>
                <c:pt idx="633">
                  <c:v>720018.37</c:v>
                </c:pt>
                <c:pt idx="634">
                  <c:v>714888.37</c:v>
                </c:pt>
                <c:pt idx="635">
                  <c:v>701208.37</c:v>
                </c:pt>
                <c:pt idx="636">
                  <c:v>697788.37</c:v>
                </c:pt>
                <c:pt idx="637">
                  <c:v>699498.37</c:v>
                </c:pt>
                <c:pt idx="638">
                  <c:v>713178.37</c:v>
                </c:pt>
                <c:pt idx="639">
                  <c:v>704628.37</c:v>
                </c:pt>
                <c:pt idx="640">
                  <c:v>708048.37</c:v>
                </c:pt>
                <c:pt idx="641">
                  <c:v>711468.37</c:v>
                </c:pt>
                <c:pt idx="642">
                  <c:v>694368.37</c:v>
                </c:pt>
                <c:pt idx="643">
                  <c:v>701208.37</c:v>
                </c:pt>
                <c:pt idx="644">
                  <c:v>690948.37</c:v>
                </c:pt>
                <c:pt idx="645">
                  <c:v>714888.37</c:v>
                </c:pt>
                <c:pt idx="646">
                  <c:v>798678.37</c:v>
                </c:pt>
                <c:pt idx="647">
                  <c:v>822618.37</c:v>
                </c:pt>
                <c:pt idx="648">
                  <c:v>843138.37</c:v>
                </c:pt>
                <c:pt idx="649">
                  <c:v>815778.37</c:v>
                </c:pt>
                <c:pt idx="650">
                  <c:v>784998.37</c:v>
                </c:pt>
                <c:pt idx="651">
                  <c:v>762768.37</c:v>
                </c:pt>
                <c:pt idx="652">
                  <c:v>771318.37</c:v>
                </c:pt>
                <c:pt idx="653">
                  <c:v>784998.37</c:v>
                </c:pt>
                <c:pt idx="654">
                  <c:v>771318.37</c:v>
                </c:pt>
                <c:pt idx="655">
                  <c:v>762768.37</c:v>
                </c:pt>
                <c:pt idx="656">
                  <c:v>779868.37</c:v>
                </c:pt>
                <c:pt idx="657">
                  <c:v>783288.37</c:v>
                </c:pt>
                <c:pt idx="658">
                  <c:v>761058.37</c:v>
                </c:pt>
                <c:pt idx="659">
                  <c:v>778158.37</c:v>
                </c:pt>
                <c:pt idx="660">
                  <c:v>826038.37</c:v>
                </c:pt>
                <c:pt idx="661">
                  <c:v>814068.37</c:v>
                </c:pt>
                <c:pt idx="662">
                  <c:v>805518.37</c:v>
                </c:pt>
                <c:pt idx="663">
                  <c:v>790128.37</c:v>
                </c:pt>
                <c:pt idx="664">
                  <c:v>800388.37</c:v>
                </c:pt>
                <c:pt idx="665">
                  <c:v>796968.37</c:v>
                </c:pt>
                <c:pt idx="666">
                  <c:v>791838.37</c:v>
                </c:pt>
                <c:pt idx="667">
                  <c:v>789945.68</c:v>
                </c:pt>
                <c:pt idx="668">
                  <c:v>834617.38</c:v>
                </c:pt>
                <c:pt idx="669">
                  <c:v>831617.38</c:v>
                </c:pt>
                <c:pt idx="670">
                  <c:v>816617.38</c:v>
                </c:pt>
                <c:pt idx="671">
                  <c:v>825617.38</c:v>
                </c:pt>
                <c:pt idx="672">
                  <c:v>810617.38</c:v>
                </c:pt>
                <c:pt idx="673">
                  <c:v>801617.38</c:v>
                </c:pt>
                <c:pt idx="674">
                  <c:v>870617.38</c:v>
                </c:pt>
                <c:pt idx="675">
                  <c:v>882617.38</c:v>
                </c:pt>
                <c:pt idx="676">
                  <c:v>912617.38</c:v>
                </c:pt>
                <c:pt idx="677">
                  <c:v>855617.38</c:v>
                </c:pt>
                <c:pt idx="678">
                  <c:v>888617.38</c:v>
                </c:pt>
                <c:pt idx="679">
                  <c:v>825617.38</c:v>
                </c:pt>
                <c:pt idx="680">
                  <c:v>822617.38</c:v>
                </c:pt>
                <c:pt idx="681">
                  <c:v>825617.38</c:v>
                </c:pt>
                <c:pt idx="682">
                  <c:v>822617.38</c:v>
                </c:pt>
                <c:pt idx="683">
                  <c:v>741617.38</c:v>
                </c:pt>
                <c:pt idx="684">
                  <c:v>708617.38</c:v>
                </c:pt>
                <c:pt idx="685">
                  <c:v>705297.48</c:v>
                </c:pt>
                <c:pt idx="686">
                  <c:v>705297.48</c:v>
                </c:pt>
                <c:pt idx="687">
                  <c:v>705297.48</c:v>
                </c:pt>
                <c:pt idx="688">
                  <c:v>705297.48</c:v>
                </c:pt>
                <c:pt idx="689">
                  <c:v>705297.48</c:v>
                </c:pt>
                <c:pt idx="690">
                  <c:v>705297.48</c:v>
                </c:pt>
                <c:pt idx="691">
                  <c:v>705297.48</c:v>
                </c:pt>
                <c:pt idx="692">
                  <c:v>705297.48</c:v>
                </c:pt>
                <c:pt idx="693">
                  <c:v>705297.48</c:v>
                </c:pt>
                <c:pt idx="694">
                  <c:v>705297.48</c:v>
                </c:pt>
                <c:pt idx="695">
                  <c:v>705297.48</c:v>
                </c:pt>
                <c:pt idx="696">
                  <c:v>705297.48</c:v>
                </c:pt>
                <c:pt idx="697">
                  <c:v>705297.48</c:v>
                </c:pt>
                <c:pt idx="698">
                  <c:v>705297.48</c:v>
                </c:pt>
                <c:pt idx="699">
                  <c:v>705297.48</c:v>
                </c:pt>
                <c:pt idx="700">
                  <c:v>705297.48</c:v>
                </c:pt>
                <c:pt idx="701">
                  <c:v>705297.48</c:v>
                </c:pt>
                <c:pt idx="702">
                  <c:v>705297.48</c:v>
                </c:pt>
                <c:pt idx="703">
                  <c:v>705297.48</c:v>
                </c:pt>
                <c:pt idx="704">
                  <c:v>681785.08</c:v>
                </c:pt>
                <c:pt idx="705">
                  <c:v>707585.08</c:v>
                </c:pt>
                <c:pt idx="706">
                  <c:v>723065.08</c:v>
                </c:pt>
                <c:pt idx="707">
                  <c:v>841745.08</c:v>
                </c:pt>
                <c:pt idx="708">
                  <c:v>872705.08</c:v>
                </c:pt>
                <c:pt idx="709">
                  <c:v>932045.08</c:v>
                </c:pt>
                <c:pt idx="710">
                  <c:v>908825.08</c:v>
                </c:pt>
                <c:pt idx="711">
                  <c:v>906245.08</c:v>
                </c:pt>
                <c:pt idx="712">
                  <c:v>932045.08</c:v>
                </c:pt>
                <c:pt idx="713">
                  <c:v>937205.08</c:v>
                </c:pt>
                <c:pt idx="714">
                  <c:v>919145.08</c:v>
                </c:pt>
                <c:pt idx="715">
                  <c:v>895925.08</c:v>
                </c:pt>
                <c:pt idx="716">
                  <c:v>841745.08</c:v>
                </c:pt>
                <c:pt idx="717">
                  <c:v>970745.08</c:v>
                </c:pt>
                <c:pt idx="718">
                  <c:v>1009445.08</c:v>
                </c:pt>
                <c:pt idx="719">
                  <c:v>893345.08</c:v>
                </c:pt>
                <c:pt idx="720">
                  <c:v>872705.08</c:v>
                </c:pt>
                <c:pt idx="721">
                  <c:v>919145.08</c:v>
                </c:pt>
                <c:pt idx="722">
                  <c:v>924305.08</c:v>
                </c:pt>
                <c:pt idx="723">
                  <c:v>916565.08</c:v>
                </c:pt>
                <c:pt idx="724">
                  <c:v>932045.08</c:v>
                </c:pt>
                <c:pt idx="725">
                  <c:v>973325.08</c:v>
                </c:pt>
                <c:pt idx="726">
                  <c:v>1032665.08</c:v>
                </c:pt>
                <c:pt idx="727">
                  <c:v>991385.08</c:v>
                </c:pt>
                <c:pt idx="728">
                  <c:v>1001705.08</c:v>
                </c:pt>
                <c:pt idx="729">
                  <c:v>986225.08</c:v>
                </c:pt>
                <c:pt idx="730">
                  <c:v>919145.08</c:v>
                </c:pt>
                <c:pt idx="731">
                  <c:v>957845.08</c:v>
                </c:pt>
                <c:pt idx="732">
                  <c:v>950105.08</c:v>
                </c:pt>
                <c:pt idx="733">
                  <c:v>960425.08</c:v>
                </c:pt>
                <c:pt idx="734">
                  <c:v>957845.08</c:v>
                </c:pt>
                <c:pt idx="735">
                  <c:v>1061045.08</c:v>
                </c:pt>
                <c:pt idx="736">
                  <c:v>1128125.08</c:v>
                </c:pt>
                <c:pt idx="737">
                  <c:v>1128125.08</c:v>
                </c:pt>
                <c:pt idx="738">
                  <c:v>1115225.08</c:v>
                </c:pt>
                <c:pt idx="739">
                  <c:v>1120385.08</c:v>
                </c:pt>
                <c:pt idx="740">
                  <c:v>1133285.08</c:v>
                </c:pt>
                <c:pt idx="741">
                  <c:v>1223585.08</c:v>
                </c:pt>
                <c:pt idx="742">
                  <c:v>1331945.08</c:v>
                </c:pt>
                <c:pt idx="743">
                  <c:v>1409345.08</c:v>
                </c:pt>
                <c:pt idx="744">
                  <c:v>1411925.08</c:v>
                </c:pt>
                <c:pt idx="745">
                  <c:v>1295825.08</c:v>
                </c:pt>
                <c:pt idx="746">
                  <c:v>1460945.08</c:v>
                </c:pt>
                <c:pt idx="747">
                  <c:v>1476425.08</c:v>
                </c:pt>
                <c:pt idx="748">
                  <c:v>1651865.08</c:v>
                </c:pt>
                <c:pt idx="749">
                  <c:v>1739585.08</c:v>
                </c:pt>
                <c:pt idx="750">
                  <c:v>1698305.08</c:v>
                </c:pt>
                <c:pt idx="751">
                  <c:v>1974365.08</c:v>
                </c:pt>
                <c:pt idx="752">
                  <c:v>1873745.08</c:v>
                </c:pt>
                <c:pt idx="753">
                  <c:v>1693145.08</c:v>
                </c:pt>
                <c:pt idx="754">
                  <c:v>1538345.08</c:v>
                </c:pt>
                <c:pt idx="755">
                  <c:v>1760225.08</c:v>
                </c:pt>
                <c:pt idx="756">
                  <c:v>1525445.08</c:v>
                </c:pt>
                <c:pt idx="757">
                  <c:v>1533185.08</c:v>
                </c:pt>
                <c:pt idx="758">
                  <c:v>1417085.08</c:v>
                </c:pt>
                <c:pt idx="759">
                  <c:v>1439939.15</c:v>
                </c:pt>
                <c:pt idx="760">
                  <c:v>1439939.15</c:v>
                </c:pt>
                <c:pt idx="761">
                  <c:v>1439939.15</c:v>
                </c:pt>
                <c:pt idx="762">
                  <c:v>1439939.15</c:v>
                </c:pt>
                <c:pt idx="763">
                  <c:v>1439939.15</c:v>
                </c:pt>
                <c:pt idx="764">
                  <c:v>1439939.15</c:v>
                </c:pt>
                <c:pt idx="765">
                  <c:v>1439939.15</c:v>
                </c:pt>
                <c:pt idx="766">
                  <c:v>1439939.15</c:v>
                </c:pt>
                <c:pt idx="767">
                  <c:v>1439939.15</c:v>
                </c:pt>
                <c:pt idx="768">
                  <c:v>1439939.15</c:v>
                </c:pt>
                <c:pt idx="769">
                  <c:v>1439939.15</c:v>
                </c:pt>
                <c:pt idx="770">
                  <c:v>1439939.15</c:v>
                </c:pt>
                <c:pt idx="771">
                  <c:v>1439939.15</c:v>
                </c:pt>
                <c:pt idx="772">
                  <c:v>1515839.6</c:v>
                </c:pt>
                <c:pt idx="773">
                  <c:v>1272839.6</c:v>
                </c:pt>
                <c:pt idx="774">
                  <c:v>1259339.6</c:v>
                </c:pt>
                <c:pt idx="775">
                  <c:v>1227839.6</c:v>
                </c:pt>
                <c:pt idx="776">
                  <c:v>1277339.6</c:v>
                </c:pt>
                <c:pt idx="777">
                  <c:v>1254839.6</c:v>
                </c:pt>
                <c:pt idx="778">
                  <c:v>1227839.6</c:v>
                </c:pt>
                <c:pt idx="779">
                  <c:v>1142339.6</c:v>
                </c:pt>
                <c:pt idx="780">
                  <c:v>1074839.6</c:v>
                </c:pt>
                <c:pt idx="781">
                  <c:v>1164839.6</c:v>
                </c:pt>
                <c:pt idx="782">
                  <c:v>1290839.6</c:v>
                </c:pt>
                <c:pt idx="783">
                  <c:v>1448339.6</c:v>
                </c:pt>
                <c:pt idx="784">
                  <c:v>1610339.6</c:v>
                </c:pt>
                <c:pt idx="785">
                  <c:v>1515839.6</c:v>
                </c:pt>
                <c:pt idx="786">
                  <c:v>1488839.6</c:v>
                </c:pt>
                <c:pt idx="787">
                  <c:v>1358339.6</c:v>
                </c:pt>
                <c:pt idx="788">
                  <c:v>1407839.6</c:v>
                </c:pt>
                <c:pt idx="789">
                  <c:v>1317839.6</c:v>
                </c:pt>
                <c:pt idx="790">
                  <c:v>1106339.6</c:v>
                </c:pt>
                <c:pt idx="791">
                  <c:v>1052339.6</c:v>
                </c:pt>
                <c:pt idx="792">
                  <c:v>1070339.6</c:v>
                </c:pt>
                <c:pt idx="793">
                  <c:v>804839.6</c:v>
                </c:pt>
                <c:pt idx="794">
                  <c:v>817677.95</c:v>
                </c:pt>
                <c:pt idx="795">
                  <c:v>817677.95</c:v>
                </c:pt>
                <c:pt idx="796">
                  <c:v>817677.95</c:v>
                </c:pt>
                <c:pt idx="797">
                  <c:v>817677.95</c:v>
                </c:pt>
                <c:pt idx="798">
                  <c:v>817677.95</c:v>
                </c:pt>
                <c:pt idx="799">
                  <c:v>817677.95</c:v>
                </c:pt>
                <c:pt idx="800">
                  <c:v>817677.95</c:v>
                </c:pt>
                <c:pt idx="801">
                  <c:v>817677.95</c:v>
                </c:pt>
                <c:pt idx="802">
                  <c:v>817677.95</c:v>
                </c:pt>
                <c:pt idx="803">
                  <c:v>817677.95</c:v>
                </c:pt>
                <c:pt idx="804">
                  <c:v>817677.95</c:v>
                </c:pt>
                <c:pt idx="805">
                  <c:v>817677.95</c:v>
                </c:pt>
                <c:pt idx="806">
                  <c:v>817677.95</c:v>
                </c:pt>
                <c:pt idx="807">
                  <c:v>817677.95</c:v>
                </c:pt>
                <c:pt idx="808">
                  <c:v>817677.95</c:v>
                </c:pt>
                <c:pt idx="809">
                  <c:v>817677.95</c:v>
                </c:pt>
                <c:pt idx="810">
                  <c:v>817677.95</c:v>
                </c:pt>
                <c:pt idx="811">
                  <c:v>817677.95</c:v>
                </c:pt>
                <c:pt idx="812">
                  <c:v>817677.95</c:v>
                </c:pt>
                <c:pt idx="813">
                  <c:v>817677.95</c:v>
                </c:pt>
                <c:pt idx="814">
                  <c:v>817677.95</c:v>
                </c:pt>
                <c:pt idx="815">
                  <c:v>817677.95</c:v>
                </c:pt>
                <c:pt idx="816">
                  <c:v>868396.89</c:v>
                </c:pt>
                <c:pt idx="817">
                  <c:v>839536.89</c:v>
                </c:pt>
                <c:pt idx="818">
                  <c:v>921676.89</c:v>
                </c:pt>
                <c:pt idx="819">
                  <c:v>952756.89</c:v>
                </c:pt>
                <c:pt idx="820">
                  <c:v>934996.89</c:v>
                </c:pt>
                <c:pt idx="821">
                  <c:v>888376.89</c:v>
                </c:pt>
                <c:pt idx="822">
                  <c:v>961636.89</c:v>
                </c:pt>
                <c:pt idx="823">
                  <c:v>1121476.89</c:v>
                </c:pt>
                <c:pt idx="824">
                  <c:v>1065976.89</c:v>
                </c:pt>
                <c:pt idx="825">
                  <c:v>1081516.89</c:v>
                </c:pt>
                <c:pt idx="826">
                  <c:v>1105936.89</c:v>
                </c:pt>
                <c:pt idx="827">
                  <c:v>1168096.89</c:v>
                </c:pt>
                <c:pt idx="828">
                  <c:v>1097056.89</c:v>
                </c:pt>
                <c:pt idx="829">
                  <c:v>1165876.89</c:v>
                </c:pt>
                <c:pt idx="830">
                  <c:v>1145896.89</c:v>
                </c:pt>
                <c:pt idx="831">
                  <c:v>1079296.89</c:v>
                </c:pt>
                <c:pt idx="832">
                  <c:v>1099276.89</c:v>
                </c:pt>
                <c:pt idx="833">
                  <c:v>1141456.89</c:v>
                </c:pt>
                <c:pt idx="834">
                  <c:v>1196956.89</c:v>
                </c:pt>
                <c:pt idx="835">
                  <c:v>1201396.89</c:v>
                </c:pt>
                <c:pt idx="836">
                  <c:v>1183636.89</c:v>
                </c:pt>
                <c:pt idx="837">
                  <c:v>1199176.89</c:v>
                </c:pt>
                <c:pt idx="838">
                  <c:v>1265776.89</c:v>
                </c:pt>
                <c:pt idx="839">
                  <c:v>1312396.89</c:v>
                </c:pt>
                <c:pt idx="840">
                  <c:v>1214716.89</c:v>
                </c:pt>
                <c:pt idx="841">
                  <c:v>1292416.89</c:v>
                </c:pt>
                <c:pt idx="842">
                  <c:v>1403416.89</c:v>
                </c:pt>
                <c:pt idx="843">
                  <c:v>1563256.89</c:v>
                </c:pt>
                <c:pt idx="844">
                  <c:v>1603216.89</c:v>
                </c:pt>
                <c:pt idx="845">
                  <c:v>1418956.89</c:v>
                </c:pt>
                <c:pt idx="846">
                  <c:v>1443376.89</c:v>
                </c:pt>
                <c:pt idx="847">
                  <c:v>1407856.89</c:v>
                </c:pt>
                <c:pt idx="848">
                  <c:v>1245796.89</c:v>
                </c:pt>
                <c:pt idx="849">
                  <c:v>1196956.89</c:v>
                </c:pt>
                <c:pt idx="850">
                  <c:v>1256896.89</c:v>
                </c:pt>
                <c:pt idx="851">
                  <c:v>1367896.89</c:v>
                </c:pt>
                <c:pt idx="852">
                  <c:v>1523296.89</c:v>
                </c:pt>
                <c:pt idx="853">
                  <c:v>1545496.89</c:v>
                </c:pt>
                <c:pt idx="854">
                  <c:v>1501096.89</c:v>
                </c:pt>
                <c:pt idx="855">
                  <c:v>1594336.89</c:v>
                </c:pt>
                <c:pt idx="856">
                  <c:v>1680916.89</c:v>
                </c:pt>
                <c:pt idx="857">
                  <c:v>1669816.89</c:v>
                </c:pt>
                <c:pt idx="858">
                  <c:v>1711996.89</c:v>
                </c:pt>
                <c:pt idx="859">
                  <c:v>1836316.89</c:v>
                </c:pt>
                <c:pt idx="860">
                  <c:v>1887376.89</c:v>
                </c:pt>
                <c:pt idx="861">
                  <c:v>1927336.89</c:v>
                </c:pt>
                <c:pt idx="862">
                  <c:v>2005036.89</c:v>
                </c:pt>
                <c:pt idx="863">
                  <c:v>2096056.89</c:v>
                </c:pt>
                <c:pt idx="864">
                  <c:v>2084956.89</c:v>
                </c:pt>
                <c:pt idx="865">
                  <c:v>2313616.89</c:v>
                </c:pt>
                <c:pt idx="866">
                  <c:v>2506756.89</c:v>
                </c:pt>
                <c:pt idx="867">
                  <c:v>2606656.89</c:v>
                </c:pt>
                <c:pt idx="868">
                  <c:v>2810896.89</c:v>
                </c:pt>
                <c:pt idx="869">
                  <c:v>2748736.89</c:v>
                </c:pt>
                <c:pt idx="870">
                  <c:v>2833096.89</c:v>
                </c:pt>
                <c:pt idx="871">
                  <c:v>2868616.89</c:v>
                </c:pt>
                <c:pt idx="872">
                  <c:v>3112816.89</c:v>
                </c:pt>
                <c:pt idx="873">
                  <c:v>3010696.89</c:v>
                </c:pt>
                <c:pt idx="874">
                  <c:v>2866396.89</c:v>
                </c:pt>
                <c:pt idx="875">
                  <c:v>3141676.89</c:v>
                </c:pt>
                <c:pt idx="876">
                  <c:v>3141676.89</c:v>
                </c:pt>
                <c:pt idx="877">
                  <c:v>3172756.89</c:v>
                </c:pt>
                <c:pt idx="878">
                  <c:v>3135016.89</c:v>
                </c:pt>
                <c:pt idx="879">
                  <c:v>3270436.89</c:v>
                </c:pt>
                <c:pt idx="880">
                  <c:v>3570136.89</c:v>
                </c:pt>
                <c:pt idx="881">
                  <c:v>4025236.89</c:v>
                </c:pt>
                <c:pt idx="882">
                  <c:v>3634516.89</c:v>
                </c:pt>
                <c:pt idx="883">
                  <c:v>4236136.89</c:v>
                </c:pt>
                <c:pt idx="884">
                  <c:v>3967516.89</c:v>
                </c:pt>
                <c:pt idx="885">
                  <c:v>4262776.89</c:v>
                </c:pt>
                <c:pt idx="886">
                  <c:v>4575796.89</c:v>
                </c:pt>
                <c:pt idx="887">
                  <c:v>3987496.89</c:v>
                </c:pt>
                <c:pt idx="888">
                  <c:v>4213936.89</c:v>
                </c:pt>
                <c:pt idx="889">
                  <c:v>4153996.89</c:v>
                </c:pt>
                <c:pt idx="890">
                  <c:v>3805456.89</c:v>
                </c:pt>
                <c:pt idx="891">
                  <c:v>3729976.89</c:v>
                </c:pt>
                <c:pt idx="892">
                  <c:v>4134016.89</c:v>
                </c:pt>
                <c:pt idx="893">
                  <c:v>3967516.89</c:v>
                </c:pt>
                <c:pt idx="894">
                  <c:v>4031896.89</c:v>
                </c:pt>
                <c:pt idx="895">
                  <c:v>4200616.89</c:v>
                </c:pt>
                <c:pt idx="896">
                  <c:v>4233916.89</c:v>
                </c:pt>
                <c:pt idx="897">
                  <c:v>3698896.89</c:v>
                </c:pt>
                <c:pt idx="898">
                  <c:v>3616756.89</c:v>
                </c:pt>
                <c:pt idx="899">
                  <c:v>3896906.27</c:v>
                </c:pt>
                <c:pt idx="900">
                  <c:v>4258706.27</c:v>
                </c:pt>
                <c:pt idx="901">
                  <c:v>4026506.27</c:v>
                </c:pt>
                <c:pt idx="902">
                  <c:v>4215506.27</c:v>
                </c:pt>
                <c:pt idx="903">
                  <c:v>3826706.27</c:v>
                </c:pt>
                <c:pt idx="904">
                  <c:v>4037306.27</c:v>
                </c:pt>
                <c:pt idx="905">
                  <c:v>4404506.27</c:v>
                </c:pt>
                <c:pt idx="906">
                  <c:v>4890506.27</c:v>
                </c:pt>
                <c:pt idx="907">
                  <c:v>4798706.27</c:v>
                </c:pt>
                <c:pt idx="908">
                  <c:v>4723106.27</c:v>
                </c:pt>
                <c:pt idx="909">
                  <c:v>4588106.27</c:v>
                </c:pt>
                <c:pt idx="910">
                  <c:v>4836506.27</c:v>
                </c:pt>
                <c:pt idx="911">
                  <c:v>4625906.27</c:v>
                </c:pt>
                <c:pt idx="912">
                  <c:v>4339706.27</c:v>
                </c:pt>
                <c:pt idx="913">
                  <c:v>4345106.27</c:v>
                </c:pt>
                <c:pt idx="914">
                  <c:v>5084906.27</c:v>
                </c:pt>
                <c:pt idx="915">
                  <c:v>5192906.27</c:v>
                </c:pt>
                <c:pt idx="916">
                  <c:v>5992106.27</c:v>
                </c:pt>
                <c:pt idx="917">
                  <c:v>5992106.27</c:v>
                </c:pt>
                <c:pt idx="918">
                  <c:v>6121706.27</c:v>
                </c:pt>
                <c:pt idx="919">
                  <c:v>6105506.27</c:v>
                </c:pt>
                <c:pt idx="920">
                  <c:v>6170306.27</c:v>
                </c:pt>
                <c:pt idx="921">
                  <c:v>6748106.27</c:v>
                </c:pt>
                <c:pt idx="922">
                  <c:v>6623906.27</c:v>
                </c:pt>
                <c:pt idx="923">
                  <c:v>6537506.27</c:v>
                </c:pt>
                <c:pt idx="924">
                  <c:v>6397106.27</c:v>
                </c:pt>
                <c:pt idx="925">
                  <c:v>6013706.27</c:v>
                </c:pt>
                <c:pt idx="926">
                  <c:v>5317106.27</c:v>
                </c:pt>
                <c:pt idx="927">
                  <c:v>5527706.27</c:v>
                </c:pt>
                <c:pt idx="928">
                  <c:v>5560106.27</c:v>
                </c:pt>
                <c:pt idx="929">
                  <c:v>5338706.27</c:v>
                </c:pt>
                <c:pt idx="930">
                  <c:v>4733906.27</c:v>
                </c:pt>
                <c:pt idx="931">
                  <c:v>5851706.27</c:v>
                </c:pt>
                <c:pt idx="932">
                  <c:v>5835506.27</c:v>
                </c:pt>
                <c:pt idx="933">
                  <c:v>5705906.27</c:v>
                </c:pt>
                <c:pt idx="934">
                  <c:v>6278306.27</c:v>
                </c:pt>
                <c:pt idx="935">
                  <c:v>6245906.27</c:v>
                </c:pt>
                <c:pt idx="936">
                  <c:v>5894906.27</c:v>
                </c:pt>
                <c:pt idx="937">
                  <c:v>6040706.27</c:v>
                </c:pt>
                <c:pt idx="938">
                  <c:v>5419706.27</c:v>
                </c:pt>
                <c:pt idx="939">
                  <c:v>6332306.27</c:v>
                </c:pt>
                <c:pt idx="940">
                  <c:v>6505106.27</c:v>
                </c:pt>
                <c:pt idx="941">
                  <c:v>6407906.27</c:v>
                </c:pt>
                <c:pt idx="942">
                  <c:v>6294506.27</c:v>
                </c:pt>
                <c:pt idx="943">
                  <c:v>6742706.27</c:v>
                </c:pt>
                <c:pt idx="944">
                  <c:v>6445706.27</c:v>
                </c:pt>
                <c:pt idx="945">
                  <c:v>5927306.27</c:v>
                </c:pt>
                <c:pt idx="946">
                  <c:v>5716706.27</c:v>
                </c:pt>
                <c:pt idx="947">
                  <c:v>5758591.19</c:v>
                </c:pt>
                <c:pt idx="948">
                  <c:v>5758591.19</c:v>
                </c:pt>
                <c:pt idx="949">
                  <c:v>5758591.19</c:v>
                </c:pt>
                <c:pt idx="950">
                  <c:v>5758591.19</c:v>
                </c:pt>
                <c:pt idx="951">
                  <c:v>5758591.19</c:v>
                </c:pt>
                <c:pt idx="952">
                  <c:v>5758591.19</c:v>
                </c:pt>
                <c:pt idx="953">
                  <c:v>5758591.19</c:v>
                </c:pt>
                <c:pt idx="954">
                  <c:v>5758591.19</c:v>
                </c:pt>
                <c:pt idx="955">
                  <c:v>5758591.19</c:v>
                </c:pt>
                <c:pt idx="956">
                  <c:v>5310629.59</c:v>
                </c:pt>
                <c:pt idx="957">
                  <c:v>6808469.59</c:v>
                </c:pt>
                <c:pt idx="958">
                  <c:v>6637829.59</c:v>
                </c:pt>
                <c:pt idx="959">
                  <c:v>6495629.59</c:v>
                </c:pt>
                <c:pt idx="960">
                  <c:v>6457709.59</c:v>
                </c:pt>
                <c:pt idx="961">
                  <c:v>6324989.59</c:v>
                </c:pt>
                <c:pt idx="962">
                  <c:v>6144869.59</c:v>
                </c:pt>
                <c:pt idx="963">
                  <c:v>6315509.59</c:v>
                </c:pt>
                <c:pt idx="964">
                  <c:v>5737229.59</c:v>
                </c:pt>
                <c:pt idx="965">
                  <c:v>6505109.59</c:v>
                </c:pt>
                <c:pt idx="966">
                  <c:v>6400829.59</c:v>
                </c:pt>
                <c:pt idx="967">
                  <c:v>6324989.59</c:v>
                </c:pt>
                <c:pt idx="968">
                  <c:v>6201749.59</c:v>
                </c:pt>
                <c:pt idx="969">
                  <c:v>5708789.59</c:v>
                </c:pt>
                <c:pt idx="970">
                  <c:v>6239669.59</c:v>
                </c:pt>
                <c:pt idx="971">
                  <c:v>6050069.59</c:v>
                </c:pt>
                <c:pt idx="972">
                  <c:v>5395949.59</c:v>
                </c:pt>
                <c:pt idx="973">
                  <c:v>5964749.59</c:v>
                </c:pt>
                <c:pt idx="974">
                  <c:v>5813069.59</c:v>
                </c:pt>
                <c:pt idx="975">
                  <c:v>4561709.59</c:v>
                </c:pt>
                <c:pt idx="976">
                  <c:v>4606822.7</c:v>
                </c:pt>
                <c:pt idx="977">
                  <c:v>4606822.7</c:v>
                </c:pt>
                <c:pt idx="978">
                  <c:v>4606822.7</c:v>
                </c:pt>
                <c:pt idx="979">
                  <c:v>4606822.7</c:v>
                </c:pt>
                <c:pt idx="980">
                  <c:v>4606822.7</c:v>
                </c:pt>
                <c:pt idx="981">
                  <c:v>4606822.7</c:v>
                </c:pt>
                <c:pt idx="982">
                  <c:v>4606822.7</c:v>
                </c:pt>
                <c:pt idx="983">
                  <c:v>4606822.7</c:v>
                </c:pt>
                <c:pt idx="984">
                  <c:v>4606822.7</c:v>
                </c:pt>
                <c:pt idx="985">
                  <c:v>4606822.7</c:v>
                </c:pt>
                <c:pt idx="986">
                  <c:v>4800746.46</c:v>
                </c:pt>
                <c:pt idx="987">
                  <c:v>5396426.46</c:v>
                </c:pt>
                <c:pt idx="988">
                  <c:v>5110826.46</c:v>
                </c:pt>
                <c:pt idx="989">
                  <c:v>5649386.46</c:v>
                </c:pt>
                <c:pt idx="990">
                  <c:v>6024746.46</c:v>
                </c:pt>
                <c:pt idx="991">
                  <c:v>5306666.46</c:v>
                </c:pt>
                <c:pt idx="992">
                  <c:v>5086346.46</c:v>
                </c:pt>
                <c:pt idx="993">
                  <c:v>5845226.46</c:v>
                </c:pt>
                <c:pt idx="994">
                  <c:v>5959466.46</c:v>
                </c:pt>
                <c:pt idx="995">
                  <c:v>6049226.46</c:v>
                </c:pt>
                <c:pt idx="996">
                  <c:v>5469866.46</c:v>
                </c:pt>
                <c:pt idx="997">
                  <c:v>5322986.46</c:v>
                </c:pt>
                <c:pt idx="998">
                  <c:v>5102666.46</c:v>
                </c:pt>
                <c:pt idx="999">
                  <c:v>5690186.46</c:v>
                </c:pt>
                <c:pt idx="1000">
                  <c:v>6595946.46</c:v>
                </c:pt>
                <c:pt idx="1001">
                  <c:v>7061066.46</c:v>
                </c:pt>
                <c:pt idx="1002">
                  <c:v>6734666.46</c:v>
                </c:pt>
                <c:pt idx="1003">
                  <c:v>6661226.46</c:v>
                </c:pt>
                <c:pt idx="1004">
                  <c:v>6342986.46</c:v>
                </c:pt>
                <c:pt idx="1005">
                  <c:v>7003946.46</c:v>
                </c:pt>
                <c:pt idx="1006">
                  <c:v>7183466.46</c:v>
                </c:pt>
                <c:pt idx="1007">
                  <c:v>7134506.46</c:v>
                </c:pt>
                <c:pt idx="1008">
                  <c:v>6979466.46</c:v>
                </c:pt>
                <c:pt idx="1009">
                  <c:v>6677546.46</c:v>
                </c:pt>
                <c:pt idx="1010">
                  <c:v>6979466.46</c:v>
                </c:pt>
                <c:pt idx="1011">
                  <c:v>6669386.46</c:v>
                </c:pt>
                <c:pt idx="1012">
                  <c:v>6677546.46</c:v>
                </c:pt>
                <c:pt idx="1013">
                  <c:v>6236906.46</c:v>
                </c:pt>
                <c:pt idx="1014">
                  <c:v>6840746.46</c:v>
                </c:pt>
                <c:pt idx="1015">
                  <c:v>6628586.46</c:v>
                </c:pt>
                <c:pt idx="1016">
                  <c:v>6922346.46</c:v>
                </c:pt>
                <c:pt idx="1017">
                  <c:v>8276906.46</c:v>
                </c:pt>
                <c:pt idx="1018">
                  <c:v>8260586.46</c:v>
                </c:pt>
                <c:pt idx="1019">
                  <c:v>8440106.46</c:v>
                </c:pt>
                <c:pt idx="1020">
                  <c:v>8146346.46</c:v>
                </c:pt>
                <c:pt idx="1021">
                  <c:v>7966826.46</c:v>
                </c:pt>
                <c:pt idx="1022">
                  <c:v>7934186.46</c:v>
                </c:pt>
                <c:pt idx="1023">
                  <c:v>7974986.46</c:v>
                </c:pt>
                <c:pt idx="1024">
                  <c:v>8260586.46</c:v>
                </c:pt>
                <c:pt idx="1025">
                  <c:v>8007626.46</c:v>
                </c:pt>
                <c:pt idx="1026">
                  <c:v>8211626.46</c:v>
                </c:pt>
                <c:pt idx="1027">
                  <c:v>7705706.46</c:v>
                </c:pt>
                <c:pt idx="1028">
                  <c:v>7983146.46</c:v>
                </c:pt>
                <c:pt idx="1029">
                  <c:v>8040266.46</c:v>
                </c:pt>
                <c:pt idx="1030">
                  <c:v>7485386.46</c:v>
                </c:pt>
                <c:pt idx="1031">
                  <c:v>7224266.46</c:v>
                </c:pt>
                <c:pt idx="1032">
                  <c:v>7336863.58</c:v>
                </c:pt>
                <c:pt idx="1033">
                  <c:v>7336863.58</c:v>
                </c:pt>
                <c:pt idx="1034">
                  <c:v>7336863.58</c:v>
                </c:pt>
                <c:pt idx="1035">
                  <c:v>7336863.58</c:v>
                </c:pt>
                <c:pt idx="1036">
                  <c:v>7336863.58</c:v>
                </c:pt>
                <c:pt idx="1037">
                  <c:v>7336863.58</c:v>
                </c:pt>
                <c:pt idx="1038">
                  <c:v>7336863.58</c:v>
                </c:pt>
                <c:pt idx="1039">
                  <c:v>7336863.58</c:v>
                </c:pt>
                <c:pt idx="1040">
                  <c:v>7336863.58</c:v>
                </c:pt>
                <c:pt idx="1041">
                  <c:v>7336863.58</c:v>
                </c:pt>
                <c:pt idx="1042">
                  <c:v>7336863.58</c:v>
                </c:pt>
                <c:pt idx="1043">
                  <c:v>7336863.58</c:v>
                </c:pt>
                <c:pt idx="1044">
                  <c:v>7336863.58</c:v>
                </c:pt>
                <c:pt idx="1045">
                  <c:v>7336863.58</c:v>
                </c:pt>
                <c:pt idx="1046">
                  <c:v>7336863.58</c:v>
                </c:pt>
                <c:pt idx="1047">
                  <c:v>7336863.58</c:v>
                </c:pt>
                <c:pt idx="1048">
                  <c:v>7336863.58</c:v>
                </c:pt>
                <c:pt idx="1049">
                  <c:v>7336863.58</c:v>
                </c:pt>
                <c:pt idx="1050">
                  <c:v>7336863.58</c:v>
                </c:pt>
                <c:pt idx="1051">
                  <c:v>7336863.58</c:v>
                </c:pt>
                <c:pt idx="1052">
                  <c:v>7336863.58</c:v>
                </c:pt>
                <c:pt idx="1053">
                  <c:v>7336863.58</c:v>
                </c:pt>
                <c:pt idx="1054">
                  <c:v>7336863.58</c:v>
                </c:pt>
                <c:pt idx="1055">
                  <c:v>7336863.58</c:v>
                </c:pt>
                <c:pt idx="1056">
                  <c:v>7336863.58</c:v>
                </c:pt>
                <c:pt idx="1057">
                  <c:v>7336863.58</c:v>
                </c:pt>
                <c:pt idx="1058">
                  <c:v>7999625.32</c:v>
                </c:pt>
                <c:pt idx="1059">
                  <c:v>7716035.32</c:v>
                </c:pt>
                <c:pt idx="1060">
                  <c:v>9306605.32</c:v>
                </c:pt>
                <c:pt idx="1061">
                  <c:v>8838065.32</c:v>
                </c:pt>
                <c:pt idx="1062">
                  <c:v>9577865.32</c:v>
                </c:pt>
                <c:pt idx="1063">
                  <c:v>8258555.32</c:v>
                </c:pt>
                <c:pt idx="1064">
                  <c:v>8098265.32</c:v>
                </c:pt>
                <c:pt idx="1065">
                  <c:v>7469435.32</c:v>
                </c:pt>
                <c:pt idx="1066">
                  <c:v>8196905.32</c:v>
                </c:pt>
                <c:pt idx="1067">
                  <c:v>9380585.32</c:v>
                </c:pt>
                <c:pt idx="1068">
                  <c:v>9368255.32</c:v>
                </c:pt>
                <c:pt idx="1069">
                  <c:v>9269615.32</c:v>
                </c:pt>
                <c:pt idx="1070">
                  <c:v>8677775.32</c:v>
                </c:pt>
                <c:pt idx="1071">
                  <c:v>9503885.32</c:v>
                </c:pt>
                <c:pt idx="1072">
                  <c:v>10095725.32</c:v>
                </c:pt>
                <c:pt idx="1073">
                  <c:v>12426095.32</c:v>
                </c:pt>
                <c:pt idx="1074">
                  <c:v>13079585.32</c:v>
                </c:pt>
                <c:pt idx="1075">
                  <c:v>12894635.32</c:v>
                </c:pt>
                <c:pt idx="1076">
                  <c:v>13215215.32</c:v>
                </c:pt>
                <c:pt idx="1077">
                  <c:v>12463085.32</c:v>
                </c:pt>
                <c:pt idx="1078">
                  <c:v>13067255.32</c:v>
                </c:pt>
                <c:pt idx="1079">
                  <c:v>13696085.32</c:v>
                </c:pt>
                <c:pt idx="1080">
                  <c:v>12882305.32</c:v>
                </c:pt>
                <c:pt idx="1081">
                  <c:v>11242415.32</c:v>
                </c:pt>
                <c:pt idx="1082">
                  <c:v>11032805.32</c:v>
                </c:pt>
                <c:pt idx="1083">
                  <c:v>11624645.32</c:v>
                </c:pt>
                <c:pt idx="1084">
                  <c:v>12216485.32</c:v>
                </c:pt>
                <c:pt idx="1085">
                  <c:v>11094455.32</c:v>
                </c:pt>
                <c:pt idx="1086">
                  <c:v>11784935.32</c:v>
                </c:pt>
                <c:pt idx="1087">
                  <c:v>11032805.32</c:v>
                </c:pt>
                <c:pt idx="1088">
                  <c:v>11119115.32</c:v>
                </c:pt>
                <c:pt idx="1089">
                  <c:v>10840833.1</c:v>
                </c:pt>
                <c:pt idx="1090">
                  <c:v>9810393.1</c:v>
                </c:pt>
                <c:pt idx="1091">
                  <c:v>8929533.1</c:v>
                </c:pt>
                <c:pt idx="1092">
                  <c:v>10142793.1</c:v>
                </c:pt>
                <c:pt idx="1093">
                  <c:v>10990413.1</c:v>
                </c:pt>
                <c:pt idx="1094">
                  <c:v>13799193.1</c:v>
                </c:pt>
                <c:pt idx="1095">
                  <c:v>14962593.1</c:v>
                </c:pt>
                <c:pt idx="1096">
                  <c:v>15162033.1</c:v>
                </c:pt>
                <c:pt idx="1097">
                  <c:v>13982013.1</c:v>
                </c:pt>
                <c:pt idx="1098">
                  <c:v>16973613.1</c:v>
                </c:pt>
                <c:pt idx="1099">
                  <c:v>17256153.1</c:v>
                </c:pt>
                <c:pt idx="1100">
                  <c:v>18452793.1</c:v>
                </c:pt>
                <c:pt idx="1101">
                  <c:v>18901533.1</c:v>
                </c:pt>
                <c:pt idx="1102">
                  <c:v>18519273.1</c:v>
                </c:pt>
                <c:pt idx="1103">
                  <c:v>20148033.1</c:v>
                </c:pt>
                <c:pt idx="1104">
                  <c:v>19832253.1</c:v>
                </c:pt>
                <c:pt idx="1105">
                  <c:v>21228333.1</c:v>
                </c:pt>
                <c:pt idx="1106">
                  <c:v>21677073.1</c:v>
                </c:pt>
                <c:pt idx="1107">
                  <c:v>21427773.1</c:v>
                </c:pt>
                <c:pt idx="1108">
                  <c:v>19533093.1</c:v>
                </c:pt>
                <c:pt idx="1109">
                  <c:v>17738133.1</c:v>
                </c:pt>
                <c:pt idx="1110">
                  <c:v>18436173.1</c:v>
                </c:pt>
                <c:pt idx="1111">
                  <c:v>18934773.1</c:v>
                </c:pt>
                <c:pt idx="1112">
                  <c:v>18851673.1</c:v>
                </c:pt>
                <c:pt idx="1113">
                  <c:v>20895933.1</c:v>
                </c:pt>
                <c:pt idx="1114">
                  <c:v>19017873.1</c:v>
                </c:pt>
                <c:pt idx="1115">
                  <c:v>19981833.1</c:v>
                </c:pt>
                <c:pt idx="1116">
                  <c:v>21045513.1</c:v>
                </c:pt>
                <c:pt idx="1117">
                  <c:v>20630013.1</c:v>
                </c:pt>
                <c:pt idx="1118">
                  <c:v>20613393.1</c:v>
                </c:pt>
                <c:pt idx="1119">
                  <c:v>20862693.1</c:v>
                </c:pt>
                <c:pt idx="1120">
                  <c:v>20962413.1</c:v>
                </c:pt>
                <c:pt idx="1121">
                  <c:v>21876513.1</c:v>
                </c:pt>
                <c:pt idx="1122">
                  <c:v>21394533.1</c:v>
                </c:pt>
                <c:pt idx="1123">
                  <c:v>19350273.1</c:v>
                </c:pt>
                <c:pt idx="1124">
                  <c:v>19666053.1</c:v>
                </c:pt>
                <c:pt idx="1125">
                  <c:v>18519273.1</c:v>
                </c:pt>
                <c:pt idx="1126">
                  <c:v>17904333.1</c:v>
                </c:pt>
                <c:pt idx="1127">
                  <c:v>18099836.93</c:v>
                </c:pt>
                <c:pt idx="1128">
                  <c:v>18099836.93</c:v>
                </c:pt>
                <c:pt idx="1129">
                  <c:v>18099836.93</c:v>
                </c:pt>
                <c:pt idx="1130">
                  <c:v>18099836.93</c:v>
                </c:pt>
                <c:pt idx="1131">
                  <c:v>18099836.93</c:v>
                </c:pt>
                <c:pt idx="1132">
                  <c:v>18099836.93</c:v>
                </c:pt>
                <c:pt idx="1133">
                  <c:v>18099836.93</c:v>
                </c:pt>
                <c:pt idx="1134">
                  <c:v>18099836.93</c:v>
                </c:pt>
                <c:pt idx="1135">
                  <c:v>18099836.93</c:v>
                </c:pt>
                <c:pt idx="1136">
                  <c:v>18099836.93</c:v>
                </c:pt>
                <c:pt idx="1137">
                  <c:v>22411118.68</c:v>
                </c:pt>
                <c:pt idx="1138">
                  <c:v>22166078.68</c:v>
                </c:pt>
                <c:pt idx="1139">
                  <c:v>24463328.68</c:v>
                </c:pt>
                <c:pt idx="1140">
                  <c:v>22901198.68</c:v>
                </c:pt>
                <c:pt idx="1141">
                  <c:v>24493958.68</c:v>
                </c:pt>
                <c:pt idx="1142">
                  <c:v>24310178.68</c:v>
                </c:pt>
                <c:pt idx="1143">
                  <c:v>26913728.68</c:v>
                </c:pt>
                <c:pt idx="1144">
                  <c:v>27863258.68</c:v>
                </c:pt>
                <c:pt idx="1145">
                  <c:v>26638058.68</c:v>
                </c:pt>
                <c:pt idx="1146">
                  <c:v>24922778.68</c:v>
                </c:pt>
                <c:pt idx="1147">
                  <c:v>25566008.68</c:v>
                </c:pt>
                <c:pt idx="1148">
                  <c:v>19256228.68</c:v>
                </c:pt>
                <c:pt idx="1149">
                  <c:v>20021978.68</c:v>
                </c:pt>
                <c:pt idx="1150">
                  <c:v>20940878.68</c:v>
                </c:pt>
                <c:pt idx="1151">
                  <c:v>21400328.68</c:v>
                </c:pt>
                <c:pt idx="1152">
                  <c:v>21430958.68</c:v>
                </c:pt>
                <c:pt idx="1153">
                  <c:v>18704888.68</c:v>
                </c:pt>
                <c:pt idx="1154">
                  <c:v>20603948.68</c:v>
                </c:pt>
                <c:pt idx="1155">
                  <c:v>21178061.06</c:v>
                </c:pt>
                <c:pt idx="1156">
                  <c:v>21178061.06</c:v>
                </c:pt>
                <c:pt idx="1157">
                  <c:v>21178061.06</c:v>
                </c:pt>
                <c:pt idx="1158">
                  <c:v>21178061.06</c:v>
                </c:pt>
                <c:pt idx="1159">
                  <c:v>21178061.06</c:v>
                </c:pt>
                <c:pt idx="1160">
                  <c:v>21178061.06</c:v>
                </c:pt>
                <c:pt idx="1161">
                  <c:v>21178061.06</c:v>
                </c:pt>
                <c:pt idx="1162">
                  <c:v>21178061.06</c:v>
                </c:pt>
                <c:pt idx="1163">
                  <c:v>20348432.9</c:v>
                </c:pt>
                <c:pt idx="1164">
                  <c:v>19561832.9</c:v>
                </c:pt>
                <c:pt idx="1165">
                  <c:v>17920232.9</c:v>
                </c:pt>
                <c:pt idx="1166">
                  <c:v>16962632.9</c:v>
                </c:pt>
                <c:pt idx="1167">
                  <c:v>15936632.9</c:v>
                </c:pt>
                <c:pt idx="1168">
                  <c:v>16415432.9</c:v>
                </c:pt>
                <c:pt idx="1169">
                  <c:v>14363432.9</c:v>
                </c:pt>
                <c:pt idx="1170">
                  <c:v>14773832.9</c:v>
                </c:pt>
                <c:pt idx="1171">
                  <c:v>16620632.9</c:v>
                </c:pt>
                <c:pt idx="1172">
                  <c:v>15252632.9</c:v>
                </c:pt>
                <c:pt idx="1173">
                  <c:v>17407232.9</c:v>
                </c:pt>
                <c:pt idx="1174">
                  <c:v>18638432.9</c:v>
                </c:pt>
                <c:pt idx="1175">
                  <c:v>21990032.9</c:v>
                </c:pt>
                <c:pt idx="1176">
                  <c:v>21579632.9</c:v>
                </c:pt>
                <c:pt idx="1177">
                  <c:v>22126832.9</c:v>
                </c:pt>
                <c:pt idx="1178">
                  <c:v>21306032.9</c:v>
                </c:pt>
                <c:pt idx="1179">
                  <c:v>22400432.9</c:v>
                </c:pt>
                <c:pt idx="1180">
                  <c:v>21545432.9</c:v>
                </c:pt>
                <c:pt idx="1181">
                  <c:v>21237632.9</c:v>
                </c:pt>
                <c:pt idx="1182">
                  <c:v>19185632.9</c:v>
                </c:pt>
                <c:pt idx="1183">
                  <c:v>20416832.9</c:v>
                </c:pt>
                <c:pt idx="1184">
                  <c:v>21374432.9</c:v>
                </c:pt>
                <c:pt idx="1185">
                  <c:v>20827232.9</c:v>
                </c:pt>
                <c:pt idx="1186">
                  <c:v>20929832.9</c:v>
                </c:pt>
                <c:pt idx="1187">
                  <c:v>21237632.9</c:v>
                </c:pt>
                <c:pt idx="1188">
                  <c:v>18399032.9</c:v>
                </c:pt>
                <c:pt idx="1189">
                  <c:v>15936632.9</c:v>
                </c:pt>
                <c:pt idx="1190">
                  <c:v>16654832.9</c:v>
                </c:pt>
                <c:pt idx="1191">
                  <c:v>16039232.9</c:v>
                </c:pt>
                <c:pt idx="1192">
                  <c:v>16278632.9</c:v>
                </c:pt>
                <c:pt idx="1193">
                  <c:v>16860032.9</c:v>
                </c:pt>
                <c:pt idx="1194">
                  <c:v>16347032.9</c:v>
                </c:pt>
                <c:pt idx="1195">
                  <c:v>16347032.9</c:v>
                </c:pt>
                <c:pt idx="1196">
                  <c:v>15731432.9</c:v>
                </c:pt>
                <c:pt idx="1197">
                  <c:v>15423632.9</c:v>
                </c:pt>
                <c:pt idx="1198">
                  <c:v>15414230.18</c:v>
                </c:pt>
                <c:pt idx="1199">
                  <c:v>15414230.18</c:v>
                </c:pt>
                <c:pt idx="1200">
                  <c:v>15414230.18</c:v>
                </c:pt>
                <c:pt idx="1201">
                  <c:v>15414230.18</c:v>
                </c:pt>
                <c:pt idx="1202">
                  <c:v>15414230.18</c:v>
                </c:pt>
                <c:pt idx="1203">
                  <c:v>15414230.18</c:v>
                </c:pt>
                <c:pt idx="1204">
                  <c:v>15414230.18</c:v>
                </c:pt>
                <c:pt idx="1205">
                  <c:v>15414230.18</c:v>
                </c:pt>
                <c:pt idx="1206">
                  <c:v>15414230.18</c:v>
                </c:pt>
                <c:pt idx="1207">
                  <c:v>15414230.18</c:v>
                </c:pt>
                <c:pt idx="1208">
                  <c:v>15414230.18</c:v>
                </c:pt>
                <c:pt idx="1209">
                  <c:v>15414230.18</c:v>
                </c:pt>
                <c:pt idx="1210">
                  <c:v>15414230.18</c:v>
                </c:pt>
                <c:pt idx="1211">
                  <c:v>15414230.18</c:v>
                </c:pt>
                <c:pt idx="1212">
                  <c:v>15414230.18</c:v>
                </c:pt>
                <c:pt idx="1213">
                  <c:v>15414230.18</c:v>
                </c:pt>
                <c:pt idx="1214">
                  <c:v>15414230.18</c:v>
                </c:pt>
                <c:pt idx="1215">
                  <c:v>15414230.18</c:v>
                </c:pt>
                <c:pt idx="1216">
                  <c:v>15414230.18</c:v>
                </c:pt>
                <c:pt idx="1217">
                  <c:v>15414230.18</c:v>
                </c:pt>
                <c:pt idx="1218">
                  <c:v>15414230.18</c:v>
                </c:pt>
                <c:pt idx="1219">
                  <c:v>14880402.93</c:v>
                </c:pt>
                <c:pt idx="1220">
                  <c:v>14616702.93</c:v>
                </c:pt>
                <c:pt idx="1221">
                  <c:v>15750612.93</c:v>
                </c:pt>
                <c:pt idx="1222">
                  <c:v>14537592.93</c:v>
                </c:pt>
                <c:pt idx="1223">
                  <c:v>13113612.93</c:v>
                </c:pt>
                <c:pt idx="1224">
                  <c:v>13588272.93</c:v>
                </c:pt>
                <c:pt idx="1225">
                  <c:v>13641012.93</c:v>
                </c:pt>
                <c:pt idx="1226">
                  <c:v>13430052.93</c:v>
                </c:pt>
                <c:pt idx="1227">
                  <c:v>14194782.93</c:v>
                </c:pt>
                <c:pt idx="1228">
                  <c:v>15012252.93</c:v>
                </c:pt>
                <c:pt idx="1229">
                  <c:v>16963632.93</c:v>
                </c:pt>
                <c:pt idx="1230">
                  <c:v>18361242.93</c:v>
                </c:pt>
                <c:pt idx="1231">
                  <c:v>18361242.93</c:v>
                </c:pt>
                <c:pt idx="1232">
                  <c:v>20075292.93</c:v>
                </c:pt>
                <c:pt idx="1233">
                  <c:v>19020492.93</c:v>
                </c:pt>
                <c:pt idx="1234">
                  <c:v>18123912.93</c:v>
                </c:pt>
                <c:pt idx="1235">
                  <c:v>17200962.93</c:v>
                </c:pt>
                <c:pt idx="1236">
                  <c:v>19679742.93</c:v>
                </c:pt>
                <c:pt idx="1237">
                  <c:v>17359182.93</c:v>
                </c:pt>
                <c:pt idx="1238">
                  <c:v>17200962.93</c:v>
                </c:pt>
                <c:pt idx="1239">
                  <c:v>18097542.93</c:v>
                </c:pt>
                <c:pt idx="1240">
                  <c:v>17965692.93</c:v>
                </c:pt>
                <c:pt idx="1241">
                  <c:v>18572202.93</c:v>
                </c:pt>
                <c:pt idx="1242">
                  <c:v>16119792.93</c:v>
                </c:pt>
                <c:pt idx="1243">
                  <c:v>16409862.93</c:v>
                </c:pt>
                <c:pt idx="1244">
                  <c:v>15434172.93</c:v>
                </c:pt>
                <c:pt idx="1245">
                  <c:v>13746492.93</c:v>
                </c:pt>
                <c:pt idx="1246">
                  <c:v>13766272.19</c:v>
                </c:pt>
                <c:pt idx="1247">
                  <c:v>13766272.19</c:v>
                </c:pt>
                <c:pt idx="1248">
                  <c:v>13766272.19</c:v>
                </c:pt>
                <c:pt idx="1249">
                  <c:v>13766272.19</c:v>
                </c:pt>
                <c:pt idx="1250">
                  <c:v>13766272.19</c:v>
                </c:pt>
                <c:pt idx="1251">
                  <c:v>13766272.19</c:v>
                </c:pt>
                <c:pt idx="1252">
                  <c:v>13766272.19</c:v>
                </c:pt>
                <c:pt idx="1253">
                  <c:v>13766272.19</c:v>
                </c:pt>
                <c:pt idx="1254">
                  <c:v>13766272.19</c:v>
                </c:pt>
                <c:pt idx="1255">
                  <c:v>13766272.19</c:v>
                </c:pt>
                <c:pt idx="1256">
                  <c:v>13766272.19</c:v>
                </c:pt>
                <c:pt idx="1257">
                  <c:v>13766272.19</c:v>
                </c:pt>
                <c:pt idx="1258">
                  <c:v>13766272.19</c:v>
                </c:pt>
                <c:pt idx="1259">
                  <c:v>13766272.19</c:v>
                </c:pt>
                <c:pt idx="1260">
                  <c:v>13766272.19</c:v>
                </c:pt>
                <c:pt idx="1261">
                  <c:v>13766272.19</c:v>
                </c:pt>
                <c:pt idx="1262">
                  <c:v>13766272.19</c:v>
                </c:pt>
                <c:pt idx="1263">
                  <c:v>13766272.19</c:v>
                </c:pt>
                <c:pt idx="1264">
                  <c:v>13766272.19</c:v>
                </c:pt>
                <c:pt idx="1265">
                  <c:v>13766272.19</c:v>
                </c:pt>
                <c:pt idx="1266">
                  <c:v>13766272.19</c:v>
                </c:pt>
                <c:pt idx="1267">
                  <c:v>13766272.19</c:v>
                </c:pt>
                <c:pt idx="1268">
                  <c:v>13766272.19</c:v>
                </c:pt>
                <c:pt idx="1269">
                  <c:v>13766272.19</c:v>
                </c:pt>
                <c:pt idx="1270">
                  <c:v>13766272.19</c:v>
                </c:pt>
                <c:pt idx="1271">
                  <c:v>13766272.19</c:v>
                </c:pt>
                <c:pt idx="1272">
                  <c:v>13766272.19</c:v>
                </c:pt>
                <c:pt idx="1273">
                  <c:v>13766272.19</c:v>
                </c:pt>
                <c:pt idx="1274">
                  <c:v>13766272.19</c:v>
                </c:pt>
                <c:pt idx="1275">
                  <c:v>13766272.19</c:v>
                </c:pt>
                <c:pt idx="1276">
                  <c:v>13766272.19</c:v>
                </c:pt>
                <c:pt idx="1277">
                  <c:v>13766272.19</c:v>
                </c:pt>
                <c:pt idx="1278">
                  <c:v>13766272.19</c:v>
                </c:pt>
                <c:pt idx="1279">
                  <c:v>13766272.19</c:v>
                </c:pt>
                <c:pt idx="1280">
                  <c:v>13766272.19</c:v>
                </c:pt>
                <c:pt idx="1281">
                  <c:v>13766272.19</c:v>
                </c:pt>
                <c:pt idx="1282">
                  <c:v>13766272.19</c:v>
                </c:pt>
                <c:pt idx="1283">
                  <c:v>13766272.19</c:v>
                </c:pt>
                <c:pt idx="1284">
                  <c:v>13766272.19</c:v>
                </c:pt>
                <c:pt idx="1285">
                  <c:v>13834332.19</c:v>
                </c:pt>
                <c:pt idx="1286">
                  <c:v>14301732.19</c:v>
                </c:pt>
                <c:pt idx="1287">
                  <c:v>14547732.19</c:v>
                </c:pt>
                <c:pt idx="1288">
                  <c:v>14498532.19</c:v>
                </c:pt>
                <c:pt idx="1289">
                  <c:v>14227932.19</c:v>
                </c:pt>
                <c:pt idx="1290">
                  <c:v>14916732.19</c:v>
                </c:pt>
                <c:pt idx="1291">
                  <c:v>14842932.19</c:v>
                </c:pt>
                <c:pt idx="1292">
                  <c:v>14424732.19</c:v>
                </c:pt>
                <c:pt idx="1293">
                  <c:v>15556332.19</c:v>
                </c:pt>
                <c:pt idx="1294">
                  <c:v>15162732.19</c:v>
                </c:pt>
                <c:pt idx="1295">
                  <c:v>14670732.19</c:v>
                </c:pt>
                <c:pt idx="1296">
                  <c:v>15088932.19</c:v>
                </c:pt>
                <c:pt idx="1297">
                  <c:v>14104932.19</c:v>
                </c:pt>
                <c:pt idx="1298">
                  <c:v>13760532.19</c:v>
                </c:pt>
                <c:pt idx="1299">
                  <c:v>13735932.19</c:v>
                </c:pt>
                <c:pt idx="1300">
                  <c:v>13194732.19</c:v>
                </c:pt>
                <c:pt idx="1301">
                  <c:v>12358332.19</c:v>
                </c:pt>
                <c:pt idx="1302">
                  <c:v>12604332.19</c:v>
                </c:pt>
                <c:pt idx="1303">
                  <c:v>12407532.19</c:v>
                </c:pt>
                <c:pt idx="1304">
                  <c:v>11964732.19</c:v>
                </c:pt>
                <c:pt idx="1305">
                  <c:v>11915532.19</c:v>
                </c:pt>
                <c:pt idx="1306">
                  <c:v>11712788.01</c:v>
                </c:pt>
                <c:pt idx="1307">
                  <c:v>11712788.01</c:v>
                </c:pt>
                <c:pt idx="1308">
                  <c:v>11712788.01</c:v>
                </c:pt>
                <c:pt idx="1309">
                  <c:v>11712788.01</c:v>
                </c:pt>
                <c:pt idx="1310">
                  <c:v>11335127.86</c:v>
                </c:pt>
                <c:pt idx="1311">
                  <c:v>12002207.86</c:v>
                </c:pt>
                <c:pt idx="1312">
                  <c:v>12198407.86</c:v>
                </c:pt>
                <c:pt idx="1313">
                  <c:v>11060447.86</c:v>
                </c:pt>
                <c:pt idx="1314">
                  <c:v>11825627.86</c:v>
                </c:pt>
                <c:pt idx="1315">
                  <c:v>11492087.86</c:v>
                </c:pt>
                <c:pt idx="1316">
                  <c:v>12394607.86</c:v>
                </c:pt>
                <c:pt idx="1317">
                  <c:v>12178787.86</c:v>
                </c:pt>
                <c:pt idx="1318">
                  <c:v>13316747.86</c:v>
                </c:pt>
                <c:pt idx="1319">
                  <c:v>14788247.86</c:v>
                </c:pt>
                <c:pt idx="1320">
                  <c:v>13473707.86</c:v>
                </c:pt>
                <c:pt idx="1321">
                  <c:v>15161027.86</c:v>
                </c:pt>
                <c:pt idx="1322">
                  <c:v>13748387.86</c:v>
                </c:pt>
                <c:pt idx="1323">
                  <c:v>13591427.86</c:v>
                </c:pt>
                <c:pt idx="1324">
                  <c:v>12551567.86</c:v>
                </c:pt>
                <c:pt idx="1325">
                  <c:v>12924347.86</c:v>
                </c:pt>
                <c:pt idx="1326">
                  <c:v>11864867.86</c:v>
                </c:pt>
                <c:pt idx="1327">
                  <c:v>12198407.86</c:v>
                </c:pt>
                <c:pt idx="1328">
                  <c:v>12041447.86</c:v>
                </c:pt>
                <c:pt idx="1329">
                  <c:v>11060447.86</c:v>
                </c:pt>
                <c:pt idx="1330">
                  <c:v>11217407.86</c:v>
                </c:pt>
                <c:pt idx="1331">
                  <c:v>11747147.86</c:v>
                </c:pt>
                <c:pt idx="1332">
                  <c:v>13297127.86</c:v>
                </c:pt>
                <c:pt idx="1333">
                  <c:v>12924347.86</c:v>
                </c:pt>
                <c:pt idx="1334">
                  <c:v>14670527.86</c:v>
                </c:pt>
                <c:pt idx="1335">
                  <c:v>13414847.86</c:v>
                </c:pt>
                <c:pt idx="1336">
                  <c:v>12688907.86</c:v>
                </c:pt>
                <c:pt idx="1337">
                  <c:v>13395227.86</c:v>
                </c:pt>
                <c:pt idx="1338">
                  <c:v>13748387.86</c:v>
                </c:pt>
                <c:pt idx="1339">
                  <c:v>13532567.86</c:v>
                </c:pt>
                <c:pt idx="1340">
                  <c:v>13748387.86</c:v>
                </c:pt>
                <c:pt idx="1341">
                  <c:v>14081927.86</c:v>
                </c:pt>
                <c:pt idx="1342">
                  <c:v>12963587.86</c:v>
                </c:pt>
                <c:pt idx="1343">
                  <c:v>13336367.86</c:v>
                </c:pt>
                <c:pt idx="1344">
                  <c:v>12983207.86</c:v>
                </c:pt>
                <c:pt idx="1345">
                  <c:v>13297127.86</c:v>
                </c:pt>
                <c:pt idx="1346">
                  <c:v>12571187.86</c:v>
                </c:pt>
                <c:pt idx="1347">
                  <c:v>12115006.51</c:v>
                </c:pt>
                <c:pt idx="1348">
                  <c:v>12115006.51</c:v>
                </c:pt>
                <c:pt idx="1349">
                  <c:v>12262359.53</c:v>
                </c:pt>
                <c:pt idx="1350">
                  <c:v>13443459.53</c:v>
                </c:pt>
                <c:pt idx="1351">
                  <c:v>13500609.53</c:v>
                </c:pt>
                <c:pt idx="1352">
                  <c:v>13843509.53</c:v>
                </c:pt>
                <c:pt idx="1353">
                  <c:v>12910059.53</c:v>
                </c:pt>
                <c:pt idx="1354">
                  <c:v>13576809.53</c:v>
                </c:pt>
                <c:pt idx="1355">
                  <c:v>14815059.53</c:v>
                </c:pt>
                <c:pt idx="1356">
                  <c:v>14205459.53</c:v>
                </c:pt>
                <c:pt idx="1357">
                  <c:v>13157709.53</c:v>
                </c:pt>
                <c:pt idx="1358">
                  <c:v>13367259.53</c:v>
                </c:pt>
                <c:pt idx="1359">
                  <c:v>14300709.53</c:v>
                </c:pt>
                <c:pt idx="1360">
                  <c:v>14567409.53</c:v>
                </c:pt>
                <c:pt idx="1361">
                  <c:v>15310359.53</c:v>
                </c:pt>
                <c:pt idx="1362">
                  <c:v>15043659.53</c:v>
                </c:pt>
                <c:pt idx="1363">
                  <c:v>14243559.53</c:v>
                </c:pt>
                <c:pt idx="1364">
                  <c:v>14472159.53</c:v>
                </c:pt>
                <c:pt idx="1365">
                  <c:v>14415009.53</c:v>
                </c:pt>
                <c:pt idx="1366">
                  <c:v>14091159.53</c:v>
                </c:pt>
                <c:pt idx="1367">
                  <c:v>13005309.53</c:v>
                </c:pt>
                <c:pt idx="1368">
                  <c:v>13957809.53</c:v>
                </c:pt>
                <c:pt idx="1369">
                  <c:v>13424409.53</c:v>
                </c:pt>
                <c:pt idx="1370">
                  <c:v>13081509.53</c:v>
                </c:pt>
                <c:pt idx="1371">
                  <c:v>12833859.53</c:v>
                </c:pt>
                <c:pt idx="1372">
                  <c:v>12167109.53</c:v>
                </c:pt>
                <c:pt idx="1373">
                  <c:v>12414759.53</c:v>
                </c:pt>
                <c:pt idx="1374">
                  <c:v>11500359.53</c:v>
                </c:pt>
                <c:pt idx="1375">
                  <c:v>12338559.53</c:v>
                </c:pt>
                <c:pt idx="1376">
                  <c:v>13252959.53</c:v>
                </c:pt>
                <c:pt idx="1377">
                  <c:v>13272009.53</c:v>
                </c:pt>
                <c:pt idx="1378">
                  <c:v>13214859.53</c:v>
                </c:pt>
                <c:pt idx="1379">
                  <c:v>12605259.53</c:v>
                </c:pt>
                <c:pt idx="1380">
                  <c:v>12967209.53</c:v>
                </c:pt>
                <c:pt idx="1381">
                  <c:v>13539849.16</c:v>
                </c:pt>
                <c:pt idx="1382">
                  <c:v>14319069.16</c:v>
                </c:pt>
                <c:pt idx="1383">
                  <c:v>16456929.16</c:v>
                </c:pt>
                <c:pt idx="1384">
                  <c:v>16596789.16</c:v>
                </c:pt>
                <c:pt idx="1385">
                  <c:v>15817569.16</c:v>
                </c:pt>
                <c:pt idx="1386">
                  <c:v>15517869.16</c:v>
                </c:pt>
                <c:pt idx="1387">
                  <c:v>15917469.16</c:v>
                </c:pt>
                <c:pt idx="1388">
                  <c:v>14179209.16</c:v>
                </c:pt>
                <c:pt idx="1389">
                  <c:v>13979409.16</c:v>
                </c:pt>
                <c:pt idx="1390">
                  <c:v>13419969.16</c:v>
                </c:pt>
                <c:pt idx="1391">
                  <c:v>13819569.16</c:v>
                </c:pt>
                <c:pt idx="1392">
                  <c:v>12880509.16</c:v>
                </c:pt>
                <c:pt idx="1393">
                  <c:v>13939449.16</c:v>
                </c:pt>
                <c:pt idx="1394">
                  <c:v>14478909.16</c:v>
                </c:pt>
                <c:pt idx="1395">
                  <c:v>14658729.16</c:v>
                </c:pt>
                <c:pt idx="1396">
                  <c:v>14458929.16</c:v>
                </c:pt>
                <c:pt idx="1397">
                  <c:v>14379009.16</c:v>
                </c:pt>
                <c:pt idx="1398">
                  <c:v>14738649.16</c:v>
                </c:pt>
                <c:pt idx="1399">
                  <c:v>15637749.16</c:v>
                </c:pt>
                <c:pt idx="1400">
                  <c:v>16536849.16</c:v>
                </c:pt>
                <c:pt idx="1401">
                  <c:v>16776609.16</c:v>
                </c:pt>
                <c:pt idx="1402">
                  <c:v>16816569.16</c:v>
                </c:pt>
                <c:pt idx="1403">
                  <c:v>16856529.16</c:v>
                </c:pt>
                <c:pt idx="1404">
                  <c:v>18135249.16</c:v>
                </c:pt>
                <c:pt idx="1405">
                  <c:v>17995389.16</c:v>
                </c:pt>
                <c:pt idx="1406">
                  <c:v>18155229.16</c:v>
                </c:pt>
                <c:pt idx="1407">
                  <c:v>18694689.16</c:v>
                </c:pt>
                <c:pt idx="1408">
                  <c:v>20073309.16</c:v>
                </c:pt>
                <c:pt idx="1409">
                  <c:v>18974409.16</c:v>
                </c:pt>
                <c:pt idx="1410">
                  <c:v>18554829.16</c:v>
                </c:pt>
                <c:pt idx="1411">
                  <c:v>18175209.16</c:v>
                </c:pt>
                <c:pt idx="1412">
                  <c:v>18614769.16</c:v>
                </c:pt>
                <c:pt idx="1413">
                  <c:v>18474909.16</c:v>
                </c:pt>
                <c:pt idx="1414">
                  <c:v>18335049.16</c:v>
                </c:pt>
                <c:pt idx="1415">
                  <c:v>16756629.16</c:v>
                </c:pt>
                <c:pt idx="1416">
                  <c:v>16317069.16</c:v>
                </c:pt>
                <c:pt idx="1417">
                  <c:v>16656729.16</c:v>
                </c:pt>
                <c:pt idx="1418">
                  <c:v>16856529.16</c:v>
                </c:pt>
                <c:pt idx="1419">
                  <c:v>16836549.16</c:v>
                </c:pt>
                <c:pt idx="1420">
                  <c:v>16616769.16</c:v>
                </c:pt>
                <c:pt idx="1421">
                  <c:v>17615769.16</c:v>
                </c:pt>
                <c:pt idx="1422">
                  <c:v>17555829.16</c:v>
                </c:pt>
                <c:pt idx="1423">
                  <c:v>16916469.16</c:v>
                </c:pt>
                <c:pt idx="1424">
                  <c:v>17535849.16</c:v>
                </c:pt>
                <c:pt idx="1425">
                  <c:v>17695689.16</c:v>
                </c:pt>
                <c:pt idx="1426">
                  <c:v>17276109.16</c:v>
                </c:pt>
                <c:pt idx="1427">
                  <c:v>17815569.16</c:v>
                </c:pt>
                <c:pt idx="1428">
                  <c:v>17995389.16</c:v>
                </c:pt>
                <c:pt idx="1429">
                  <c:v>15477909.16</c:v>
                </c:pt>
                <c:pt idx="1430">
                  <c:v>16291102.86</c:v>
                </c:pt>
                <c:pt idx="1431">
                  <c:v>15366472.86</c:v>
                </c:pt>
                <c:pt idx="1432">
                  <c:v>16541002.86</c:v>
                </c:pt>
                <c:pt idx="1433">
                  <c:v>15941242.86</c:v>
                </c:pt>
                <c:pt idx="1434">
                  <c:v>15666352.86</c:v>
                </c:pt>
                <c:pt idx="1435">
                  <c:v>15716332.86</c:v>
                </c:pt>
                <c:pt idx="1436">
                  <c:v>15041602.86</c:v>
                </c:pt>
                <c:pt idx="1437">
                  <c:v>14916652.86</c:v>
                </c:pt>
                <c:pt idx="1438">
                  <c:v>15466432.86</c:v>
                </c:pt>
                <c:pt idx="1439">
                  <c:v>16516012.86</c:v>
                </c:pt>
                <c:pt idx="1440">
                  <c:v>17090782.86</c:v>
                </c:pt>
                <c:pt idx="1441">
                  <c:v>16915852.86</c:v>
                </c:pt>
                <c:pt idx="1442">
                  <c:v>17090782.86</c:v>
                </c:pt>
                <c:pt idx="1443">
                  <c:v>17190742.86</c:v>
                </c:pt>
                <c:pt idx="1444">
                  <c:v>17265712.86</c:v>
                </c:pt>
                <c:pt idx="1445">
                  <c:v>18065392.86</c:v>
                </c:pt>
                <c:pt idx="1446">
                  <c:v>16565992.86</c:v>
                </c:pt>
                <c:pt idx="1447">
                  <c:v>16391062.86</c:v>
                </c:pt>
                <c:pt idx="1448">
                  <c:v>15916252.86</c:v>
                </c:pt>
                <c:pt idx="1449">
                  <c:v>16241122.86</c:v>
                </c:pt>
                <c:pt idx="1450">
                  <c:v>14516812.86</c:v>
                </c:pt>
                <c:pt idx="1451">
                  <c:v>13842082.86</c:v>
                </c:pt>
                <c:pt idx="1452">
                  <c:v>14066992.86</c:v>
                </c:pt>
                <c:pt idx="1453">
                  <c:v>14191942.86</c:v>
                </c:pt>
                <c:pt idx="1454">
                  <c:v>14241922.86</c:v>
                </c:pt>
                <c:pt idx="1455">
                  <c:v>14291902.86</c:v>
                </c:pt>
                <c:pt idx="1456">
                  <c:v>14042002.86</c:v>
                </c:pt>
                <c:pt idx="1457">
                  <c:v>13867072.86</c:v>
                </c:pt>
                <c:pt idx="1458">
                  <c:v>13717132.86</c:v>
                </c:pt>
                <c:pt idx="1459">
                  <c:v>13685899.52</c:v>
                </c:pt>
                <c:pt idx="1460">
                  <c:v>13685899.52</c:v>
                </c:pt>
                <c:pt idx="1461">
                  <c:v>13685899.52</c:v>
                </c:pt>
                <c:pt idx="1462">
                  <c:v>13685899.52</c:v>
                </c:pt>
                <c:pt idx="1463">
                  <c:v>13685899.52</c:v>
                </c:pt>
                <c:pt idx="1464">
                  <c:v>13685899.52</c:v>
                </c:pt>
                <c:pt idx="1465">
                  <c:v>13685899.52</c:v>
                </c:pt>
                <c:pt idx="1466">
                  <c:v>13685899.52</c:v>
                </c:pt>
                <c:pt idx="1467">
                  <c:v>13257826.79</c:v>
                </c:pt>
                <c:pt idx="1468">
                  <c:v>13769116.79</c:v>
                </c:pt>
                <c:pt idx="1469">
                  <c:v>13946956.79</c:v>
                </c:pt>
                <c:pt idx="1470">
                  <c:v>14880616.79</c:v>
                </c:pt>
                <c:pt idx="1471">
                  <c:v>14013646.79</c:v>
                </c:pt>
                <c:pt idx="1472">
                  <c:v>14147026.79</c:v>
                </c:pt>
                <c:pt idx="1473">
                  <c:v>13924726.79</c:v>
                </c:pt>
                <c:pt idx="1474">
                  <c:v>14147026.79</c:v>
                </c:pt>
                <c:pt idx="1475">
                  <c:v>14502706.79</c:v>
                </c:pt>
                <c:pt idx="1476">
                  <c:v>14391556.79</c:v>
                </c:pt>
                <c:pt idx="1477">
                  <c:v>14613856.79</c:v>
                </c:pt>
                <c:pt idx="1478">
                  <c:v>14613856.79</c:v>
                </c:pt>
                <c:pt idx="1479">
                  <c:v>15369676.79</c:v>
                </c:pt>
                <c:pt idx="1480">
                  <c:v>15258526.79</c:v>
                </c:pt>
                <c:pt idx="1481">
                  <c:v>15480826.79</c:v>
                </c:pt>
                <c:pt idx="1482">
                  <c:v>16147726.79</c:v>
                </c:pt>
                <c:pt idx="1483">
                  <c:v>15992116.79</c:v>
                </c:pt>
                <c:pt idx="1484">
                  <c:v>16214416.79</c:v>
                </c:pt>
                <c:pt idx="1485">
                  <c:v>16703476.79</c:v>
                </c:pt>
                <c:pt idx="1486">
                  <c:v>16770166.79</c:v>
                </c:pt>
                <c:pt idx="1487">
                  <c:v>17236996.79</c:v>
                </c:pt>
                <c:pt idx="1488">
                  <c:v>17703826.79</c:v>
                </c:pt>
                <c:pt idx="1489">
                  <c:v>17481526.79</c:v>
                </c:pt>
                <c:pt idx="1490">
                  <c:v>16992466.79</c:v>
                </c:pt>
                <c:pt idx="1491">
                  <c:v>17214766.79</c:v>
                </c:pt>
                <c:pt idx="1492">
                  <c:v>16725706.79</c:v>
                </c:pt>
                <c:pt idx="1493">
                  <c:v>16125496.79</c:v>
                </c:pt>
                <c:pt idx="1494">
                  <c:v>17592676.79</c:v>
                </c:pt>
                <c:pt idx="1495">
                  <c:v>17548216.79</c:v>
                </c:pt>
                <c:pt idx="1496">
                  <c:v>18481876.79</c:v>
                </c:pt>
                <c:pt idx="1497">
                  <c:v>18348496.79</c:v>
                </c:pt>
                <c:pt idx="1498">
                  <c:v>19059856.79</c:v>
                </c:pt>
                <c:pt idx="1499">
                  <c:v>18370726.79</c:v>
                </c:pt>
                <c:pt idx="1500">
                  <c:v>18548566.79</c:v>
                </c:pt>
                <c:pt idx="1501">
                  <c:v>19704526.79</c:v>
                </c:pt>
                <c:pt idx="1502">
                  <c:v>18370726.79</c:v>
                </c:pt>
                <c:pt idx="1503">
                  <c:v>18148426.79</c:v>
                </c:pt>
                <c:pt idx="1504">
                  <c:v>18526336.79</c:v>
                </c:pt>
                <c:pt idx="1505">
                  <c:v>18748636.79</c:v>
                </c:pt>
                <c:pt idx="1506">
                  <c:v>18281806.79</c:v>
                </c:pt>
                <c:pt idx="1507">
                  <c:v>17525986.79</c:v>
                </c:pt>
                <c:pt idx="1508">
                  <c:v>18037276.79</c:v>
                </c:pt>
                <c:pt idx="1509">
                  <c:v>17926126.79</c:v>
                </c:pt>
                <c:pt idx="1510">
                  <c:v>18370726.79</c:v>
                </c:pt>
                <c:pt idx="1511">
                  <c:v>19548916.79</c:v>
                </c:pt>
                <c:pt idx="1512">
                  <c:v>20527036.79</c:v>
                </c:pt>
                <c:pt idx="1513">
                  <c:v>18859786.79</c:v>
                </c:pt>
                <c:pt idx="1514">
                  <c:v>19104316.79</c:v>
                </c:pt>
                <c:pt idx="1515">
                  <c:v>18259576.79</c:v>
                </c:pt>
                <c:pt idx="1516">
                  <c:v>18126196.79</c:v>
                </c:pt>
                <c:pt idx="1517">
                  <c:v>18348496.79</c:v>
                </c:pt>
                <c:pt idx="1518">
                  <c:v>18320099.44</c:v>
                </c:pt>
                <c:pt idx="1519">
                  <c:v>18320099.44</c:v>
                </c:pt>
                <c:pt idx="1520">
                  <c:v>18320099.44</c:v>
                </c:pt>
                <c:pt idx="1521">
                  <c:v>18320099.44</c:v>
                </c:pt>
                <c:pt idx="1522">
                  <c:v>18320099.44</c:v>
                </c:pt>
                <c:pt idx="1523">
                  <c:v>18320099.44</c:v>
                </c:pt>
                <c:pt idx="1524">
                  <c:v>18320099.44</c:v>
                </c:pt>
                <c:pt idx="1525">
                  <c:v>18320099.44</c:v>
                </c:pt>
                <c:pt idx="1526">
                  <c:v>18320099.44</c:v>
                </c:pt>
                <c:pt idx="1527">
                  <c:v>18320099.44</c:v>
                </c:pt>
                <c:pt idx="1528">
                  <c:v>18320099.44</c:v>
                </c:pt>
                <c:pt idx="1529">
                  <c:v>18320099.44</c:v>
                </c:pt>
                <c:pt idx="1530">
                  <c:v>18618371.89</c:v>
                </c:pt>
                <c:pt idx="1531">
                  <c:v>18312461.89</c:v>
                </c:pt>
                <c:pt idx="1532">
                  <c:v>17811881.89</c:v>
                </c:pt>
                <c:pt idx="1533">
                  <c:v>18340271.89</c:v>
                </c:pt>
                <c:pt idx="1534">
                  <c:v>17227871.89</c:v>
                </c:pt>
                <c:pt idx="1535">
                  <c:v>17088821.89</c:v>
                </c:pt>
                <c:pt idx="1536">
                  <c:v>17005391.89</c:v>
                </c:pt>
                <c:pt idx="1537">
                  <c:v>15753941.89</c:v>
                </c:pt>
                <c:pt idx="1538">
                  <c:v>16059851.89</c:v>
                </c:pt>
                <c:pt idx="1539">
                  <c:v>15976421.89</c:v>
                </c:pt>
                <c:pt idx="1540">
                  <c:v>15865181.89</c:v>
                </c:pt>
                <c:pt idx="1541">
                  <c:v>17116631.89</c:v>
                </c:pt>
                <c:pt idx="1542">
                  <c:v>17227871.89</c:v>
                </c:pt>
                <c:pt idx="1543">
                  <c:v>16393571.89</c:v>
                </c:pt>
                <c:pt idx="1544">
                  <c:v>16393571.89</c:v>
                </c:pt>
                <c:pt idx="1545">
                  <c:v>16616051.89</c:v>
                </c:pt>
                <c:pt idx="1546">
                  <c:v>17200061.89</c:v>
                </c:pt>
                <c:pt idx="1547">
                  <c:v>17005391.89</c:v>
                </c:pt>
                <c:pt idx="1548">
                  <c:v>16921961.89</c:v>
                </c:pt>
                <c:pt idx="1549">
                  <c:v>17366921.89</c:v>
                </c:pt>
                <c:pt idx="1550">
                  <c:v>17283491.89</c:v>
                </c:pt>
                <c:pt idx="1551">
                  <c:v>17645021.89</c:v>
                </c:pt>
                <c:pt idx="1552">
                  <c:v>17422541.89</c:v>
                </c:pt>
                <c:pt idx="1553">
                  <c:v>18256841.89</c:v>
                </c:pt>
                <c:pt idx="1554">
                  <c:v>17784071.89</c:v>
                </c:pt>
                <c:pt idx="1555">
                  <c:v>17950931.89</c:v>
                </c:pt>
                <c:pt idx="1556">
                  <c:v>17895311.89</c:v>
                </c:pt>
                <c:pt idx="1557">
                  <c:v>18117791.89</c:v>
                </c:pt>
                <c:pt idx="1558">
                  <c:v>19230191.89</c:v>
                </c:pt>
                <c:pt idx="1559">
                  <c:v>19035521.89</c:v>
                </c:pt>
                <c:pt idx="1560">
                  <c:v>18701801.89</c:v>
                </c:pt>
                <c:pt idx="1561">
                  <c:v>18701801.89</c:v>
                </c:pt>
                <c:pt idx="1562">
                  <c:v>19007711.89</c:v>
                </c:pt>
                <c:pt idx="1563">
                  <c:v>20064491.89</c:v>
                </c:pt>
                <c:pt idx="1564">
                  <c:v>19730771.89</c:v>
                </c:pt>
                <c:pt idx="1565">
                  <c:v>20120111.89</c:v>
                </c:pt>
                <c:pt idx="1566">
                  <c:v>21705281.89</c:v>
                </c:pt>
                <c:pt idx="1567">
                  <c:v>21983381.89</c:v>
                </c:pt>
                <c:pt idx="1568">
                  <c:v>21733091.89</c:v>
                </c:pt>
                <c:pt idx="1569">
                  <c:v>22567391.89</c:v>
                </c:pt>
                <c:pt idx="1570">
                  <c:v>21899951.89</c:v>
                </c:pt>
                <c:pt idx="1571">
                  <c:v>21510611.89</c:v>
                </c:pt>
                <c:pt idx="1572">
                  <c:v>21872141.89</c:v>
                </c:pt>
                <c:pt idx="1573">
                  <c:v>21371561.89</c:v>
                </c:pt>
                <c:pt idx="1574">
                  <c:v>20954411.89</c:v>
                </c:pt>
                <c:pt idx="1575">
                  <c:v>21204701.89</c:v>
                </c:pt>
                <c:pt idx="1576">
                  <c:v>20120111.89</c:v>
                </c:pt>
                <c:pt idx="1577">
                  <c:v>20453831.89</c:v>
                </c:pt>
                <c:pt idx="1578">
                  <c:v>19730771.89</c:v>
                </c:pt>
                <c:pt idx="1579">
                  <c:v>19612025.04</c:v>
                </c:pt>
                <c:pt idx="1580">
                  <c:v>19612025.04</c:v>
                </c:pt>
                <c:pt idx="1581">
                  <c:v>19612025.04</c:v>
                </c:pt>
                <c:pt idx="1582">
                  <c:v>19612025.04</c:v>
                </c:pt>
                <c:pt idx="1583">
                  <c:v>19612025.04</c:v>
                </c:pt>
                <c:pt idx="1584">
                  <c:v>19612025.04</c:v>
                </c:pt>
                <c:pt idx="1585">
                  <c:v>19612025.04</c:v>
                </c:pt>
                <c:pt idx="1586">
                  <c:v>19612025.04</c:v>
                </c:pt>
                <c:pt idx="1587">
                  <c:v>19612025.04</c:v>
                </c:pt>
                <c:pt idx="1588">
                  <c:v>19612025.04</c:v>
                </c:pt>
                <c:pt idx="1589">
                  <c:v>19612025.04</c:v>
                </c:pt>
                <c:pt idx="1590">
                  <c:v>19612025.04</c:v>
                </c:pt>
                <c:pt idx="1591">
                  <c:v>19612025.04</c:v>
                </c:pt>
                <c:pt idx="1592">
                  <c:v>19612025.04</c:v>
                </c:pt>
                <c:pt idx="1593">
                  <c:v>19612025.04</c:v>
                </c:pt>
                <c:pt idx="1594">
                  <c:v>19612025.04</c:v>
                </c:pt>
                <c:pt idx="1595">
                  <c:v>19612025.04</c:v>
                </c:pt>
                <c:pt idx="1596">
                  <c:v>19612025.04</c:v>
                </c:pt>
                <c:pt idx="1597">
                  <c:v>19612025.04</c:v>
                </c:pt>
                <c:pt idx="1598">
                  <c:v>19612025.04</c:v>
                </c:pt>
                <c:pt idx="1599">
                  <c:v>19612025.04</c:v>
                </c:pt>
                <c:pt idx="1600">
                  <c:v>19612025.04</c:v>
                </c:pt>
                <c:pt idx="1601">
                  <c:v>19612025.04</c:v>
                </c:pt>
                <c:pt idx="1602">
                  <c:v>19612025.04</c:v>
                </c:pt>
                <c:pt idx="1603">
                  <c:v>19612025.04</c:v>
                </c:pt>
                <c:pt idx="1604">
                  <c:v>19612025.04</c:v>
                </c:pt>
                <c:pt idx="1605">
                  <c:v>19612025.04</c:v>
                </c:pt>
                <c:pt idx="1606">
                  <c:v>19612025.04</c:v>
                </c:pt>
                <c:pt idx="1607">
                  <c:v>19612025.04</c:v>
                </c:pt>
                <c:pt idx="1608">
                  <c:v>19612025.04</c:v>
                </c:pt>
                <c:pt idx="1609">
                  <c:v>19612025.04</c:v>
                </c:pt>
                <c:pt idx="1610">
                  <c:v>19612025.04</c:v>
                </c:pt>
                <c:pt idx="1611">
                  <c:v>19612025.04</c:v>
                </c:pt>
                <c:pt idx="1612">
                  <c:v>19612025.04</c:v>
                </c:pt>
                <c:pt idx="1613">
                  <c:v>19612025.04</c:v>
                </c:pt>
                <c:pt idx="1614">
                  <c:v>19612025.04</c:v>
                </c:pt>
                <c:pt idx="1615">
                  <c:v>19612025.04</c:v>
                </c:pt>
                <c:pt idx="1616">
                  <c:v>19612025.04</c:v>
                </c:pt>
                <c:pt idx="1617">
                  <c:v>19612025.04</c:v>
                </c:pt>
                <c:pt idx="1618">
                  <c:v>19612025.04</c:v>
                </c:pt>
                <c:pt idx="1619">
                  <c:v>19612025.04</c:v>
                </c:pt>
                <c:pt idx="1620">
                  <c:v>19612025.04</c:v>
                </c:pt>
                <c:pt idx="1621">
                  <c:v>19612025.04</c:v>
                </c:pt>
                <c:pt idx="1622">
                  <c:v>19999487.39</c:v>
                </c:pt>
                <c:pt idx="1623">
                  <c:v>19504937.39</c:v>
                </c:pt>
                <c:pt idx="1624">
                  <c:v>19043357.39</c:v>
                </c:pt>
                <c:pt idx="1625">
                  <c:v>19900577.39</c:v>
                </c:pt>
                <c:pt idx="1626">
                  <c:v>17988317.39</c:v>
                </c:pt>
                <c:pt idx="1627">
                  <c:v>17889407.39</c:v>
                </c:pt>
                <c:pt idx="1628">
                  <c:v>17197037.39</c:v>
                </c:pt>
                <c:pt idx="1629">
                  <c:v>17526737.39</c:v>
                </c:pt>
                <c:pt idx="1630">
                  <c:v>18153167.39</c:v>
                </c:pt>
                <c:pt idx="1631">
                  <c:v>18120197.39</c:v>
                </c:pt>
                <c:pt idx="1632">
                  <c:v>17493767.39</c:v>
                </c:pt>
                <c:pt idx="1633">
                  <c:v>17757527.39</c:v>
                </c:pt>
                <c:pt idx="1634">
                  <c:v>17889407.39</c:v>
                </c:pt>
                <c:pt idx="1635">
                  <c:v>18383957.39</c:v>
                </c:pt>
                <c:pt idx="1636">
                  <c:v>18186137.39</c:v>
                </c:pt>
                <c:pt idx="1637">
                  <c:v>17724557.39</c:v>
                </c:pt>
                <c:pt idx="1638">
                  <c:v>17328917.39</c:v>
                </c:pt>
                <c:pt idx="1639">
                  <c:v>17131097.39</c:v>
                </c:pt>
                <c:pt idx="1640">
                  <c:v>17658617.39</c:v>
                </c:pt>
                <c:pt idx="1641">
                  <c:v>17394857.39</c:v>
                </c:pt>
                <c:pt idx="1642">
                  <c:v>17427827.39</c:v>
                </c:pt>
                <c:pt idx="1643">
                  <c:v>17230007.39</c:v>
                </c:pt>
                <c:pt idx="1644">
                  <c:v>17032187.39</c:v>
                </c:pt>
                <c:pt idx="1645">
                  <c:v>16436753.15</c:v>
                </c:pt>
                <c:pt idx="1646">
                  <c:v>17647061.31</c:v>
                </c:pt>
                <c:pt idx="1647">
                  <c:v>17647061.31</c:v>
                </c:pt>
                <c:pt idx="1648">
                  <c:v>18197681.31</c:v>
                </c:pt>
                <c:pt idx="1649">
                  <c:v>17994821.31</c:v>
                </c:pt>
                <c:pt idx="1650">
                  <c:v>17676041.31</c:v>
                </c:pt>
                <c:pt idx="1651">
                  <c:v>17241341.31</c:v>
                </c:pt>
                <c:pt idx="1652">
                  <c:v>16603781.31</c:v>
                </c:pt>
                <c:pt idx="1653">
                  <c:v>16458881.31</c:v>
                </c:pt>
                <c:pt idx="1654">
                  <c:v>16545821.31</c:v>
                </c:pt>
                <c:pt idx="1655">
                  <c:v>15763361.31</c:v>
                </c:pt>
                <c:pt idx="1656">
                  <c:v>14737900.98</c:v>
                </c:pt>
                <c:pt idx="1657">
                  <c:v>14737900.98</c:v>
                </c:pt>
                <c:pt idx="1658">
                  <c:v>14737900.98</c:v>
                </c:pt>
                <c:pt idx="1659">
                  <c:v>14737900.98</c:v>
                </c:pt>
                <c:pt idx="1660">
                  <c:v>14737900.98</c:v>
                </c:pt>
                <c:pt idx="1661">
                  <c:v>14737900.98</c:v>
                </c:pt>
                <c:pt idx="1662">
                  <c:v>14737900.98</c:v>
                </c:pt>
                <c:pt idx="1663">
                  <c:v>14737900.98</c:v>
                </c:pt>
                <c:pt idx="1664">
                  <c:v>14737900.98</c:v>
                </c:pt>
                <c:pt idx="1665">
                  <c:v>14737900.98</c:v>
                </c:pt>
                <c:pt idx="1666">
                  <c:v>14737900.98</c:v>
                </c:pt>
                <c:pt idx="1667">
                  <c:v>14737900.98</c:v>
                </c:pt>
                <c:pt idx="1668">
                  <c:v>14737900.98</c:v>
                </c:pt>
                <c:pt idx="1669">
                  <c:v>14737900.98</c:v>
                </c:pt>
                <c:pt idx="1670">
                  <c:v>14737900.98</c:v>
                </c:pt>
                <c:pt idx="1671">
                  <c:v>14737900.98</c:v>
                </c:pt>
                <c:pt idx="1672">
                  <c:v>14856857.73</c:v>
                </c:pt>
                <c:pt idx="1673">
                  <c:v>14456537.73</c:v>
                </c:pt>
                <c:pt idx="1674">
                  <c:v>16383077.73</c:v>
                </c:pt>
                <c:pt idx="1675">
                  <c:v>17158697.73</c:v>
                </c:pt>
                <c:pt idx="1676">
                  <c:v>16683317.73</c:v>
                </c:pt>
                <c:pt idx="1677">
                  <c:v>16958537.73</c:v>
                </c:pt>
                <c:pt idx="1678">
                  <c:v>16758377.73</c:v>
                </c:pt>
                <c:pt idx="1679">
                  <c:v>16433117.73</c:v>
                </c:pt>
                <c:pt idx="1680">
                  <c:v>16833437.73</c:v>
                </c:pt>
                <c:pt idx="1681">
                  <c:v>17108657.73</c:v>
                </c:pt>
                <c:pt idx="1682">
                  <c:v>16383077.73</c:v>
                </c:pt>
                <c:pt idx="1683">
                  <c:v>17158697.73</c:v>
                </c:pt>
                <c:pt idx="1684">
                  <c:v>17033597.73</c:v>
                </c:pt>
                <c:pt idx="1685">
                  <c:v>16683317.73</c:v>
                </c:pt>
                <c:pt idx="1686">
                  <c:v>16433117.73</c:v>
                </c:pt>
                <c:pt idx="1687">
                  <c:v>15332237.73</c:v>
                </c:pt>
                <c:pt idx="1688">
                  <c:v>17058617.73</c:v>
                </c:pt>
                <c:pt idx="1689">
                  <c:v>16733357.73</c:v>
                </c:pt>
                <c:pt idx="1690">
                  <c:v>16833437.73</c:v>
                </c:pt>
                <c:pt idx="1691">
                  <c:v>16257977.73</c:v>
                </c:pt>
                <c:pt idx="1692">
                  <c:v>16057817.73</c:v>
                </c:pt>
                <c:pt idx="1693">
                  <c:v>15832637.73</c:v>
                </c:pt>
                <c:pt idx="1694">
                  <c:v>16132877.73</c:v>
                </c:pt>
                <c:pt idx="1695">
                  <c:v>16082837.73</c:v>
                </c:pt>
                <c:pt idx="1696">
                  <c:v>16733357.73</c:v>
                </c:pt>
                <c:pt idx="1697">
                  <c:v>17609057.73</c:v>
                </c:pt>
                <c:pt idx="1698">
                  <c:v>16858457.73</c:v>
                </c:pt>
                <c:pt idx="1699">
                  <c:v>17133677.73</c:v>
                </c:pt>
                <c:pt idx="1700">
                  <c:v>16608257.73</c:v>
                </c:pt>
                <c:pt idx="1701">
                  <c:v>16633277.73</c:v>
                </c:pt>
                <c:pt idx="1702">
                  <c:v>15332237.73</c:v>
                </c:pt>
                <c:pt idx="1703">
                  <c:v>14581637.73</c:v>
                </c:pt>
                <c:pt idx="1704">
                  <c:v>15982757.73</c:v>
                </c:pt>
                <c:pt idx="1705">
                  <c:v>15582437.73</c:v>
                </c:pt>
                <c:pt idx="1706">
                  <c:v>14831837.73</c:v>
                </c:pt>
                <c:pt idx="1707">
                  <c:v>14756777.73</c:v>
                </c:pt>
                <c:pt idx="1708">
                  <c:v>14600527</c:v>
                </c:pt>
                <c:pt idx="1709">
                  <c:v>14600527</c:v>
                </c:pt>
                <c:pt idx="1710">
                  <c:v>14600527</c:v>
                </c:pt>
                <c:pt idx="1711">
                  <c:v>14600527</c:v>
                </c:pt>
                <c:pt idx="1712">
                  <c:v>14600527</c:v>
                </c:pt>
                <c:pt idx="1713">
                  <c:v>14600527</c:v>
                </c:pt>
                <c:pt idx="1714">
                  <c:v>14600527</c:v>
                </c:pt>
                <c:pt idx="1715">
                  <c:v>14600527</c:v>
                </c:pt>
                <c:pt idx="1716">
                  <c:v>14600527</c:v>
                </c:pt>
                <c:pt idx="1717">
                  <c:v>14600527</c:v>
                </c:pt>
                <c:pt idx="1718">
                  <c:v>14600527</c:v>
                </c:pt>
                <c:pt idx="1719">
                  <c:v>14600527</c:v>
                </c:pt>
                <c:pt idx="1720">
                  <c:v>14600527</c:v>
                </c:pt>
                <c:pt idx="1721">
                  <c:v>14600527</c:v>
                </c:pt>
                <c:pt idx="1722">
                  <c:v>14600527</c:v>
                </c:pt>
                <c:pt idx="1723">
                  <c:v>14600527</c:v>
                </c:pt>
                <c:pt idx="1724">
                  <c:v>13967229.42</c:v>
                </c:pt>
                <c:pt idx="1725">
                  <c:v>14948949.42</c:v>
                </c:pt>
                <c:pt idx="1726">
                  <c:v>15412539.42</c:v>
                </c:pt>
                <c:pt idx="1727">
                  <c:v>16366989.42</c:v>
                </c:pt>
                <c:pt idx="1728">
                  <c:v>18603129.42</c:v>
                </c:pt>
                <c:pt idx="1729">
                  <c:v>18412239.42</c:v>
                </c:pt>
                <c:pt idx="1730">
                  <c:v>16912389.42</c:v>
                </c:pt>
                <c:pt idx="1731">
                  <c:v>16312449.42</c:v>
                </c:pt>
                <c:pt idx="1732">
                  <c:v>15903399.42</c:v>
                </c:pt>
                <c:pt idx="1733">
                  <c:v>15848859.42</c:v>
                </c:pt>
                <c:pt idx="1734">
                  <c:v>16339719.42</c:v>
                </c:pt>
                <c:pt idx="1735">
                  <c:v>14621709.42</c:v>
                </c:pt>
                <c:pt idx="1736">
                  <c:v>14703519.42</c:v>
                </c:pt>
                <c:pt idx="1737">
                  <c:v>13939959.42</c:v>
                </c:pt>
                <c:pt idx="1738">
                  <c:v>14151988.22</c:v>
                </c:pt>
                <c:pt idx="1739">
                  <c:v>14151988.22</c:v>
                </c:pt>
                <c:pt idx="1740">
                  <c:v>14151988.22</c:v>
                </c:pt>
                <c:pt idx="1741">
                  <c:v>14151988.22</c:v>
                </c:pt>
                <c:pt idx="1742">
                  <c:v>14151988.22</c:v>
                </c:pt>
                <c:pt idx="1743">
                  <c:v>14151988.22</c:v>
                </c:pt>
                <c:pt idx="1744">
                  <c:v>14151988.22</c:v>
                </c:pt>
                <c:pt idx="1745">
                  <c:v>14151988.22</c:v>
                </c:pt>
                <c:pt idx="1746">
                  <c:v>14151988.22</c:v>
                </c:pt>
                <c:pt idx="1747">
                  <c:v>14151988.22</c:v>
                </c:pt>
                <c:pt idx="1748">
                  <c:v>14151988.22</c:v>
                </c:pt>
                <c:pt idx="1749">
                  <c:v>14151988.22</c:v>
                </c:pt>
                <c:pt idx="1750">
                  <c:v>14151988.22</c:v>
                </c:pt>
                <c:pt idx="1751">
                  <c:v>14151988.22</c:v>
                </c:pt>
                <c:pt idx="1752">
                  <c:v>14151988.22</c:v>
                </c:pt>
                <c:pt idx="1753">
                  <c:v>14151988.22</c:v>
                </c:pt>
                <c:pt idx="1754">
                  <c:v>14151988.22</c:v>
                </c:pt>
                <c:pt idx="1755">
                  <c:v>14369918.23</c:v>
                </c:pt>
                <c:pt idx="1756">
                  <c:v>14046608.23</c:v>
                </c:pt>
                <c:pt idx="1757">
                  <c:v>14046608.23</c:v>
                </c:pt>
                <c:pt idx="1758">
                  <c:v>14146088.23</c:v>
                </c:pt>
                <c:pt idx="1759">
                  <c:v>12902588.23</c:v>
                </c:pt>
                <c:pt idx="1760">
                  <c:v>14046608.23</c:v>
                </c:pt>
                <c:pt idx="1761">
                  <c:v>13350248.23</c:v>
                </c:pt>
                <c:pt idx="1762">
                  <c:v>14295308.23</c:v>
                </c:pt>
                <c:pt idx="1763">
                  <c:v>14295308.23</c:v>
                </c:pt>
                <c:pt idx="1764">
                  <c:v>13623818.23</c:v>
                </c:pt>
                <c:pt idx="1765">
                  <c:v>14220698.23</c:v>
                </c:pt>
                <c:pt idx="1766">
                  <c:v>14245568.23</c:v>
                </c:pt>
                <c:pt idx="1767">
                  <c:v>13375118.23</c:v>
                </c:pt>
                <c:pt idx="1768">
                  <c:v>13773038.23</c:v>
                </c:pt>
                <c:pt idx="1769">
                  <c:v>13424858.23</c:v>
                </c:pt>
                <c:pt idx="1770">
                  <c:v>14419658.23</c:v>
                </c:pt>
                <c:pt idx="1771">
                  <c:v>14295308.23</c:v>
                </c:pt>
                <c:pt idx="1772">
                  <c:v>14245568.23</c:v>
                </c:pt>
                <c:pt idx="1773">
                  <c:v>14021738.23</c:v>
                </c:pt>
                <c:pt idx="1774">
                  <c:v>14544008.23</c:v>
                </c:pt>
                <c:pt idx="1775">
                  <c:v>15613418.23</c:v>
                </c:pt>
                <c:pt idx="1776">
                  <c:v>14593748.23</c:v>
                </c:pt>
                <c:pt idx="1777">
                  <c:v>15165758.23</c:v>
                </c:pt>
                <c:pt idx="1778">
                  <c:v>14618618.23</c:v>
                </c:pt>
                <c:pt idx="1779">
                  <c:v>14494268.23</c:v>
                </c:pt>
                <c:pt idx="1780">
                  <c:v>14817578.23</c:v>
                </c:pt>
                <c:pt idx="1781">
                  <c:v>15265238.23</c:v>
                </c:pt>
                <c:pt idx="1782">
                  <c:v>15116018.23</c:v>
                </c:pt>
                <c:pt idx="1783">
                  <c:v>16434128.23</c:v>
                </c:pt>
                <c:pt idx="1784">
                  <c:v>15886988.23</c:v>
                </c:pt>
                <c:pt idx="1785">
                  <c:v>16260038.23</c:v>
                </c:pt>
                <c:pt idx="1786">
                  <c:v>16633088.23</c:v>
                </c:pt>
                <c:pt idx="1787">
                  <c:v>15986468.23</c:v>
                </c:pt>
                <c:pt idx="1788">
                  <c:v>15538808.23</c:v>
                </c:pt>
                <c:pt idx="1789">
                  <c:v>15911858.23</c:v>
                </c:pt>
                <c:pt idx="1790">
                  <c:v>15265238.23</c:v>
                </c:pt>
                <c:pt idx="1791">
                  <c:v>15712898.23</c:v>
                </c:pt>
                <c:pt idx="1792">
                  <c:v>16210298.23</c:v>
                </c:pt>
                <c:pt idx="1793">
                  <c:v>15389588.23</c:v>
                </c:pt>
                <c:pt idx="1794">
                  <c:v>15563678.23</c:v>
                </c:pt>
                <c:pt idx="1795">
                  <c:v>15607371.5</c:v>
                </c:pt>
                <c:pt idx="1796">
                  <c:v>15607371.5</c:v>
                </c:pt>
                <c:pt idx="1797">
                  <c:v>15202166.49</c:v>
                </c:pt>
                <c:pt idx="1798">
                  <c:v>14484506.49</c:v>
                </c:pt>
                <c:pt idx="1799">
                  <c:v>14590826.49</c:v>
                </c:pt>
                <c:pt idx="1800">
                  <c:v>14006066.49</c:v>
                </c:pt>
                <c:pt idx="1801">
                  <c:v>14325026.49</c:v>
                </c:pt>
                <c:pt idx="1802">
                  <c:v>14457926.49</c:v>
                </c:pt>
                <c:pt idx="1803">
                  <c:v>15175586.49</c:v>
                </c:pt>
                <c:pt idx="1804">
                  <c:v>14192126.49</c:v>
                </c:pt>
                <c:pt idx="1805">
                  <c:v>14750306.49</c:v>
                </c:pt>
                <c:pt idx="1806">
                  <c:v>14643986.49</c:v>
                </c:pt>
                <c:pt idx="1807">
                  <c:v>15281906.49</c:v>
                </c:pt>
                <c:pt idx="1808">
                  <c:v>15388226.49</c:v>
                </c:pt>
                <c:pt idx="1809">
                  <c:v>15414806.49</c:v>
                </c:pt>
                <c:pt idx="1810">
                  <c:v>15707186.49</c:v>
                </c:pt>
                <c:pt idx="1811">
                  <c:v>16079306.49</c:v>
                </c:pt>
                <c:pt idx="1812">
                  <c:v>16478006.49</c:v>
                </c:pt>
                <c:pt idx="1813">
                  <c:v>17780426.49</c:v>
                </c:pt>
                <c:pt idx="1814">
                  <c:v>18365186.49</c:v>
                </c:pt>
                <c:pt idx="1815">
                  <c:v>18737306.49</c:v>
                </c:pt>
                <c:pt idx="1816">
                  <c:v>18630986.49</c:v>
                </c:pt>
                <c:pt idx="1817">
                  <c:v>18843626.49</c:v>
                </c:pt>
                <c:pt idx="1818">
                  <c:v>17674106.49</c:v>
                </c:pt>
                <c:pt idx="1819">
                  <c:v>17461466.49</c:v>
                </c:pt>
                <c:pt idx="1820">
                  <c:v>16823546.49</c:v>
                </c:pt>
                <c:pt idx="1821">
                  <c:v>17381726.49</c:v>
                </c:pt>
                <c:pt idx="1822">
                  <c:v>17700686.49</c:v>
                </c:pt>
                <c:pt idx="1823">
                  <c:v>17301986.49</c:v>
                </c:pt>
                <c:pt idx="1824">
                  <c:v>16850126.49</c:v>
                </c:pt>
                <c:pt idx="1825">
                  <c:v>17541206.49</c:v>
                </c:pt>
                <c:pt idx="1826">
                  <c:v>18444926.49</c:v>
                </c:pt>
                <c:pt idx="1827">
                  <c:v>17993066.49</c:v>
                </c:pt>
                <c:pt idx="1828">
                  <c:v>18125966.49</c:v>
                </c:pt>
                <c:pt idx="1829">
                  <c:v>18179126.49</c:v>
                </c:pt>
                <c:pt idx="1830">
                  <c:v>17408306.49</c:v>
                </c:pt>
                <c:pt idx="1831">
                  <c:v>16637486.49</c:v>
                </c:pt>
                <c:pt idx="1832">
                  <c:v>17700686.49</c:v>
                </c:pt>
                <c:pt idx="1833">
                  <c:v>18365186.49</c:v>
                </c:pt>
                <c:pt idx="1834">
                  <c:v>18072806.49</c:v>
                </c:pt>
                <c:pt idx="1835">
                  <c:v>20730806.49</c:v>
                </c:pt>
                <c:pt idx="1836">
                  <c:v>21900326.49</c:v>
                </c:pt>
                <c:pt idx="1837">
                  <c:v>22245866.49</c:v>
                </c:pt>
                <c:pt idx="1838">
                  <c:v>22219286.49</c:v>
                </c:pt>
                <c:pt idx="1839">
                  <c:v>21847166.49</c:v>
                </c:pt>
                <c:pt idx="1840">
                  <c:v>21448466.49</c:v>
                </c:pt>
                <c:pt idx="1841">
                  <c:v>20996606.49</c:v>
                </c:pt>
                <c:pt idx="1842">
                  <c:v>22086386.49</c:v>
                </c:pt>
                <c:pt idx="1843">
                  <c:v>22112966.49</c:v>
                </c:pt>
                <c:pt idx="1844">
                  <c:v>22485086.49</c:v>
                </c:pt>
                <c:pt idx="1845">
                  <c:v>21953486.49</c:v>
                </c:pt>
                <c:pt idx="1846">
                  <c:v>21847166.49</c:v>
                </c:pt>
                <c:pt idx="1847">
                  <c:v>22033226.49</c:v>
                </c:pt>
                <c:pt idx="1848">
                  <c:v>21634526.49</c:v>
                </c:pt>
                <c:pt idx="1849">
                  <c:v>22511666.49</c:v>
                </c:pt>
                <c:pt idx="1850">
                  <c:v>22405346.49</c:v>
                </c:pt>
                <c:pt idx="1851">
                  <c:v>22963526.49</c:v>
                </c:pt>
                <c:pt idx="1852">
                  <c:v>21368726.49</c:v>
                </c:pt>
                <c:pt idx="1853">
                  <c:v>20092886.49</c:v>
                </c:pt>
                <c:pt idx="1854">
                  <c:v>19933406.49</c:v>
                </c:pt>
                <c:pt idx="1855">
                  <c:v>19773926.49</c:v>
                </c:pt>
                <c:pt idx="1856">
                  <c:v>19926468.22</c:v>
                </c:pt>
                <c:pt idx="1857">
                  <c:v>19926468.22</c:v>
                </c:pt>
                <c:pt idx="1858">
                  <c:v>19926468.22</c:v>
                </c:pt>
                <c:pt idx="1859">
                  <c:v>19926468.22</c:v>
                </c:pt>
                <c:pt idx="1860">
                  <c:v>19926468.22</c:v>
                </c:pt>
                <c:pt idx="1861">
                  <c:v>19926468.22</c:v>
                </c:pt>
                <c:pt idx="1862">
                  <c:v>19926468.22</c:v>
                </c:pt>
                <c:pt idx="1863">
                  <c:v>19926468.22</c:v>
                </c:pt>
                <c:pt idx="1864">
                  <c:v>19926468.22</c:v>
                </c:pt>
                <c:pt idx="1865">
                  <c:v>19252249.15</c:v>
                </c:pt>
                <c:pt idx="1866">
                  <c:v>16747159.15</c:v>
                </c:pt>
                <c:pt idx="1867">
                  <c:v>15211770.31</c:v>
                </c:pt>
                <c:pt idx="1868">
                  <c:v>15837948.54</c:v>
                </c:pt>
                <c:pt idx="1869">
                  <c:v>15973488.54</c:v>
                </c:pt>
                <c:pt idx="1870">
                  <c:v>16109028.54</c:v>
                </c:pt>
                <c:pt idx="1871">
                  <c:v>15996078.54</c:v>
                </c:pt>
                <c:pt idx="1872">
                  <c:v>18142128.54</c:v>
                </c:pt>
                <c:pt idx="1873">
                  <c:v>20446308.54</c:v>
                </c:pt>
                <c:pt idx="1874">
                  <c:v>19746018.54</c:v>
                </c:pt>
                <c:pt idx="1875">
                  <c:v>19610478.54</c:v>
                </c:pt>
                <c:pt idx="1876">
                  <c:v>19881558.54</c:v>
                </c:pt>
                <c:pt idx="1877">
                  <c:v>19813788.54</c:v>
                </c:pt>
                <c:pt idx="1878">
                  <c:v>23699268.54</c:v>
                </c:pt>
                <c:pt idx="1879">
                  <c:v>23495958.54</c:v>
                </c:pt>
                <c:pt idx="1880">
                  <c:v>20852928.54</c:v>
                </c:pt>
                <c:pt idx="1881">
                  <c:v>19587888.54</c:v>
                </c:pt>
                <c:pt idx="1882">
                  <c:v>20152638.54</c:v>
                </c:pt>
                <c:pt idx="1883">
                  <c:v>21282138.54</c:v>
                </c:pt>
                <c:pt idx="1884">
                  <c:v>21733938.54</c:v>
                </c:pt>
                <c:pt idx="1885">
                  <c:v>23834808.54</c:v>
                </c:pt>
                <c:pt idx="1886">
                  <c:v>27087768.54</c:v>
                </c:pt>
                <c:pt idx="1887">
                  <c:v>24105888.54</c:v>
                </c:pt>
                <c:pt idx="1888">
                  <c:v>24557688.54</c:v>
                </c:pt>
                <c:pt idx="1889">
                  <c:v>24806178.54</c:v>
                </c:pt>
                <c:pt idx="1890">
                  <c:v>27607338.54</c:v>
                </c:pt>
                <c:pt idx="1891">
                  <c:v>28533528.54</c:v>
                </c:pt>
                <c:pt idx="1892">
                  <c:v>26184168.54</c:v>
                </c:pt>
                <c:pt idx="1893">
                  <c:v>25054668.54</c:v>
                </c:pt>
                <c:pt idx="1894">
                  <c:v>24738408.54</c:v>
                </c:pt>
                <c:pt idx="1895">
                  <c:v>27629928.54</c:v>
                </c:pt>
                <c:pt idx="1896">
                  <c:v>28556118.54</c:v>
                </c:pt>
                <c:pt idx="1897">
                  <c:v>28081728.54</c:v>
                </c:pt>
                <c:pt idx="1898">
                  <c:v>29414538.54</c:v>
                </c:pt>
                <c:pt idx="1899">
                  <c:v>31334688.54</c:v>
                </c:pt>
                <c:pt idx="1900">
                  <c:v>31831668.54</c:v>
                </c:pt>
                <c:pt idx="1901">
                  <c:v>29866338.54</c:v>
                </c:pt>
                <c:pt idx="1902">
                  <c:v>26251938.54</c:v>
                </c:pt>
                <c:pt idx="1903">
                  <c:v>27065178.54</c:v>
                </c:pt>
                <c:pt idx="1904">
                  <c:v>30001878.54</c:v>
                </c:pt>
                <c:pt idx="1905">
                  <c:v>29346768.54</c:v>
                </c:pt>
                <c:pt idx="1906">
                  <c:v>26658558.54</c:v>
                </c:pt>
                <c:pt idx="1907">
                  <c:v>25506468.54</c:v>
                </c:pt>
                <c:pt idx="1908">
                  <c:v>25453921.19</c:v>
                </c:pt>
                <c:pt idx="1909">
                  <c:v>25453921.19</c:v>
                </c:pt>
                <c:pt idx="1910">
                  <c:v>25453921.19</c:v>
                </c:pt>
                <c:pt idx="1911">
                  <c:v>25453921.19</c:v>
                </c:pt>
                <c:pt idx="1912">
                  <c:v>25453921.19</c:v>
                </c:pt>
                <c:pt idx="1913">
                  <c:v>25453921.19</c:v>
                </c:pt>
                <c:pt idx="1914">
                  <c:v>25453921.19</c:v>
                </c:pt>
                <c:pt idx="1915">
                  <c:v>25453921.19</c:v>
                </c:pt>
                <c:pt idx="1916">
                  <c:v>25453921.19</c:v>
                </c:pt>
                <c:pt idx="1917">
                  <c:v>25453921.19</c:v>
                </c:pt>
                <c:pt idx="1918">
                  <c:v>25453921.19</c:v>
                </c:pt>
                <c:pt idx="1919">
                  <c:v>25453921.19</c:v>
                </c:pt>
                <c:pt idx="1920">
                  <c:v>25453921.19</c:v>
                </c:pt>
                <c:pt idx="1921">
                  <c:v>25453921.19</c:v>
                </c:pt>
                <c:pt idx="1922">
                  <c:v>25453921.19</c:v>
                </c:pt>
                <c:pt idx="1923">
                  <c:v>25453921.19</c:v>
                </c:pt>
                <c:pt idx="1924">
                  <c:v>25453921.19</c:v>
                </c:pt>
                <c:pt idx="1925">
                  <c:v>25453921.19</c:v>
                </c:pt>
                <c:pt idx="1926">
                  <c:v>27854590.38</c:v>
                </c:pt>
                <c:pt idx="1927">
                  <c:v>26365270.38</c:v>
                </c:pt>
                <c:pt idx="1928">
                  <c:v>23351170.38</c:v>
                </c:pt>
                <c:pt idx="1929">
                  <c:v>27109930.38</c:v>
                </c:pt>
                <c:pt idx="1930">
                  <c:v>31932490.38</c:v>
                </c:pt>
                <c:pt idx="1931">
                  <c:v>25833370.38</c:v>
                </c:pt>
                <c:pt idx="1932">
                  <c:v>23563930.38</c:v>
                </c:pt>
                <c:pt idx="1933">
                  <c:v>25195090.38</c:v>
                </c:pt>
                <c:pt idx="1934">
                  <c:v>26613490.38</c:v>
                </c:pt>
                <c:pt idx="1935">
                  <c:v>24840490.38</c:v>
                </c:pt>
                <c:pt idx="1936">
                  <c:v>27819130.38</c:v>
                </c:pt>
                <c:pt idx="1937">
                  <c:v>24805030.38</c:v>
                </c:pt>
                <c:pt idx="1938">
                  <c:v>22854730.38</c:v>
                </c:pt>
                <c:pt idx="1939">
                  <c:v>25407850.38</c:v>
                </c:pt>
                <c:pt idx="1940">
                  <c:v>26613490.38</c:v>
                </c:pt>
                <c:pt idx="1941">
                  <c:v>22890190.38</c:v>
                </c:pt>
                <c:pt idx="1942">
                  <c:v>18599530.38</c:v>
                </c:pt>
                <c:pt idx="1943">
                  <c:v>19581214.47</c:v>
                </c:pt>
                <c:pt idx="1944">
                  <c:v>19581214.47</c:v>
                </c:pt>
                <c:pt idx="1945">
                  <c:v>19581214.47</c:v>
                </c:pt>
                <c:pt idx="1946">
                  <c:v>19581214.47</c:v>
                </c:pt>
                <c:pt idx="1947">
                  <c:v>19581214.47</c:v>
                </c:pt>
                <c:pt idx="1948">
                  <c:v>19581214.47</c:v>
                </c:pt>
                <c:pt idx="1949">
                  <c:v>19581214.47</c:v>
                </c:pt>
                <c:pt idx="1950">
                  <c:v>19581214.47</c:v>
                </c:pt>
                <c:pt idx="1951">
                  <c:v>19696206.19</c:v>
                </c:pt>
                <c:pt idx="1952">
                  <c:v>19843986.19</c:v>
                </c:pt>
                <c:pt idx="1953">
                  <c:v>17183946.19</c:v>
                </c:pt>
                <c:pt idx="1954">
                  <c:v>16715976.19</c:v>
                </c:pt>
                <c:pt idx="1955">
                  <c:v>17947476.19</c:v>
                </c:pt>
                <c:pt idx="1956">
                  <c:v>17159316.19</c:v>
                </c:pt>
                <c:pt idx="1957">
                  <c:v>15853926.19</c:v>
                </c:pt>
                <c:pt idx="1958">
                  <c:v>16174116.19</c:v>
                </c:pt>
                <c:pt idx="1959">
                  <c:v>17602656.19</c:v>
                </c:pt>
                <c:pt idx="1960">
                  <c:v>18095256.19</c:v>
                </c:pt>
                <c:pt idx="1961">
                  <c:v>18612486.19</c:v>
                </c:pt>
                <c:pt idx="1962">
                  <c:v>18784896.19</c:v>
                </c:pt>
                <c:pt idx="1963">
                  <c:v>22233096.19</c:v>
                </c:pt>
                <c:pt idx="1964">
                  <c:v>21839016.19</c:v>
                </c:pt>
                <c:pt idx="1965">
                  <c:v>22159206.19</c:v>
                </c:pt>
                <c:pt idx="1966">
                  <c:v>21321786.19</c:v>
                </c:pt>
                <c:pt idx="1967">
                  <c:v>23218296.19</c:v>
                </c:pt>
                <c:pt idx="1968">
                  <c:v>22971996.19</c:v>
                </c:pt>
                <c:pt idx="1969">
                  <c:v>24991656.19</c:v>
                </c:pt>
                <c:pt idx="1970">
                  <c:v>24769986.19</c:v>
                </c:pt>
                <c:pt idx="1971">
                  <c:v>23513856.19</c:v>
                </c:pt>
                <c:pt idx="1972">
                  <c:v>24129606.19</c:v>
                </c:pt>
                <c:pt idx="1973">
                  <c:v>24646836.19</c:v>
                </c:pt>
                <c:pt idx="1974">
                  <c:v>31518606.19</c:v>
                </c:pt>
                <c:pt idx="1975">
                  <c:v>32922516.19</c:v>
                </c:pt>
                <c:pt idx="1976">
                  <c:v>38809086.19</c:v>
                </c:pt>
                <c:pt idx="1977">
                  <c:v>37109616.19</c:v>
                </c:pt>
                <c:pt idx="1978">
                  <c:v>41345976.19</c:v>
                </c:pt>
                <c:pt idx="1979">
                  <c:v>35360886.19</c:v>
                </c:pt>
                <c:pt idx="1980">
                  <c:v>32282136.19</c:v>
                </c:pt>
                <c:pt idx="1981">
                  <c:v>34498836.19</c:v>
                </c:pt>
                <c:pt idx="1982">
                  <c:v>34498836.19</c:v>
                </c:pt>
                <c:pt idx="1983">
                  <c:v>32405286.19</c:v>
                </c:pt>
                <c:pt idx="1984">
                  <c:v>25410366.19</c:v>
                </c:pt>
                <c:pt idx="1985">
                  <c:v>21814386.19</c:v>
                </c:pt>
                <c:pt idx="1986">
                  <c:v>22569457.43</c:v>
                </c:pt>
                <c:pt idx="1987">
                  <c:v>22569457.43</c:v>
                </c:pt>
                <c:pt idx="1988">
                  <c:v>22569457.43</c:v>
                </c:pt>
                <c:pt idx="1989">
                  <c:v>22569457.43</c:v>
                </c:pt>
                <c:pt idx="1990">
                  <c:v>22569457.43</c:v>
                </c:pt>
                <c:pt idx="1991">
                  <c:v>22569457.43</c:v>
                </c:pt>
                <c:pt idx="1992">
                  <c:v>22569457.43</c:v>
                </c:pt>
                <c:pt idx="1993">
                  <c:v>22569457.43</c:v>
                </c:pt>
                <c:pt idx="1994">
                  <c:v>22569457.43</c:v>
                </c:pt>
                <c:pt idx="1995">
                  <c:v>22569457.43</c:v>
                </c:pt>
                <c:pt idx="1996">
                  <c:v>22569457.43</c:v>
                </c:pt>
                <c:pt idx="1997">
                  <c:v>22569457.43</c:v>
                </c:pt>
                <c:pt idx="1998">
                  <c:v>22569457.43</c:v>
                </c:pt>
                <c:pt idx="1999">
                  <c:v>22569457.43</c:v>
                </c:pt>
                <c:pt idx="2000">
                  <c:v>22569457.43</c:v>
                </c:pt>
                <c:pt idx="2001">
                  <c:v>22569457.43</c:v>
                </c:pt>
                <c:pt idx="2002">
                  <c:v>22569457.43</c:v>
                </c:pt>
                <c:pt idx="2003">
                  <c:v>22569457.43</c:v>
                </c:pt>
                <c:pt idx="2004">
                  <c:v>22569457.43</c:v>
                </c:pt>
                <c:pt idx="2005">
                  <c:v>22569457.43</c:v>
                </c:pt>
                <c:pt idx="2006">
                  <c:v>22569457.43</c:v>
                </c:pt>
                <c:pt idx="2007">
                  <c:v>22569457.43</c:v>
                </c:pt>
                <c:pt idx="2008">
                  <c:v>22569457.43</c:v>
                </c:pt>
                <c:pt idx="2009">
                  <c:v>22189496.02</c:v>
                </c:pt>
                <c:pt idx="2010">
                  <c:v>19178696.02</c:v>
                </c:pt>
                <c:pt idx="2011">
                  <c:v>17696456.02</c:v>
                </c:pt>
                <c:pt idx="2012">
                  <c:v>17626976.02</c:v>
                </c:pt>
                <c:pt idx="2013">
                  <c:v>16098416.02</c:v>
                </c:pt>
                <c:pt idx="2014">
                  <c:v>17001656.02</c:v>
                </c:pt>
                <c:pt idx="2015">
                  <c:v>18205976.02</c:v>
                </c:pt>
                <c:pt idx="2016">
                  <c:v>16862696.02</c:v>
                </c:pt>
                <c:pt idx="2017">
                  <c:v>16306856.02</c:v>
                </c:pt>
                <c:pt idx="2018">
                  <c:v>14004642.14</c:v>
                </c:pt>
                <c:pt idx="2019">
                  <c:v>14004642.14</c:v>
                </c:pt>
                <c:pt idx="2020">
                  <c:v>14004642.14</c:v>
                </c:pt>
                <c:pt idx="2021">
                  <c:v>14004642.14</c:v>
                </c:pt>
                <c:pt idx="2022">
                  <c:v>14004642.14</c:v>
                </c:pt>
                <c:pt idx="2023">
                  <c:v>14004642.14</c:v>
                </c:pt>
                <c:pt idx="2024">
                  <c:v>14004642.14</c:v>
                </c:pt>
                <c:pt idx="2025">
                  <c:v>14004642.14</c:v>
                </c:pt>
                <c:pt idx="2026">
                  <c:v>14004642.14</c:v>
                </c:pt>
                <c:pt idx="2027">
                  <c:v>14004642.14</c:v>
                </c:pt>
                <c:pt idx="2028">
                  <c:v>14004642.14</c:v>
                </c:pt>
                <c:pt idx="2029">
                  <c:v>14004642.14</c:v>
                </c:pt>
                <c:pt idx="2030">
                  <c:v>14004642.14</c:v>
                </c:pt>
                <c:pt idx="2031">
                  <c:v>14004642.14</c:v>
                </c:pt>
                <c:pt idx="2032">
                  <c:v>14004642.14</c:v>
                </c:pt>
                <c:pt idx="2033">
                  <c:v>14004642.14</c:v>
                </c:pt>
                <c:pt idx="2034">
                  <c:v>14004642.14</c:v>
                </c:pt>
                <c:pt idx="2035">
                  <c:v>14004642.14</c:v>
                </c:pt>
                <c:pt idx="2036">
                  <c:v>14004642.14</c:v>
                </c:pt>
                <c:pt idx="2037">
                  <c:v>14004642.14</c:v>
                </c:pt>
                <c:pt idx="2038">
                  <c:v>14004642.14</c:v>
                </c:pt>
                <c:pt idx="2039">
                  <c:v>14004642.14</c:v>
                </c:pt>
                <c:pt idx="2040">
                  <c:v>14334210.91</c:v>
                </c:pt>
                <c:pt idx="2041">
                  <c:v>14089110.91</c:v>
                </c:pt>
                <c:pt idx="2042">
                  <c:v>15043710.91</c:v>
                </c:pt>
                <c:pt idx="2043">
                  <c:v>14127810.91</c:v>
                </c:pt>
                <c:pt idx="2044">
                  <c:v>13792410.91</c:v>
                </c:pt>
                <c:pt idx="2045">
                  <c:v>14179410.91</c:v>
                </c:pt>
                <c:pt idx="2046">
                  <c:v>15817710.91</c:v>
                </c:pt>
                <c:pt idx="2047">
                  <c:v>15920910.91</c:v>
                </c:pt>
                <c:pt idx="2048">
                  <c:v>18926610.91</c:v>
                </c:pt>
                <c:pt idx="2049">
                  <c:v>19197510.91</c:v>
                </c:pt>
                <c:pt idx="2050">
                  <c:v>22925610.91</c:v>
                </c:pt>
                <c:pt idx="2051">
                  <c:v>21790410.91</c:v>
                </c:pt>
                <c:pt idx="2052">
                  <c:v>24628410.91</c:v>
                </c:pt>
                <c:pt idx="2053">
                  <c:v>23312610.91</c:v>
                </c:pt>
                <c:pt idx="2054">
                  <c:v>23067510.91</c:v>
                </c:pt>
                <c:pt idx="2055">
                  <c:v>21958110.91</c:v>
                </c:pt>
                <c:pt idx="2056">
                  <c:v>21300210.91</c:v>
                </c:pt>
                <c:pt idx="2057">
                  <c:v>22770810.91</c:v>
                </c:pt>
                <c:pt idx="2058">
                  <c:v>26756910.91</c:v>
                </c:pt>
                <c:pt idx="2059">
                  <c:v>25918410.91</c:v>
                </c:pt>
                <c:pt idx="2060">
                  <c:v>30394710.91</c:v>
                </c:pt>
                <c:pt idx="2061">
                  <c:v>33297210.91</c:v>
                </c:pt>
                <c:pt idx="2062">
                  <c:v>32329710.91</c:v>
                </c:pt>
                <c:pt idx="2063">
                  <c:v>37102710.91</c:v>
                </c:pt>
                <c:pt idx="2064">
                  <c:v>31117110.91</c:v>
                </c:pt>
                <c:pt idx="2065">
                  <c:v>28666110.91</c:v>
                </c:pt>
                <c:pt idx="2066">
                  <c:v>27272910.91</c:v>
                </c:pt>
                <c:pt idx="2067">
                  <c:v>28214610.91</c:v>
                </c:pt>
                <c:pt idx="2068">
                  <c:v>26550510.91</c:v>
                </c:pt>
                <c:pt idx="2069">
                  <c:v>26769810.91</c:v>
                </c:pt>
                <c:pt idx="2070">
                  <c:v>32058810.91</c:v>
                </c:pt>
                <c:pt idx="2071">
                  <c:v>33916410.91</c:v>
                </c:pt>
                <c:pt idx="2072">
                  <c:v>29272410.91</c:v>
                </c:pt>
                <c:pt idx="2073">
                  <c:v>30136710.91</c:v>
                </c:pt>
                <c:pt idx="2074">
                  <c:v>33052110.91</c:v>
                </c:pt>
                <c:pt idx="2075">
                  <c:v>33297210.91</c:v>
                </c:pt>
                <c:pt idx="2076">
                  <c:v>39669810.91</c:v>
                </c:pt>
                <c:pt idx="2077">
                  <c:v>36431910.91</c:v>
                </c:pt>
                <c:pt idx="2078">
                  <c:v>42314310.91</c:v>
                </c:pt>
                <c:pt idx="2079">
                  <c:v>43591410.91</c:v>
                </c:pt>
                <c:pt idx="2080">
                  <c:v>43668810.91</c:v>
                </c:pt>
                <c:pt idx="2081">
                  <c:v>43617210.91</c:v>
                </c:pt>
                <c:pt idx="2082">
                  <c:v>47177610.91</c:v>
                </c:pt>
                <c:pt idx="2083">
                  <c:v>52853610.91</c:v>
                </c:pt>
                <c:pt idx="2084">
                  <c:v>49757610.91</c:v>
                </c:pt>
                <c:pt idx="2085">
                  <c:v>42443310.91</c:v>
                </c:pt>
                <c:pt idx="2086">
                  <c:v>34174410.91</c:v>
                </c:pt>
                <c:pt idx="2087">
                  <c:v>35907887.97</c:v>
                </c:pt>
                <c:pt idx="2088">
                  <c:v>35907887.97</c:v>
                </c:pt>
                <c:pt idx="2089">
                  <c:v>35907887.97</c:v>
                </c:pt>
                <c:pt idx="2090">
                  <c:v>35907887.97</c:v>
                </c:pt>
                <c:pt idx="2091">
                  <c:v>35907887.97</c:v>
                </c:pt>
                <c:pt idx="2092">
                  <c:v>35907887.97</c:v>
                </c:pt>
                <c:pt idx="2093">
                  <c:v>35907887.97</c:v>
                </c:pt>
                <c:pt idx="2094">
                  <c:v>35907887.97</c:v>
                </c:pt>
                <c:pt idx="2095">
                  <c:v>35907887.97</c:v>
                </c:pt>
                <c:pt idx="2096">
                  <c:v>35907887.97</c:v>
                </c:pt>
                <c:pt idx="2097">
                  <c:v>35907887.97</c:v>
                </c:pt>
                <c:pt idx="2098">
                  <c:v>35907887.97</c:v>
                </c:pt>
                <c:pt idx="2099">
                  <c:v>35907887.97</c:v>
                </c:pt>
                <c:pt idx="2100">
                  <c:v>35907887.97</c:v>
                </c:pt>
                <c:pt idx="2101">
                  <c:v>35907887.97</c:v>
                </c:pt>
                <c:pt idx="2102">
                  <c:v>35907887.97</c:v>
                </c:pt>
                <c:pt idx="2103">
                  <c:v>35907887.97</c:v>
                </c:pt>
                <c:pt idx="2104">
                  <c:v>41326342.93</c:v>
                </c:pt>
                <c:pt idx="2105">
                  <c:v>40215862.93</c:v>
                </c:pt>
                <c:pt idx="2106">
                  <c:v>46442482.93</c:v>
                </c:pt>
                <c:pt idx="2107">
                  <c:v>44499142.93</c:v>
                </c:pt>
                <c:pt idx="2108">
                  <c:v>43071382.93</c:v>
                </c:pt>
                <c:pt idx="2109">
                  <c:v>38470822.93</c:v>
                </c:pt>
                <c:pt idx="2110">
                  <c:v>21972262.93</c:v>
                </c:pt>
                <c:pt idx="2111">
                  <c:v>21337702.93</c:v>
                </c:pt>
                <c:pt idx="2112">
                  <c:v>34742782.93</c:v>
                </c:pt>
                <c:pt idx="2113">
                  <c:v>31332022.93</c:v>
                </c:pt>
                <c:pt idx="2114">
                  <c:v>26215882.93</c:v>
                </c:pt>
                <c:pt idx="2115">
                  <c:v>23479342.93</c:v>
                </c:pt>
                <c:pt idx="2116">
                  <c:v>30340522.93</c:v>
                </c:pt>
                <c:pt idx="2117">
                  <c:v>24946762.93</c:v>
                </c:pt>
                <c:pt idx="2118">
                  <c:v>28833442.93</c:v>
                </c:pt>
                <c:pt idx="2119">
                  <c:v>23003422.93</c:v>
                </c:pt>
                <c:pt idx="2120">
                  <c:v>21496342.93</c:v>
                </c:pt>
                <c:pt idx="2121">
                  <c:v>22805122.93</c:v>
                </c:pt>
                <c:pt idx="2122">
                  <c:v>30499162.93</c:v>
                </c:pt>
                <c:pt idx="2123">
                  <c:v>23479342.93</c:v>
                </c:pt>
                <c:pt idx="2124">
                  <c:v>25819282.93</c:v>
                </c:pt>
                <c:pt idx="2125">
                  <c:v>24351862.93</c:v>
                </c:pt>
                <c:pt idx="2126">
                  <c:v>16935442.93</c:v>
                </c:pt>
                <c:pt idx="2127">
                  <c:v>14833462.93</c:v>
                </c:pt>
                <c:pt idx="2128">
                  <c:v>14538744.19</c:v>
                </c:pt>
                <c:pt idx="2129">
                  <c:v>14538744.19</c:v>
                </c:pt>
                <c:pt idx="2130">
                  <c:v>14538744.19</c:v>
                </c:pt>
                <c:pt idx="2131">
                  <c:v>14538744.19</c:v>
                </c:pt>
                <c:pt idx="2132">
                  <c:v>14538744.19</c:v>
                </c:pt>
                <c:pt idx="2133">
                  <c:v>14538744.19</c:v>
                </c:pt>
                <c:pt idx="2134">
                  <c:v>14538744.19</c:v>
                </c:pt>
                <c:pt idx="2135">
                  <c:v>14538744.19</c:v>
                </c:pt>
                <c:pt idx="2136">
                  <c:v>14538744.19</c:v>
                </c:pt>
                <c:pt idx="2137">
                  <c:v>14538744.19</c:v>
                </c:pt>
                <c:pt idx="2138">
                  <c:v>14538744.19</c:v>
                </c:pt>
                <c:pt idx="2139">
                  <c:v>14538744.19</c:v>
                </c:pt>
                <c:pt idx="2140">
                  <c:v>14538744.19</c:v>
                </c:pt>
                <c:pt idx="2141">
                  <c:v>14538744.19</c:v>
                </c:pt>
                <c:pt idx="2142">
                  <c:v>14538744.19</c:v>
                </c:pt>
                <c:pt idx="2143">
                  <c:v>14538744.19</c:v>
                </c:pt>
                <c:pt idx="2144">
                  <c:v>14538744.19</c:v>
                </c:pt>
                <c:pt idx="2145">
                  <c:v>13782752.51</c:v>
                </c:pt>
                <c:pt idx="2146">
                  <c:v>13459502.51</c:v>
                </c:pt>
                <c:pt idx="2147">
                  <c:v>10757132.51</c:v>
                </c:pt>
                <c:pt idx="2148">
                  <c:v>13692242.51</c:v>
                </c:pt>
                <c:pt idx="2149">
                  <c:v>12269942.51</c:v>
                </c:pt>
                <c:pt idx="2150">
                  <c:v>13679312.51</c:v>
                </c:pt>
                <c:pt idx="2151">
                  <c:v>10964012.51</c:v>
                </c:pt>
                <c:pt idx="2152">
                  <c:v>9929612.51</c:v>
                </c:pt>
                <c:pt idx="2153">
                  <c:v>11067452.51</c:v>
                </c:pt>
                <c:pt idx="2154">
                  <c:v>10886432.51</c:v>
                </c:pt>
                <c:pt idx="2155">
                  <c:v>12774212.51</c:v>
                </c:pt>
                <c:pt idx="2156">
                  <c:v>12851792.51</c:v>
                </c:pt>
                <c:pt idx="2157">
                  <c:v>13640522.51</c:v>
                </c:pt>
                <c:pt idx="2158">
                  <c:v>17739332.51</c:v>
                </c:pt>
                <c:pt idx="2159">
                  <c:v>13899122.51</c:v>
                </c:pt>
                <c:pt idx="2160">
                  <c:v>14442182.51</c:v>
                </c:pt>
                <c:pt idx="2161">
                  <c:v>14713712.51</c:v>
                </c:pt>
                <c:pt idx="2162">
                  <c:v>16614422.51</c:v>
                </c:pt>
                <c:pt idx="2163">
                  <c:v>16291172.51</c:v>
                </c:pt>
                <c:pt idx="2164">
                  <c:v>16911812.51</c:v>
                </c:pt>
                <c:pt idx="2165">
                  <c:v>16937672.51</c:v>
                </c:pt>
                <c:pt idx="2166">
                  <c:v>20002082.51</c:v>
                </c:pt>
                <c:pt idx="2167">
                  <c:v>22290692.51</c:v>
                </c:pt>
                <c:pt idx="2168">
                  <c:v>20907182.51</c:v>
                </c:pt>
                <c:pt idx="2169">
                  <c:v>23208722.51</c:v>
                </c:pt>
                <c:pt idx="2170">
                  <c:v>21967442.51</c:v>
                </c:pt>
                <c:pt idx="2171">
                  <c:v>18734942.51</c:v>
                </c:pt>
                <c:pt idx="2172">
                  <c:v>21385592.51</c:v>
                </c:pt>
                <c:pt idx="2173">
                  <c:v>24217262.51</c:v>
                </c:pt>
                <c:pt idx="2174">
                  <c:v>25587842.51</c:v>
                </c:pt>
                <c:pt idx="2175">
                  <c:v>28238492.51</c:v>
                </c:pt>
                <c:pt idx="2176">
                  <c:v>27824732.51</c:v>
                </c:pt>
                <c:pt idx="2177">
                  <c:v>34625912.51</c:v>
                </c:pt>
                <c:pt idx="2178">
                  <c:v>32557112.51</c:v>
                </c:pt>
                <c:pt idx="2179">
                  <c:v>33811322.51</c:v>
                </c:pt>
                <c:pt idx="2180">
                  <c:v>33113102.51</c:v>
                </c:pt>
                <c:pt idx="2181">
                  <c:v>31988192.51</c:v>
                </c:pt>
                <c:pt idx="2182">
                  <c:v>25820582.51</c:v>
                </c:pt>
                <c:pt idx="2183">
                  <c:v>25342172.51</c:v>
                </c:pt>
                <c:pt idx="2184">
                  <c:v>28846202.51</c:v>
                </c:pt>
                <c:pt idx="2185">
                  <c:v>28380722.51</c:v>
                </c:pt>
                <c:pt idx="2186">
                  <c:v>32350232.51</c:v>
                </c:pt>
                <c:pt idx="2187">
                  <c:v>31574432.51</c:v>
                </c:pt>
                <c:pt idx="2188">
                  <c:v>29272892.51</c:v>
                </c:pt>
                <c:pt idx="2189">
                  <c:v>29712512.51</c:v>
                </c:pt>
                <c:pt idx="2190">
                  <c:v>31070162.51</c:v>
                </c:pt>
                <c:pt idx="2191">
                  <c:v>33901832.51</c:v>
                </c:pt>
                <c:pt idx="2192">
                  <c:v>33940622.51</c:v>
                </c:pt>
                <c:pt idx="2193">
                  <c:v>35880122.51</c:v>
                </c:pt>
                <c:pt idx="2194">
                  <c:v>35156042.51</c:v>
                </c:pt>
                <c:pt idx="2195">
                  <c:v>35401712.51</c:v>
                </c:pt>
                <c:pt idx="2196">
                  <c:v>36655922.51</c:v>
                </c:pt>
                <c:pt idx="2197">
                  <c:v>36009422.51</c:v>
                </c:pt>
                <c:pt idx="2198">
                  <c:v>34561262.51</c:v>
                </c:pt>
                <c:pt idx="2199">
                  <c:v>34768142.51</c:v>
                </c:pt>
                <c:pt idx="2200">
                  <c:v>32182142.51</c:v>
                </c:pt>
                <c:pt idx="2201">
                  <c:v>35867192.51</c:v>
                </c:pt>
                <c:pt idx="2202">
                  <c:v>34819862.51</c:v>
                </c:pt>
                <c:pt idx="2203">
                  <c:v>36397322.51</c:v>
                </c:pt>
                <c:pt idx="2204">
                  <c:v>36720572.51</c:v>
                </c:pt>
                <c:pt idx="2205">
                  <c:v>35815472.51</c:v>
                </c:pt>
                <c:pt idx="2206">
                  <c:v>32492462.51</c:v>
                </c:pt>
                <c:pt idx="2207">
                  <c:v>34104769.63</c:v>
                </c:pt>
                <c:pt idx="2208">
                  <c:v>31880239.63</c:v>
                </c:pt>
                <c:pt idx="2209">
                  <c:v>34419349.63</c:v>
                </c:pt>
                <c:pt idx="2210">
                  <c:v>39924499.63</c:v>
                </c:pt>
                <c:pt idx="2211">
                  <c:v>38194309.63</c:v>
                </c:pt>
                <c:pt idx="2212">
                  <c:v>41452459.63</c:v>
                </c:pt>
                <c:pt idx="2213">
                  <c:v>41924329.63</c:v>
                </c:pt>
                <c:pt idx="2214">
                  <c:v>41407519.63</c:v>
                </c:pt>
                <c:pt idx="2215">
                  <c:v>44643199.63</c:v>
                </c:pt>
                <c:pt idx="2216">
                  <c:v>47047489.63</c:v>
                </c:pt>
                <c:pt idx="2217">
                  <c:v>50260699.63</c:v>
                </c:pt>
                <c:pt idx="2218">
                  <c:v>52035829.63</c:v>
                </c:pt>
                <c:pt idx="2219">
                  <c:v>50305639.63</c:v>
                </c:pt>
                <c:pt idx="2220">
                  <c:v>55586089.63</c:v>
                </c:pt>
                <c:pt idx="2221">
                  <c:v>54237889.63</c:v>
                </c:pt>
                <c:pt idx="2222">
                  <c:v>48777679.63</c:v>
                </c:pt>
                <c:pt idx="2223">
                  <c:v>48238399.63</c:v>
                </c:pt>
                <c:pt idx="2224">
                  <c:v>53900839.63</c:v>
                </c:pt>
                <c:pt idx="2225">
                  <c:v>52575109.63</c:v>
                </c:pt>
                <c:pt idx="2226">
                  <c:v>50170819.63</c:v>
                </c:pt>
                <c:pt idx="2227">
                  <c:v>54822109.63</c:v>
                </c:pt>
                <c:pt idx="2228">
                  <c:v>58776829.63</c:v>
                </c:pt>
                <c:pt idx="2229">
                  <c:v>58170139.63</c:v>
                </c:pt>
                <c:pt idx="2230">
                  <c:v>59068939.63</c:v>
                </c:pt>
                <c:pt idx="2231">
                  <c:v>55204099.63</c:v>
                </c:pt>
                <c:pt idx="2232">
                  <c:v>51361729.63</c:v>
                </c:pt>
                <c:pt idx="2233">
                  <c:v>49114729.63</c:v>
                </c:pt>
                <c:pt idx="2234">
                  <c:v>45272359.63</c:v>
                </c:pt>
                <c:pt idx="2235">
                  <c:v>45754263.99</c:v>
                </c:pt>
                <c:pt idx="2236">
                  <c:v>45754263.99</c:v>
                </c:pt>
                <c:pt idx="2237">
                  <c:v>45754263.99</c:v>
                </c:pt>
                <c:pt idx="2238">
                  <c:v>45754263.99</c:v>
                </c:pt>
                <c:pt idx="2239">
                  <c:v>45754263.99</c:v>
                </c:pt>
                <c:pt idx="2240">
                  <c:v>45754263.99</c:v>
                </c:pt>
                <c:pt idx="2241">
                  <c:v>45754263.99</c:v>
                </c:pt>
                <c:pt idx="2242">
                  <c:v>45754263.99</c:v>
                </c:pt>
                <c:pt idx="2243">
                  <c:v>45754263.99</c:v>
                </c:pt>
                <c:pt idx="2244">
                  <c:v>45754263.99</c:v>
                </c:pt>
                <c:pt idx="2245">
                  <c:v>45754263.99</c:v>
                </c:pt>
                <c:pt idx="2246">
                  <c:v>45754263.99</c:v>
                </c:pt>
                <c:pt idx="2247">
                  <c:v>45754263.99</c:v>
                </c:pt>
                <c:pt idx="2248">
                  <c:v>45754263.99</c:v>
                </c:pt>
                <c:pt idx="2249">
                  <c:v>45754263.99</c:v>
                </c:pt>
                <c:pt idx="2250">
                  <c:v>45754263.99</c:v>
                </c:pt>
                <c:pt idx="2251">
                  <c:v>45754263.99</c:v>
                </c:pt>
                <c:pt idx="2252">
                  <c:v>45754263.99</c:v>
                </c:pt>
                <c:pt idx="2253">
                  <c:v>45754263.99</c:v>
                </c:pt>
                <c:pt idx="2254">
                  <c:v>45754263.99</c:v>
                </c:pt>
                <c:pt idx="2255">
                  <c:v>45754263.99</c:v>
                </c:pt>
                <c:pt idx="2256">
                  <c:v>54311202.38</c:v>
                </c:pt>
                <c:pt idx="2257">
                  <c:v>49961052.38</c:v>
                </c:pt>
                <c:pt idx="2258">
                  <c:v>49008162.38</c:v>
                </c:pt>
                <c:pt idx="2259">
                  <c:v>49256742.38</c:v>
                </c:pt>
                <c:pt idx="2260">
                  <c:v>55512672.38</c:v>
                </c:pt>
                <c:pt idx="2261">
                  <c:v>56589852.38</c:v>
                </c:pt>
                <c:pt idx="2262">
                  <c:v>63881532.38</c:v>
                </c:pt>
                <c:pt idx="2263">
                  <c:v>63052932.38</c:v>
                </c:pt>
                <c:pt idx="2264">
                  <c:v>66077322.38</c:v>
                </c:pt>
                <c:pt idx="2265">
                  <c:v>76517682.38</c:v>
                </c:pt>
                <c:pt idx="2266">
                  <c:v>66367332.38</c:v>
                </c:pt>
                <c:pt idx="2267">
                  <c:v>76020522.38</c:v>
                </c:pt>
                <c:pt idx="2268">
                  <c:v>79832082.38</c:v>
                </c:pt>
                <c:pt idx="2269">
                  <c:v>84513672.38</c:v>
                </c:pt>
                <c:pt idx="2270">
                  <c:v>80329242.38</c:v>
                </c:pt>
                <c:pt idx="2271">
                  <c:v>78133452.38</c:v>
                </c:pt>
                <c:pt idx="2272">
                  <c:v>76849122.38</c:v>
                </c:pt>
                <c:pt idx="2273">
                  <c:v>76103382.38</c:v>
                </c:pt>
                <c:pt idx="2274">
                  <c:v>60608562.38</c:v>
                </c:pt>
                <c:pt idx="2275">
                  <c:v>63757242.38</c:v>
                </c:pt>
                <c:pt idx="2276">
                  <c:v>64378692.38</c:v>
                </c:pt>
                <c:pt idx="2277">
                  <c:v>56714142.38</c:v>
                </c:pt>
                <c:pt idx="2278">
                  <c:v>60981432.38</c:v>
                </c:pt>
                <c:pt idx="2279">
                  <c:v>68728842.38</c:v>
                </c:pt>
                <c:pt idx="2280">
                  <c:v>71380362.38</c:v>
                </c:pt>
                <c:pt idx="2281">
                  <c:v>64544412.38</c:v>
                </c:pt>
                <c:pt idx="2282">
                  <c:v>63715812.38</c:v>
                </c:pt>
                <c:pt idx="2283">
                  <c:v>68480262.38</c:v>
                </c:pt>
                <c:pt idx="2284">
                  <c:v>67361652.38</c:v>
                </c:pt>
                <c:pt idx="2285">
                  <c:v>63632952.38</c:v>
                </c:pt>
                <c:pt idx="2286">
                  <c:v>67237362.38</c:v>
                </c:pt>
                <c:pt idx="2287">
                  <c:v>64461552.38</c:v>
                </c:pt>
                <c:pt idx="2288">
                  <c:v>70468902.38</c:v>
                </c:pt>
                <c:pt idx="2289">
                  <c:v>71032382.14</c:v>
                </c:pt>
                <c:pt idx="2290">
                  <c:v>71032382.14</c:v>
                </c:pt>
                <c:pt idx="2291">
                  <c:v>71032382.14</c:v>
                </c:pt>
                <c:pt idx="2292">
                  <c:v>71032382.14</c:v>
                </c:pt>
                <c:pt idx="2293">
                  <c:v>71032382.14</c:v>
                </c:pt>
                <c:pt idx="2294">
                  <c:v>71032382.14</c:v>
                </c:pt>
                <c:pt idx="2295">
                  <c:v>71032382.14</c:v>
                </c:pt>
                <c:pt idx="2296">
                  <c:v>71032382.14</c:v>
                </c:pt>
                <c:pt idx="2297">
                  <c:v>71032382.14</c:v>
                </c:pt>
                <c:pt idx="2298">
                  <c:v>70523241.12</c:v>
                </c:pt>
                <c:pt idx="2299">
                  <c:v>78834921.12</c:v>
                </c:pt>
                <c:pt idx="2300">
                  <c:v>74279481.12</c:v>
                </c:pt>
                <c:pt idx="2301">
                  <c:v>71322441.12</c:v>
                </c:pt>
                <c:pt idx="2302">
                  <c:v>74039721.12</c:v>
                </c:pt>
                <c:pt idx="2303">
                  <c:v>79554201.12</c:v>
                </c:pt>
                <c:pt idx="2304">
                  <c:v>73320441.12</c:v>
                </c:pt>
                <c:pt idx="2305">
                  <c:v>67805961.12</c:v>
                </c:pt>
                <c:pt idx="2306">
                  <c:v>57736041.12</c:v>
                </c:pt>
                <c:pt idx="2307">
                  <c:v>60213561.12</c:v>
                </c:pt>
                <c:pt idx="2308">
                  <c:v>51582201.12</c:v>
                </c:pt>
                <c:pt idx="2309">
                  <c:v>51742041.12</c:v>
                </c:pt>
                <c:pt idx="2310">
                  <c:v>48065721.12</c:v>
                </c:pt>
                <c:pt idx="2311">
                  <c:v>42390319.26</c:v>
                </c:pt>
                <c:pt idx="2312">
                  <c:v>42390319.26</c:v>
                </c:pt>
                <c:pt idx="2313">
                  <c:v>42390319.26</c:v>
                </c:pt>
                <c:pt idx="2314">
                  <c:v>42390319.26</c:v>
                </c:pt>
                <c:pt idx="2315">
                  <c:v>42390319.26</c:v>
                </c:pt>
                <c:pt idx="2316">
                  <c:v>42390319.26</c:v>
                </c:pt>
                <c:pt idx="2317">
                  <c:v>42390319.26</c:v>
                </c:pt>
                <c:pt idx="2318">
                  <c:v>42390319.26</c:v>
                </c:pt>
                <c:pt idx="2319">
                  <c:v>42390319.26</c:v>
                </c:pt>
                <c:pt idx="2320">
                  <c:v>42390319.26</c:v>
                </c:pt>
                <c:pt idx="2321">
                  <c:v>42390319.26</c:v>
                </c:pt>
                <c:pt idx="2322">
                  <c:v>42390319.26</c:v>
                </c:pt>
                <c:pt idx="2323">
                  <c:v>42390319.26</c:v>
                </c:pt>
                <c:pt idx="2324">
                  <c:v>42390319.26</c:v>
                </c:pt>
                <c:pt idx="2325">
                  <c:v>42390319.26</c:v>
                </c:pt>
                <c:pt idx="2326">
                  <c:v>42390319.26</c:v>
                </c:pt>
                <c:pt idx="2327">
                  <c:v>42390319.26</c:v>
                </c:pt>
                <c:pt idx="2328">
                  <c:v>42390319.26</c:v>
                </c:pt>
                <c:pt idx="2329">
                  <c:v>42390319.26</c:v>
                </c:pt>
                <c:pt idx="2330">
                  <c:v>42390319.26</c:v>
                </c:pt>
                <c:pt idx="2331">
                  <c:v>42390319.26</c:v>
                </c:pt>
                <c:pt idx="2332">
                  <c:v>42390319.26</c:v>
                </c:pt>
                <c:pt idx="2333">
                  <c:v>42390319.26</c:v>
                </c:pt>
                <c:pt idx="2334">
                  <c:v>42390319.26</c:v>
                </c:pt>
                <c:pt idx="2335">
                  <c:v>42390319.26</c:v>
                </c:pt>
                <c:pt idx="2336">
                  <c:v>42390319.26</c:v>
                </c:pt>
                <c:pt idx="2337">
                  <c:v>42390319.26</c:v>
                </c:pt>
                <c:pt idx="2338">
                  <c:v>42390319.26</c:v>
                </c:pt>
                <c:pt idx="2339">
                  <c:v>42390319.26</c:v>
                </c:pt>
                <c:pt idx="2340">
                  <c:v>42390319.26</c:v>
                </c:pt>
                <c:pt idx="2341">
                  <c:v>42390319.26</c:v>
                </c:pt>
                <c:pt idx="2342">
                  <c:v>42390319.26</c:v>
                </c:pt>
                <c:pt idx="2343">
                  <c:v>42390319.26</c:v>
                </c:pt>
                <c:pt idx="2344">
                  <c:v>42390319.26</c:v>
                </c:pt>
                <c:pt idx="2345">
                  <c:v>42390319.26</c:v>
                </c:pt>
                <c:pt idx="2346">
                  <c:v>42390319.26</c:v>
                </c:pt>
                <c:pt idx="2347">
                  <c:v>42390319.26</c:v>
                </c:pt>
                <c:pt idx="2348">
                  <c:v>42390319.26</c:v>
                </c:pt>
                <c:pt idx="2349">
                  <c:v>42390319.26</c:v>
                </c:pt>
                <c:pt idx="2350">
                  <c:v>42390319.26</c:v>
                </c:pt>
                <c:pt idx="2351">
                  <c:v>42390319.26</c:v>
                </c:pt>
                <c:pt idx="2352">
                  <c:v>42390319.26</c:v>
                </c:pt>
                <c:pt idx="2353">
                  <c:v>42390319.26</c:v>
                </c:pt>
                <c:pt idx="2354">
                  <c:v>42390319.26</c:v>
                </c:pt>
                <c:pt idx="2355">
                  <c:v>42390319.26</c:v>
                </c:pt>
                <c:pt idx="2356">
                  <c:v>46157503.37</c:v>
                </c:pt>
                <c:pt idx="2357">
                  <c:v>44969233.37</c:v>
                </c:pt>
                <c:pt idx="2358">
                  <c:v>39203923.37</c:v>
                </c:pt>
                <c:pt idx="2359">
                  <c:v>40876303.37</c:v>
                </c:pt>
                <c:pt idx="2360">
                  <c:v>41888533.37</c:v>
                </c:pt>
                <c:pt idx="2361">
                  <c:v>36607333.37</c:v>
                </c:pt>
                <c:pt idx="2362">
                  <c:v>32074303.37</c:v>
                </c:pt>
                <c:pt idx="2363">
                  <c:v>35066983.37</c:v>
                </c:pt>
                <c:pt idx="2364">
                  <c:v>38895853.37</c:v>
                </c:pt>
                <c:pt idx="2365">
                  <c:v>43296853.37</c:v>
                </c:pt>
                <c:pt idx="2366">
                  <c:v>43340863.37</c:v>
                </c:pt>
                <c:pt idx="2367">
                  <c:v>46861663.37</c:v>
                </c:pt>
                <c:pt idx="2368">
                  <c:v>47917903.37</c:v>
                </c:pt>
                <c:pt idx="2369">
                  <c:v>44925223.37</c:v>
                </c:pt>
                <c:pt idx="2370">
                  <c:v>34978963.37</c:v>
                </c:pt>
                <c:pt idx="2371">
                  <c:v>33570643.37</c:v>
                </c:pt>
                <c:pt idx="2372">
                  <c:v>38807833.37</c:v>
                </c:pt>
                <c:pt idx="2373">
                  <c:v>32206333.37</c:v>
                </c:pt>
                <c:pt idx="2374">
                  <c:v>32470393.37</c:v>
                </c:pt>
                <c:pt idx="2375">
                  <c:v>36959413.37</c:v>
                </c:pt>
                <c:pt idx="2376">
                  <c:v>38763823.37</c:v>
                </c:pt>
                <c:pt idx="2377">
                  <c:v>34054753.37</c:v>
                </c:pt>
                <c:pt idx="2378">
                  <c:v>32074303.37</c:v>
                </c:pt>
                <c:pt idx="2379">
                  <c:v>29961823.37</c:v>
                </c:pt>
                <c:pt idx="2380">
                  <c:v>28488488.92</c:v>
                </c:pt>
                <c:pt idx="2381">
                  <c:v>28488488.92</c:v>
                </c:pt>
                <c:pt idx="2382">
                  <c:v>28488488.92</c:v>
                </c:pt>
                <c:pt idx="2383">
                  <c:v>28488488.92</c:v>
                </c:pt>
                <c:pt idx="2384">
                  <c:v>28488488.92</c:v>
                </c:pt>
                <c:pt idx="2385">
                  <c:v>28488488.92</c:v>
                </c:pt>
                <c:pt idx="2386">
                  <c:v>28488488.92</c:v>
                </c:pt>
                <c:pt idx="2387">
                  <c:v>28488488.92</c:v>
                </c:pt>
                <c:pt idx="2388">
                  <c:v>28488488.92</c:v>
                </c:pt>
                <c:pt idx="2389">
                  <c:v>28488488.92</c:v>
                </c:pt>
                <c:pt idx="2390">
                  <c:v>28488488.92</c:v>
                </c:pt>
                <c:pt idx="2391">
                  <c:v>28488488.92</c:v>
                </c:pt>
                <c:pt idx="2392">
                  <c:v>28488488.92</c:v>
                </c:pt>
                <c:pt idx="2393">
                  <c:v>28488488.92</c:v>
                </c:pt>
                <c:pt idx="2394">
                  <c:v>28488488.92</c:v>
                </c:pt>
                <c:pt idx="2395">
                  <c:v>28488488.92</c:v>
                </c:pt>
                <c:pt idx="2396">
                  <c:v>28488488.92</c:v>
                </c:pt>
                <c:pt idx="2397">
                  <c:v>28488488.92</c:v>
                </c:pt>
                <c:pt idx="2398">
                  <c:v>28488488.92</c:v>
                </c:pt>
                <c:pt idx="2399">
                  <c:v>28488488.92</c:v>
                </c:pt>
                <c:pt idx="2400">
                  <c:v>28488488.92</c:v>
                </c:pt>
                <c:pt idx="2401">
                  <c:v>28488488.92</c:v>
                </c:pt>
                <c:pt idx="2402">
                  <c:v>28488488.92</c:v>
                </c:pt>
                <c:pt idx="2403">
                  <c:v>28488488.92</c:v>
                </c:pt>
                <c:pt idx="2404">
                  <c:v>28488488.92</c:v>
                </c:pt>
                <c:pt idx="2405">
                  <c:v>28488488.92</c:v>
                </c:pt>
                <c:pt idx="2406">
                  <c:v>28488488.92</c:v>
                </c:pt>
                <c:pt idx="2407">
                  <c:v>28488488.92</c:v>
                </c:pt>
                <c:pt idx="2408">
                  <c:v>28488488.92</c:v>
                </c:pt>
                <c:pt idx="2409">
                  <c:v>28488488.92</c:v>
                </c:pt>
                <c:pt idx="2410">
                  <c:v>28488488.92</c:v>
                </c:pt>
                <c:pt idx="2411">
                  <c:v>28488488.92</c:v>
                </c:pt>
                <c:pt idx="2412">
                  <c:v>28488488.92</c:v>
                </c:pt>
                <c:pt idx="2413">
                  <c:v>28488488.92</c:v>
                </c:pt>
                <c:pt idx="2414">
                  <c:v>28488488.92</c:v>
                </c:pt>
                <c:pt idx="2415">
                  <c:v>28488488.92</c:v>
                </c:pt>
                <c:pt idx="2416">
                  <c:v>28488488.92</c:v>
                </c:pt>
                <c:pt idx="2417">
                  <c:v>28488488.92</c:v>
                </c:pt>
                <c:pt idx="2418">
                  <c:v>28488488.92</c:v>
                </c:pt>
                <c:pt idx="2419">
                  <c:v>28488488.92</c:v>
                </c:pt>
                <c:pt idx="2420">
                  <c:v>28488488.92</c:v>
                </c:pt>
                <c:pt idx="2421">
                  <c:v>28488488.92</c:v>
                </c:pt>
                <c:pt idx="2422">
                  <c:v>28488488.92</c:v>
                </c:pt>
                <c:pt idx="2423">
                  <c:v>28488488.92</c:v>
                </c:pt>
                <c:pt idx="2424">
                  <c:v>28488488.92</c:v>
                </c:pt>
                <c:pt idx="2425">
                  <c:v>28488488.92</c:v>
                </c:pt>
                <c:pt idx="2426">
                  <c:v>28488488.92</c:v>
                </c:pt>
                <c:pt idx="2427">
                  <c:v>28488488.92</c:v>
                </c:pt>
                <c:pt idx="2428">
                  <c:v>28488488.92</c:v>
                </c:pt>
                <c:pt idx="2429">
                  <c:v>28488488.92</c:v>
                </c:pt>
                <c:pt idx="2430">
                  <c:v>28488488.92</c:v>
                </c:pt>
                <c:pt idx="2431">
                  <c:v>28488488.92</c:v>
                </c:pt>
                <c:pt idx="2432">
                  <c:v>28488488.92</c:v>
                </c:pt>
                <c:pt idx="2433">
                  <c:v>28488488.92</c:v>
                </c:pt>
                <c:pt idx="2434">
                  <c:v>28488488.92</c:v>
                </c:pt>
                <c:pt idx="2435">
                  <c:v>28488488.92</c:v>
                </c:pt>
                <c:pt idx="2436">
                  <c:v>28079531.81</c:v>
                </c:pt>
                <c:pt idx="2437">
                  <c:v>27715541.81</c:v>
                </c:pt>
                <c:pt idx="2438">
                  <c:v>26259581.81</c:v>
                </c:pt>
                <c:pt idx="2439">
                  <c:v>31421621.81</c:v>
                </c:pt>
                <c:pt idx="2440">
                  <c:v>33241571.81</c:v>
                </c:pt>
                <c:pt idx="2441">
                  <c:v>34664441.81</c:v>
                </c:pt>
                <c:pt idx="2442">
                  <c:v>34234271.81</c:v>
                </c:pt>
                <c:pt idx="2443">
                  <c:v>39131591.81</c:v>
                </c:pt>
                <c:pt idx="2444">
                  <c:v>38039621.81</c:v>
                </c:pt>
                <c:pt idx="2445">
                  <c:v>39098501.81</c:v>
                </c:pt>
                <c:pt idx="2446">
                  <c:v>40620641.81</c:v>
                </c:pt>
                <c:pt idx="2447">
                  <c:v>41150081.81</c:v>
                </c:pt>
                <c:pt idx="2448">
                  <c:v>40719911.81</c:v>
                </c:pt>
                <c:pt idx="2449">
                  <c:v>39958841.81</c:v>
                </c:pt>
                <c:pt idx="2450">
                  <c:v>41050811.81</c:v>
                </c:pt>
                <c:pt idx="2451">
                  <c:v>45253241.81</c:v>
                </c:pt>
                <c:pt idx="2452">
                  <c:v>48462971.81</c:v>
                </c:pt>
                <c:pt idx="2453">
                  <c:v>48462971.81</c:v>
                </c:pt>
                <c:pt idx="2454">
                  <c:v>49654211.81</c:v>
                </c:pt>
                <c:pt idx="2455">
                  <c:v>51805061.81</c:v>
                </c:pt>
                <c:pt idx="2456">
                  <c:v>53525741.81</c:v>
                </c:pt>
                <c:pt idx="2457">
                  <c:v>55742771.81</c:v>
                </c:pt>
                <c:pt idx="2458">
                  <c:v>59614301.81</c:v>
                </c:pt>
                <c:pt idx="2459">
                  <c:v>57959801.81</c:v>
                </c:pt>
                <c:pt idx="2460">
                  <c:v>53955911.81</c:v>
                </c:pt>
                <c:pt idx="2461">
                  <c:v>57893621.81</c:v>
                </c:pt>
                <c:pt idx="2462">
                  <c:v>57893621.81</c:v>
                </c:pt>
                <c:pt idx="2463">
                  <c:v>58820141.81</c:v>
                </c:pt>
                <c:pt idx="2464">
                  <c:v>57860531.81</c:v>
                </c:pt>
                <c:pt idx="2465">
                  <c:v>55511141.81</c:v>
                </c:pt>
                <c:pt idx="2466">
                  <c:v>55875131.81</c:v>
                </c:pt>
                <c:pt idx="2467">
                  <c:v>52930121.81</c:v>
                </c:pt>
                <c:pt idx="2468">
                  <c:v>54286811.81</c:v>
                </c:pt>
                <c:pt idx="2469">
                  <c:v>58323791.81</c:v>
                </c:pt>
                <c:pt idx="2470">
                  <c:v>60540821.81</c:v>
                </c:pt>
                <c:pt idx="2471">
                  <c:v>59647391.81</c:v>
                </c:pt>
                <c:pt idx="2472">
                  <c:v>60871721.81</c:v>
                </c:pt>
                <c:pt idx="2473">
                  <c:v>63485831.81</c:v>
                </c:pt>
                <c:pt idx="2474">
                  <c:v>63750551.81</c:v>
                </c:pt>
                <c:pt idx="2475">
                  <c:v>64412351.81</c:v>
                </c:pt>
                <c:pt idx="2476">
                  <c:v>66430841.81</c:v>
                </c:pt>
                <c:pt idx="2477">
                  <c:v>66066851.81</c:v>
                </c:pt>
                <c:pt idx="2478">
                  <c:v>64015271.81</c:v>
                </c:pt>
                <c:pt idx="2479">
                  <c:v>62890211.81</c:v>
                </c:pt>
                <c:pt idx="2480">
                  <c:v>63882911.81</c:v>
                </c:pt>
                <c:pt idx="2481">
                  <c:v>63088751.81</c:v>
                </c:pt>
                <c:pt idx="2482">
                  <c:v>63320381.81</c:v>
                </c:pt>
                <c:pt idx="2483">
                  <c:v>63452741.81</c:v>
                </c:pt>
                <c:pt idx="2484">
                  <c:v>62029871.81</c:v>
                </c:pt>
                <c:pt idx="2485">
                  <c:v>62757851.81</c:v>
                </c:pt>
                <c:pt idx="2486">
                  <c:v>59746661.81</c:v>
                </c:pt>
                <c:pt idx="2487">
                  <c:v>58919411.81</c:v>
                </c:pt>
                <c:pt idx="2488">
                  <c:v>57851593.1</c:v>
                </c:pt>
                <c:pt idx="2489">
                  <c:v>57851593.1</c:v>
                </c:pt>
                <c:pt idx="2490">
                  <c:v>57851593.1</c:v>
                </c:pt>
                <c:pt idx="2491">
                  <c:v>57851593.1</c:v>
                </c:pt>
                <c:pt idx="2492">
                  <c:v>57851593.1</c:v>
                </c:pt>
                <c:pt idx="2493">
                  <c:v>57851593.1</c:v>
                </c:pt>
                <c:pt idx="2494">
                  <c:v>57851593.1</c:v>
                </c:pt>
                <c:pt idx="2495">
                  <c:v>57851593.1</c:v>
                </c:pt>
                <c:pt idx="2496">
                  <c:v>57851593.1</c:v>
                </c:pt>
                <c:pt idx="2497">
                  <c:v>57851593.1</c:v>
                </c:pt>
                <c:pt idx="2498">
                  <c:v>57851593.1</c:v>
                </c:pt>
                <c:pt idx="2499">
                  <c:v>57851593.1</c:v>
                </c:pt>
                <c:pt idx="2500">
                  <c:v>57851593.1</c:v>
                </c:pt>
                <c:pt idx="2501">
                  <c:v>57851593.1</c:v>
                </c:pt>
                <c:pt idx="2502">
                  <c:v>57851593.1</c:v>
                </c:pt>
                <c:pt idx="2503">
                  <c:v>57851593.1</c:v>
                </c:pt>
                <c:pt idx="2504">
                  <c:v>57851593.1</c:v>
                </c:pt>
                <c:pt idx="2505">
                  <c:v>57851593.1</c:v>
                </c:pt>
                <c:pt idx="2506">
                  <c:v>58000861.6</c:v>
                </c:pt>
                <c:pt idx="2507">
                  <c:v>62769361.6</c:v>
                </c:pt>
                <c:pt idx="2508">
                  <c:v>56613661.6</c:v>
                </c:pt>
                <c:pt idx="2509">
                  <c:v>70572361.6</c:v>
                </c:pt>
                <c:pt idx="2510">
                  <c:v>72132961.6</c:v>
                </c:pt>
                <c:pt idx="2511">
                  <c:v>79762561.6</c:v>
                </c:pt>
                <c:pt idx="2512">
                  <c:v>74387161.6</c:v>
                </c:pt>
                <c:pt idx="2513">
                  <c:v>69185161.6</c:v>
                </c:pt>
                <c:pt idx="2514">
                  <c:v>70312261.6</c:v>
                </c:pt>
                <c:pt idx="2515">
                  <c:v>77941861.6</c:v>
                </c:pt>
                <c:pt idx="2516">
                  <c:v>71352661.6</c:v>
                </c:pt>
                <c:pt idx="2517">
                  <c:v>68578261.6</c:v>
                </c:pt>
                <c:pt idx="2518">
                  <c:v>65803861.6</c:v>
                </c:pt>
                <c:pt idx="2519">
                  <c:v>71092561.6</c:v>
                </c:pt>
                <c:pt idx="2520">
                  <c:v>72826561.6</c:v>
                </c:pt>
                <c:pt idx="2521">
                  <c:v>61468861.6</c:v>
                </c:pt>
                <c:pt idx="2522">
                  <c:v>64763461.6</c:v>
                </c:pt>
                <c:pt idx="2523">
                  <c:v>65543761.6</c:v>
                </c:pt>
                <c:pt idx="2524">
                  <c:v>60601861.6</c:v>
                </c:pt>
                <c:pt idx="2525">
                  <c:v>65110261.6</c:v>
                </c:pt>
                <c:pt idx="2526">
                  <c:v>65778932.46</c:v>
                </c:pt>
                <c:pt idx="2527">
                  <c:v>65778932.46</c:v>
                </c:pt>
                <c:pt idx="2528">
                  <c:v>65778932.46</c:v>
                </c:pt>
                <c:pt idx="2529">
                  <c:v>65778932.46</c:v>
                </c:pt>
                <c:pt idx="2530">
                  <c:v>65778932.46</c:v>
                </c:pt>
                <c:pt idx="2531">
                  <c:v>65778932.46</c:v>
                </c:pt>
                <c:pt idx="2532">
                  <c:v>65778932.46</c:v>
                </c:pt>
                <c:pt idx="2533">
                  <c:v>65778932.46</c:v>
                </c:pt>
                <c:pt idx="2534">
                  <c:v>65778932.46</c:v>
                </c:pt>
                <c:pt idx="2535">
                  <c:v>65778932.46</c:v>
                </c:pt>
                <c:pt idx="2536">
                  <c:v>65778932.46</c:v>
                </c:pt>
                <c:pt idx="2537">
                  <c:v>65778932.46</c:v>
                </c:pt>
                <c:pt idx="2538">
                  <c:v>65778932.46</c:v>
                </c:pt>
                <c:pt idx="2539">
                  <c:v>65778932.46</c:v>
                </c:pt>
                <c:pt idx="2540">
                  <c:v>65778932.46</c:v>
                </c:pt>
                <c:pt idx="2541">
                  <c:v>65778932.46</c:v>
                </c:pt>
                <c:pt idx="2542">
                  <c:v>65778932.46</c:v>
                </c:pt>
                <c:pt idx="2543">
                  <c:v>70173287.9</c:v>
                </c:pt>
                <c:pt idx="2544">
                  <c:v>76764257.9</c:v>
                </c:pt>
                <c:pt idx="2545">
                  <c:v>78516287.9</c:v>
                </c:pt>
                <c:pt idx="2546">
                  <c:v>74928797.9</c:v>
                </c:pt>
                <c:pt idx="2547">
                  <c:v>64750337.9</c:v>
                </c:pt>
                <c:pt idx="2548">
                  <c:v>80685467.9</c:v>
                </c:pt>
                <c:pt idx="2549">
                  <c:v>87943877.9</c:v>
                </c:pt>
                <c:pt idx="2550">
                  <c:v>82938077.9</c:v>
                </c:pt>
                <c:pt idx="2551">
                  <c:v>91698227.9</c:v>
                </c:pt>
                <c:pt idx="2552">
                  <c:v>94201127.9</c:v>
                </c:pt>
                <c:pt idx="2553">
                  <c:v>105464177.9</c:v>
                </c:pt>
                <c:pt idx="2554">
                  <c:v>103044707.9</c:v>
                </c:pt>
                <c:pt idx="2555">
                  <c:v>111220847.9</c:v>
                </c:pt>
                <c:pt idx="2556">
                  <c:v>97538327.9</c:v>
                </c:pt>
                <c:pt idx="2557">
                  <c:v>100541807.9</c:v>
                </c:pt>
                <c:pt idx="2558">
                  <c:v>95702867.9</c:v>
                </c:pt>
                <c:pt idx="2559">
                  <c:v>85607837.9</c:v>
                </c:pt>
                <c:pt idx="2560">
                  <c:v>87443297.9</c:v>
                </c:pt>
                <c:pt idx="2561">
                  <c:v>98122337.9</c:v>
                </c:pt>
                <c:pt idx="2562">
                  <c:v>100124657.9</c:v>
                </c:pt>
                <c:pt idx="2563">
                  <c:v>79100297.9</c:v>
                </c:pt>
                <c:pt idx="2564">
                  <c:v>75262517.9</c:v>
                </c:pt>
                <c:pt idx="2565">
                  <c:v>75984927.14</c:v>
                </c:pt>
                <c:pt idx="2566">
                  <c:v>75984927.14</c:v>
                </c:pt>
                <c:pt idx="2567">
                  <c:v>75984927.14</c:v>
                </c:pt>
                <c:pt idx="2568">
                  <c:v>75984927.14</c:v>
                </c:pt>
                <c:pt idx="2569">
                  <c:v>75984927.14</c:v>
                </c:pt>
                <c:pt idx="2570">
                  <c:v>75984927.14</c:v>
                </c:pt>
                <c:pt idx="2571">
                  <c:v>75984927.14</c:v>
                </c:pt>
                <c:pt idx="2572">
                  <c:v>75984927.14</c:v>
                </c:pt>
                <c:pt idx="2573">
                  <c:v>75984927.14</c:v>
                </c:pt>
                <c:pt idx="2574">
                  <c:v>75984927.14</c:v>
                </c:pt>
                <c:pt idx="2575">
                  <c:v>75984927.14</c:v>
                </c:pt>
                <c:pt idx="2576">
                  <c:v>75984927.14</c:v>
                </c:pt>
                <c:pt idx="2577">
                  <c:v>75984927.14</c:v>
                </c:pt>
                <c:pt idx="2578">
                  <c:v>75984927.14</c:v>
                </c:pt>
                <c:pt idx="2579">
                  <c:v>75984927.14</c:v>
                </c:pt>
                <c:pt idx="2580">
                  <c:v>75984927.14</c:v>
                </c:pt>
                <c:pt idx="2581">
                  <c:v>75984927.14</c:v>
                </c:pt>
                <c:pt idx="2582">
                  <c:v>75984927.14</c:v>
                </c:pt>
                <c:pt idx="2583">
                  <c:v>75984927.14</c:v>
                </c:pt>
                <c:pt idx="2584">
                  <c:v>75984927.14</c:v>
                </c:pt>
                <c:pt idx="2585">
                  <c:v>75984927.14</c:v>
                </c:pt>
                <c:pt idx="2586">
                  <c:v>75984927.14</c:v>
                </c:pt>
                <c:pt idx="2587">
                  <c:v>75984927.14</c:v>
                </c:pt>
                <c:pt idx="2588">
                  <c:v>75984927.14</c:v>
                </c:pt>
                <c:pt idx="2589">
                  <c:v>75984927.14</c:v>
                </c:pt>
                <c:pt idx="2590">
                  <c:v>75984927.14</c:v>
                </c:pt>
                <c:pt idx="2591">
                  <c:v>75984927.14</c:v>
                </c:pt>
                <c:pt idx="2592">
                  <c:v>77275172.9</c:v>
                </c:pt>
                <c:pt idx="2593">
                  <c:v>68566052.9</c:v>
                </c:pt>
                <c:pt idx="2594">
                  <c:v>71209892.9</c:v>
                </c:pt>
                <c:pt idx="2595">
                  <c:v>69887972.9</c:v>
                </c:pt>
                <c:pt idx="2596">
                  <c:v>82796132.9</c:v>
                </c:pt>
                <c:pt idx="2597">
                  <c:v>95315492.9</c:v>
                </c:pt>
                <c:pt idx="2598">
                  <c:v>86761892.9</c:v>
                </c:pt>
                <c:pt idx="2599">
                  <c:v>80929892.9</c:v>
                </c:pt>
                <c:pt idx="2600">
                  <c:v>81707492.9</c:v>
                </c:pt>
                <c:pt idx="2601">
                  <c:v>86450852.9</c:v>
                </c:pt>
                <c:pt idx="2602">
                  <c:v>67632932.9</c:v>
                </c:pt>
                <c:pt idx="2603">
                  <c:v>63278372.9</c:v>
                </c:pt>
                <c:pt idx="2604">
                  <c:v>67244132.9</c:v>
                </c:pt>
                <c:pt idx="2605">
                  <c:v>77663972.9</c:v>
                </c:pt>
                <c:pt idx="2606">
                  <c:v>70043492.9</c:v>
                </c:pt>
                <c:pt idx="2607">
                  <c:v>65533412.9</c:v>
                </c:pt>
                <c:pt idx="2608">
                  <c:v>74786852.9</c:v>
                </c:pt>
                <c:pt idx="2609">
                  <c:v>56902052.9</c:v>
                </c:pt>
                <c:pt idx="2610">
                  <c:v>59749116.07</c:v>
                </c:pt>
                <c:pt idx="2611">
                  <c:v>59749116.07</c:v>
                </c:pt>
                <c:pt idx="2612">
                  <c:v>59749116.07</c:v>
                </c:pt>
                <c:pt idx="2613">
                  <c:v>59749116.07</c:v>
                </c:pt>
                <c:pt idx="2614">
                  <c:v>59749116.07</c:v>
                </c:pt>
                <c:pt idx="2615">
                  <c:v>59749116.07</c:v>
                </c:pt>
                <c:pt idx="2616">
                  <c:v>59749116.07</c:v>
                </c:pt>
                <c:pt idx="2617">
                  <c:v>59749116.07</c:v>
                </c:pt>
                <c:pt idx="2618">
                  <c:v>59749116.07</c:v>
                </c:pt>
                <c:pt idx="2619">
                  <c:v>59749116.07</c:v>
                </c:pt>
                <c:pt idx="2620">
                  <c:v>59749116.07</c:v>
                </c:pt>
                <c:pt idx="2621">
                  <c:v>59749116.07</c:v>
                </c:pt>
                <c:pt idx="2622">
                  <c:v>53710014.55</c:v>
                </c:pt>
                <c:pt idx="2623">
                  <c:v>48026274.55</c:v>
                </c:pt>
                <c:pt idx="2624">
                  <c:v>59525934.55</c:v>
                </c:pt>
                <c:pt idx="2625">
                  <c:v>64747044.55</c:v>
                </c:pt>
                <c:pt idx="2626">
                  <c:v>72545664.55</c:v>
                </c:pt>
                <c:pt idx="2627">
                  <c:v>72677844.55</c:v>
                </c:pt>
                <c:pt idx="2628">
                  <c:v>76246704.55</c:v>
                </c:pt>
                <c:pt idx="2629">
                  <c:v>70496874.55</c:v>
                </c:pt>
                <c:pt idx="2630">
                  <c:v>72479574.55</c:v>
                </c:pt>
                <c:pt idx="2631">
                  <c:v>71554314.55</c:v>
                </c:pt>
                <c:pt idx="2632">
                  <c:v>71289954.55</c:v>
                </c:pt>
                <c:pt idx="2633">
                  <c:v>74131824.55</c:v>
                </c:pt>
                <c:pt idx="2634">
                  <c:v>68910714.55</c:v>
                </c:pt>
                <c:pt idx="2635">
                  <c:v>68117634.55</c:v>
                </c:pt>
                <c:pt idx="2636">
                  <c:v>69373344.55</c:v>
                </c:pt>
                <c:pt idx="2637">
                  <c:v>67588914.55</c:v>
                </c:pt>
                <c:pt idx="2638">
                  <c:v>64086144.55</c:v>
                </c:pt>
                <c:pt idx="2639">
                  <c:v>66465384.55</c:v>
                </c:pt>
                <c:pt idx="2640">
                  <c:v>73933554.55</c:v>
                </c:pt>
                <c:pt idx="2641">
                  <c:v>73735284.55</c:v>
                </c:pt>
                <c:pt idx="2642">
                  <c:v>77502414.55</c:v>
                </c:pt>
                <c:pt idx="2643">
                  <c:v>83714874.55</c:v>
                </c:pt>
                <c:pt idx="2644">
                  <c:v>80740824.55</c:v>
                </c:pt>
                <c:pt idx="2645">
                  <c:v>83053974.55</c:v>
                </c:pt>
                <c:pt idx="2646">
                  <c:v>83120064.55</c:v>
                </c:pt>
                <c:pt idx="2647">
                  <c:v>82194804.55</c:v>
                </c:pt>
                <c:pt idx="2648">
                  <c:v>84111414.55</c:v>
                </c:pt>
                <c:pt idx="2649">
                  <c:v>78163314.55</c:v>
                </c:pt>
                <c:pt idx="2650">
                  <c:v>91050864.55</c:v>
                </c:pt>
                <c:pt idx="2651">
                  <c:v>91183044.55</c:v>
                </c:pt>
                <c:pt idx="2652">
                  <c:v>77965044.55</c:v>
                </c:pt>
                <c:pt idx="2653">
                  <c:v>72016944.55</c:v>
                </c:pt>
                <c:pt idx="2654">
                  <c:v>75717984.55</c:v>
                </c:pt>
                <c:pt idx="2655">
                  <c:v>84045324.55</c:v>
                </c:pt>
                <c:pt idx="2656">
                  <c:v>75123174.55</c:v>
                </c:pt>
                <c:pt idx="2657">
                  <c:v>74858814.55</c:v>
                </c:pt>
                <c:pt idx="2658">
                  <c:v>72347394.55</c:v>
                </c:pt>
                <c:pt idx="2659">
                  <c:v>73735284.55</c:v>
                </c:pt>
                <c:pt idx="2660">
                  <c:v>74571030.05</c:v>
                </c:pt>
                <c:pt idx="2661">
                  <c:v>74571030.05</c:v>
                </c:pt>
                <c:pt idx="2662">
                  <c:v>74571030.05</c:v>
                </c:pt>
                <c:pt idx="2663">
                  <c:v>74571030.05</c:v>
                </c:pt>
                <c:pt idx="2664">
                  <c:v>74571030.05</c:v>
                </c:pt>
                <c:pt idx="2665">
                  <c:v>74571030.05</c:v>
                </c:pt>
                <c:pt idx="2666">
                  <c:v>74571030.05</c:v>
                </c:pt>
                <c:pt idx="2667">
                  <c:v>74571030.05</c:v>
                </c:pt>
                <c:pt idx="2668">
                  <c:v>74571030.05</c:v>
                </c:pt>
                <c:pt idx="2669">
                  <c:v>74571030.05</c:v>
                </c:pt>
                <c:pt idx="2670">
                  <c:v>74571030.05</c:v>
                </c:pt>
                <c:pt idx="2671">
                  <c:v>74571030.05</c:v>
                </c:pt>
                <c:pt idx="2672">
                  <c:v>74571030.05</c:v>
                </c:pt>
                <c:pt idx="2673">
                  <c:v>74571030.05</c:v>
                </c:pt>
                <c:pt idx="2674">
                  <c:v>74571030.05</c:v>
                </c:pt>
                <c:pt idx="2675">
                  <c:v>74571030.05</c:v>
                </c:pt>
                <c:pt idx="2676">
                  <c:v>74571030.05</c:v>
                </c:pt>
                <c:pt idx="2677">
                  <c:v>74571030.05</c:v>
                </c:pt>
                <c:pt idx="2678">
                  <c:v>74571030.05</c:v>
                </c:pt>
                <c:pt idx="2679">
                  <c:v>88234213.85</c:v>
                </c:pt>
                <c:pt idx="2680">
                  <c:v>88431253.85</c:v>
                </c:pt>
                <c:pt idx="2681">
                  <c:v>92963173.85</c:v>
                </c:pt>
                <c:pt idx="2682">
                  <c:v>89514973.85</c:v>
                </c:pt>
                <c:pt idx="2683">
                  <c:v>83800813.85</c:v>
                </c:pt>
                <c:pt idx="2684">
                  <c:v>76510333.85</c:v>
                </c:pt>
                <c:pt idx="2685">
                  <c:v>76510333.85</c:v>
                </c:pt>
                <c:pt idx="2686">
                  <c:v>66067213.85</c:v>
                </c:pt>
                <c:pt idx="2687">
                  <c:v>54146293.85</c:v>
                </c:pt>
                <c:pt idx="2688">
                  <c:v>47841013.85</c:v>
                </c:pt>
                <c:pt idx="2689">
                  <c:v>47216068.65</c:v>
                </c:pt>
                <c:pt idx="2690">
                  <c:v>47216068.65</c:v>
                </c:pt>
                <c:pt idx="2691">
                  <c:v>47216068.65</c:v>
                </c:pt>
                <c:pt idx="2692">
                  <c:v>47216068.65</c:v>
                </c:pt>
                <c:pt idx="2693">
                  <c:v>47216068.65</c:v>
                </c:pt>
                <c:pt idx="2694">
                  <c:v>47216068.65</c:v>
                </c:pt>
                <c:pt idx="2695">
                  <c:v>47216068.65</c:v>
                </c:pt>
                <c:pt idx="2696">
                  <c:v>47216068.65</c:v>
                </c:pt>
                <c:pt idx="2697">
                  <c:v>47216068.65</c:v>
                </c:pt>
                <c:pt idx="2698">
                  <c:v>47216068.65</c:v>
                </c:pt>
                <c:pt idx="2699">
                  <c:v>47216068.65</c:v>
                </c:pt>
                <c:pt idx="2700">
                  <c:v>47216068.65</c:v>
                </c:pt>
                <c:pt idx="2701">
                  <c:v>47216068.65</c:v>
                </c:pt>
                <c:pt idx="2702">
                  <c:v>47216068.65</c:v>
                </c:pt>
                <c:pt idx="2703">
                  <c:v>47216068.65</c:v>
                </c:pt>
                <c:pt idx="2704">
                  <c:v>47216068.65</c:v>
                </c:pt>
                <c:pt idx="2705">
                  <c:v>47216068.65</c:v>
                </c:pt>
                <c:pt idx="2706">
                  <c:v>47216068.65</c:v>
                </c:pt>
                <c:pt idx="2707">
                  <c:v>47216068.65</c:v>
                </c:pt>
                <c:pt idx="2708">
                  <c:v>47216068.65</c:v>
                </c:pt>
                <c:pt idx="2709">
                  <c:v>47216068.65</c:v>
                </c:pt>
                <c:pt idx="2710">
                  <c:v>47216068.65</c:v>
                </c:pt>
                <c:pt idx="2711">
                  <c:v>47216068.65</c:v>
                </c:pt>
                <c:pt idx="2712">
                  <c:v>47216068.65</c:v>
                </c:pt>
                <c:pt idx="2713">
                  <c:v>47216068.65</c:v>
                </c:pt>
                <c:pt idx="2714">
                  <c:v>47216068.65</c:v>
                </c:pt>
                <c:pt idx="2715">
                  <c:v>47216068.65</c:v>
                </c:pt>
                <c:pt idx="2716">
                  <c:v>47216068.65</c:v>
                </c:pt>
                <c:pt idx="2717">
                  <c:v>45250221.91</c:v>
                </c:pt>
                <c:pt idx="2718">
                  <c:v>50516301.91</c:v>
                </c:pt>
                <c:pt idx="2719">
                  <c:v>51489381.91</c:v>
                </c:pt>
                <c:pt idx="2720">
                  <c:v>48570141.91</c:v>
                </c:pt>
                <c:pt idx="2721">
                  <c:v>51317661.91</c:v>
                </c:pt>
                <c:pt idx="2722">
                  <c:v>53492781.91</c:v>
                </c:pt>
                <c:pt idx="2723">
                  <c:v>55095501.91</c:v>
                </c:pt>
                <c:pt idx="2724">
                  <c:v>55152741.91</c:v>
                </c:pt>
                <c:pt idx="2725">
                  <c:v>59102301.91</c:v>
                </c:pt>
                <c:pt idx="2726">
                  <c:v>56068581.91</c:v>
                </c:pt>
                <c:pt idx="2727">
                  <c:v>57041661.91</c:v>
                </c:pt>
                <c:pt idx="2728">
                  <c:v>52405221.91</c:v>
                </c:pt>
                <c:pt idx="2729">
                  <c:v>55553421.91</c:v>
                </c:pt>
                <c:pt idx="2730">
                  <c:v>57270621.91</c:v>
                </c:pt>
                <c:pt idx="2731">
                  <c:v>57098901.91</c:v>
                </c:pt>
                <c:pt idx="2732">
                  <c:v>60418821.91</c:v>
                </c:pt>
                <c:pt idx="2733">
                  <c:v>63509781.91</c:v>
                </c:pt>
                <c:pt idx="2734">
                  <c:v>65398701.91</c:v>
                </c:pt>
                <c:pt idx="2735">
                  <c:v>64940781.91</c:v>
                </c:pt>
                <c:pt idx="2736">
                  <c:v>61048461.91</c:v>
                </c:pt>
                <c:pt idx="2737">
                  <c:v>63853221.91</c:v>
                </c:pt>
                <c:pt idx="2738">
                  <c:v>61964301.91</c:v>
                </c:pt>
                <c:pt idx="2739">
                  <c:v>58529901.91</c:v>
                </c:pt>
                <c:pt idx="2740">
                  <c:v>57270621.91</c:v>
                </c:pt>
                <c:pt idx="2741">
                  <c:v>54923781.91</c:v>
                </c:pt>
                <c:pt idx="2742">
                  <c:v>56698221.91</c:v>
                </c:pt>
                <c:pt idx="2743">
                  <c:v>63338061.91</c:v>
                </c:pt>
                <c:pt idx="2744">
                  <c:v>63452541.91</c:v>
                </c:pt>
                <c:pt idx="2745">
                  <c:v>62593941.91</c:v>
                </c:pt>
                <c:pt idx="2746">
                  <c:v>66200061.91</c:v>
                </c:pt>
                <c:pt idx="2747">
                  <c:v>62822901.91</c:v>
                </c:pt>
                <c:pt idx="2748">
                  <c:v>61506381.91</c:v>
                </c:pt>
                <c:pt idx="2749">
                  <c:v>60476061.91</c:v>
                </c:pt>
                <c:pt idx="2750">
                  <c:v>61449141.91</c:v>
                </c:pt>
                <c:pt idx="2751">
                  <c:v>63166341.91</c:v>
                </c:pt>
                <c:pt idx="2752">
                  <c:v>62193261.91</c:v>
                </c:pt>
                <c:pt idx="2753">
                  <c:v>64711821.91</c:v>
                </c:pt>
                <c:pt idx="2754">
                  <c:v>69004821.91</c:v>
                </c:pt>
                <c:pt idx="2755">
                  <c:v>71695101.91</c:v>
                </c:pt>
                <c:pt idx="2756">
                  <c:v>70722021.91</c:v>
                </c:pt>
                <c:pt idx="2757">
                  <c:v>72725421.91</c:v>
                </c:pt>
                <c:pt idx="2758">
                  <c:v>71237181.91</c:v>
                </c:pt>
                <c:pt idx="2759">
                  <c:v>72553701.91</c:v>
                </c:pt>
                <c:pt idx="2760">
                  <c:v>75930861.91</c:v>
                </c:pt>
                <c:pt idx="2761">
                  <c:v>74270901.91</c:v>
                </c:pt>
                <c:pt idx="2762">
                  <c:v>77075661.91</c:v>
                </c:pt>
                <c:pt idx="2763">
                  <c:v>77304621.91</c:v>
                </c:pt>
                <c:pt idx="2764">
                  <c:v>77476341.91</c:v>
                </c:pt>
                <c:pt idx="2765">
                  <c:v>79708701.91</c:v>
                </c:pt>
                <c:pt idx="2766">
                  <c:v>79422501.91</c:v>
                </c:pt>
                <c:pt idx="2767">
                  <c:v>83372061.91</c:v>
                </c:pt>
                <c:pt idx="2768">
                  <c:v>82971381.91</c:v>
                </c:pt>
                <c:pt idx="2769">
                  <c:v>86749221.91</c:v>
                </c:pt>
                <c:pt idx="2770">
                  <c:v>89553981.91</c:v>
                </c:pt>
                <c:pt idx="2771">
                  <c:v>92702181.91</c:v>
                </c:pt>
                <c:pt idx="2772">
                  <c:v>88752621.91</c:v>
                </c:pt>
                <c:pt idx="2773">
                  <c:v>90183621.91</c:v>
                </c:pt>
                <c:pt idx="2774">
                  <c:v>89897421.91</c:v>
                </c:pt>
                <c:pt idx="2775">
                  <c:v>92187021.91</c:v>
                </c:pt>
                <c:pt idx="2776">
                  <c:v>87550581.91</c:v>
                </c:pt>
                <c:pt idx="2777">
                  <c:v>90756021.91</c:v>
                </c:pt>
                <c:pt idx="2778">
                  <c:v>94705581.91</c:v>
                </c:pt>
                <c:pt idx="2779">
                  <c:v>89325021.91</c:v>
                </c:pt>
                <c:pt idx="2780">
                  <c:v>86691981.91</c:v>
                </c:pt>
                <c:pt idx="2781">
                  <c:v>86291301.91</c:v>
                </c:pt>
                <c:pt idx="2782">
                  <c:v>85661661.91</c:v>
                </c:pt>
                <c:pt idx="2783">
                  <c:v>87493341.91</c:v>
                </c:pt>
                <c:pt idx="2784">
                  <c:v>92129781.91</c:v>
                </c:pt>
                <c:pt idx="2785">
                  <c:v>93560781.91</c:v>
                </c:pt>
                <c:pt idx="2786">
                  <c:v>99857181.91</c:v>
                </c:pt>
                <c:pt idx="2787">
                  <c:v>101917821.91</c:v>
                </c:pt>
                <c:pt idx="2788">
                  <c:v>102661941.91</c:v>
                </c:pt>
                <c:pt idx="2789">
                  <c:v>102890901.91</c:v>
                </c:pt>
                <c:pt idx="2790">
                  <c:v>103291581.91</c:v>
                </c:pt>
                <c:pt idx="2791">
                  <c:v>99284781.91</c:v>
                </c:pt>
                <c:pt idx="2792">
                  <c:v>96995181.91</c:v>
                </c:pt>
                <c:pt idx="2793">
                  <c:v>98769621.91</c:v>
                </c:pt>
                <c:pt idx="2794">
                  <c:v>99456501.91</c:v>
                </c:pt>
                <c:pt idx="2795">
                  <c:v>96193821.91</c:v>
                </c:pt>
                <c:pt idx="2796">
                  <c:v>98082741.91</c:v>
                </c:pt>
                <c:pt idx="2797">
                  <c:v>102948141.91</c:v>
                </c:pt>
                <c:pt idx="2798">
                  <c:v>94705581.91</c:v>
                </c:pt>
                <c:pt idx="2799">
                  <c:v>94060943.12</c:v>
                </c:pt>
                <c:pt idx="2800">
                  <c:v>94060943.12</c:v>
                </c:pt>
                <c:pt idx="2801">
                  <c:v>94060943.12</c:v>
                </c:pt>
                <c:pt idx="2802">
                  <c:v>94060943.12</c:v>
                </c:pt>
                <c:pt idx="2803">
                  <c:v>94060943.12</c:v>
                </c:pt>
                <c:pt idx="2804">
                  <c:v>94060943.12</c:v>
                </c:pt>
                <c:pt idx="2805">
                  <c:v>94060943.12</c:v>
                </c:pt>
                <c:pt idx="2806">
                  <c:v>94060943.12</c:v>
                </c:pt>
                <c:pt idx="2807">
                  <c:v>94060943.12</c:v>
                </c:pt>
                <c:pt idx="2808">
                  <c:v>94060943.12</c:v>
                </c:pt>
                <c:pt idx="2809">
                  <c:v>94060943.12</c:v>
                </c:pt>
                <c:pt idx="2810">
                  <c:v>94060943.12</c:v>
                </c:pt>
                <c:pt idx="2811">
                  <c:v>94060943.12</c:v>
                </c:pt>
                <c:pt idx="2812">
                  <c:v>94060943.12</c:v>
                </c:pt>
                <c:pt idx="2813">
                  <c:v>94060943.12</c:v>
                </c:pt>
                <c:pt idx="2814">
                  <c:v>94060943.12</c:v>
                </c:pt>
                <c:pt idx="2815">
                  <c:v>94060943.12</c:v>
                </c:pt>
                <c:pt idx="2816">
                  <c:v>94060943.12</c:v>
                </c:pt>
                <c:pt idx="2817">
                  <c:v>94060943.12</c:v>
                </c:pt>
                <c:pt idx="2818">
                  <c:v>94060943.12</c:v>
                </c:pt>
                <c:pt idx="2819">
                  <c:v>94060943.12</c:v>
                </c:pt>
                <c:pt idx="2820">
                  <c:v>94060943.12</c:v>
                </c:pt>
                <c:pt idx="2821">
                  <c:v>94060943.12</c:v>
                </c:pt>
                <c:pt idx="2822">
                  <c:v>94060943.12</c:v>
                </c:pt>
                <c:pt idx="2823">
                  <c:v>94060943.12</c:v>
                </c:pt>
                <c:pt idx="2824">
                  <c:v>94060943.12</c:v>
                </c:pt>
                <c:pt idx="2825">
                  <c:v>94060943.12</c:v>
                </c:pt>
                <c:pt idx="2826">
                  <c:v>94060943.12</c:v>
                </c:pt>
                <c:pt idx="2827">
                  <c:v>94060943.12</c:v>
                </c:pt>
                <c:pt idx="2828">
                  <c:v>94060943.12</c:v>
                </c:pt>
                <c:pt idx="2829">
                  <c:v>94060943.12</c:v>
                </c:pt>
                <c:pt idx="2830">
                  <c:v>94060943.12</c:v>
                </c:pt>
                <c:pt idx="2831">
                  <c:v>94060943.12</c:v>
                </c:pt>
                <c:pt idx="2832">
                  <c:v>94060943.12</c:v>
                </c:pt>
                <c:pt idx="2833">
                  <c:v>94060943.12</c:v>
                </c:pt>
                <c:pt idx="2834">
                  <c:v>94060943.12</c:v>
                </c:pt>
                <c:pt idx="2835">
                  <c:v>94060943.12</c:v>
                </c:pt>
                <c:pt idx="2836">
                  <c:v>94060943.12</c:v>
                </c:pt>
                <c:pt idx="2837">
                  <c:v>94060943.12</c:v>
                </c:pt>
                <c:pt idx="2838">
                  <c:v>94060943.12</c:v>
                </c:pt>
                <c:pt idx="2839">
                  <c:v>94060943.12</c:v>
                </c:pt>
                <c:pt idx="2840">
                  <c:v>99267562.03</c:v>
                </c:pt>
                <c:pt idx="2841">
                  <c:v>97724662.03</c:v>
                </c:pt>
                <c:pt idx="2842">
                  <c:v>100039012.03</c:v>
                </c:pt>
                <c:pt idx="2843">
                  <c:v>100656172.03</c:v>
                </c:pt>
                <c:pt idx="2844">
                  <c:v>110685022.03</c:v>
                </c:pt>
                <c:pt idx="2845">
                  <c:v>117473782.03</c:v>
                </c:pt>
                <c:pt idx="2846">
                  <c:v>117628072.03</c:v>
                </c:pt>
                <c:pt idx="2847">
                  <c:v>123336802.03</c:v>
                </c:pt>
                <c:pt idx="2848">
                  <c:v>118245232.03</c:v>
                </c:pt>
                <c:pt idx="2849">
                  <c:v>110993602.03</c:v>
                </c:pt>
                <c:pt idx="2850">
                  <c:v>105902032.03</c:v>
                </c:pt>
                <c:pt idx="2851">
                  <c:v>116085172.03</c:v>
                </c:pt>
                <c:pt idx="2852">
                  <c:v>121793902.03</c:v>
                </c:pt>
                <c:pt idx="2853">
                  <c:v>120559582.03</c:v>
                </c:pt>
                <c:pt idx="2854">
                  <c:v>129354112.03</c:v>
                </c:pt>
                <c:pt idx="2855">
                  <c:v>137222902.03</c:v>
                </c:pt>
                <c:pt idx="2856">
                  <c:v>133365652.03</c:v>
                </c:pt>
                <c:pt idx="2857">
                  <c:v>134137102.03</c:v>
                </c:pt>
                <c:pt idx="2858">
                  <c:v>135525712.03</c:v>
                </c:pt>
                <c:pt idx="2859">
                  <c:v>135525712.03</c:v>
                </c:pt>
                <c:pt idx="2860">
                  <c:v>139074382.03</c:v>
                </c:pt>
                <c:pt idx="2861">
                  <c:v>137994352.03</c:v>
                </c:pt>
                <c:pt idx="2862">
                  <c:v>131822752.03</c:v>
                </c:pt>
                <c:pt idx="2863">
                  <c:v>128119792.03</c:v>
                </c:pt>
                <c:pt idx="2864">
                  <c:v>124108252.03</c:v>
                </c:pt>
                <c:pt idx="2865">
                  <c:v>131668462.03</c:v>
                </c:pt>
                <c:pt idx="2866">
                  <c:v>129508402.03</c:v>
                </c:pt>
                <c:pt idx="2867">
                  <c:v>138148642.03</c:v>
                </c:pt>
                <c:pt idx="2868">
                  <c:v>145554562.03</c:v>
                </c:pt>
                <c:pt idx="2869">
                  <c:v>147560332.03</c:v>
                </c:pt>
                <c:pt idx="2870">
                  <c:v>151571872.03</c:v>
                </c:pt>
                <c:pt idx="2871">
                  <c:v>140771572.03</c:v>
                </c:pt>
                <c:pt idx="2872">
                  <c:v>137685772.03</c:v>
                </c:pt>
                <c:pt idx="2873">
                  <c:v>138457222.03</c:v>
                </c:pt>
                <c:pt idx="2874">
                  <c:v>127194052.03</c:v>
                </c:pt>
                <c:pt idx="2875">
                  <c:v>123645382.03</c:v>
                </c:pt>
                <c:pt idx="2876">
                  <c:v>134599972.03</c:v>
                </c:pt>
                <c:pt idx="2877">
                  <c:v>129971272.03</c:v>
                </c:pt>
                <c:pt idx="2878">
                  <c:v>132902782.03</c:v>
                </c:pt>
                <c:pt idx="2879">
                  <c:v>136142872.03</c:v>
                </c:pt>
                <c:pt idx="2880">
                  <c:v>136760032.03</c:v>
                </c:pt>
                <c:pt idx="2881">
                  <c:v>135525712.03</c:v>
                </c:pt>
                <c:pt idx="2882">
                  <c:v>146634592.03</c:v>
                </c:pt>
                <c:pt idx="2883">
                  <c:v>138148642.03</c:v>
                </c:pt>
                <c:pt idx="2884">
                  <c:v>129662692.03</c:v>
                </c:pt>
                <c:pt idx="2885">
                  <c:v>130244236.76</c:v>
                </c:pt>
                <c:pt idx="2886">
                  <c:v>130244236.76</c:v>
                </c:pt>
                <c:pt idx="2887">
                  <c:v>130244236.76</c:v>
                </c:pt>
                <c:pt idx="2888">
                  <c:v>130244236.76</c:v>
                </c:pt>
                <c:pt idx="2889">
                  <c:v>130244236.76</c:v>
                </c:pt>
                <c:pt idx="2890">
                  <c:v>130244236.76</c:v>
                </c:pt>
                <c:pt idx="2891">
                  <c:v>130244236.76</c:v>
                </c:pt>
                <c:pt idx="2892">
                  <c:v>130244236.76</c:v>
                </c:pt>
                <c:pt idx="2893">
                  <c:v>130244236.76</c:v>
                </c:pt>
                <c:pt idx="2894">
                  <c:v>130244236.76</c:v>
                </c:pt>
                <c:pt idx="2895">
                  <c:v>130244236.76</c:v>
                </c:pt>
                <c:pt idx="2896">
                  <c:v>130244236.76</c:v>
                </c:pt>
                <c:pt idx="2897">
                  <c:v>130244236.76</c:v>
                </c:pt>
                <c:pt idx="2898">
                  <c:v>124726411.69</c:v>
                </c:pt>
                <c:pt idx="2899">
                  <c:v>126464791.69</c:v>
                </c:pt>
                <c:pt idx="2900">
                  <c:v>120752971.69</c:v>
                </c:pt>
                <c:pt idx="2901">
                  <c:v>126713131.69</c:v>
                </c:pt>
                <c:pt idx="2902">
                  <c:v>141861871.69</c:v>
                </c:pt>
                <c:pt idx="2903">
                  <c:v>137640091.69</c:v>
                </c:pt>
                <c:pt idx="2904">
                  <c:v>131183251.69</c:v>
                </c:pt>
                <c:pt idx="2905">
                  <c:v>140868511.69</c:v>
                </c:pt>
                <c:pt idx="2906">
                  <c:v>141365191.69</c:v>
                </c:pt>
                <c:pt idx="2907">
                  <c:v>135653371.69</c:v>
                </c:pt>
                <c:pt idx="2908">
                  <c:v>124974751.69</c:v>
                </c:pt>
                <c:pt idx="2909">
                  <c:v>126464791.69</c:v>
                </c:pt>
                <c:pt idx="2910">
                  <c:v>138881791.69</c:v>
                </c:pt>
                <c:pt idx="2911">
                  <c:v>145090291.69</c:v>
                </c:pt>
                <c:pt idx="2912">
                  <c:v>155768911.69</c:v>
                </c:pt>
                <c:pt idx="2913">
                  <c:v>153782191.69</c:v>
                </c:pt>
                <c:pt idx="2914">
                  <c:v>162722431.69</c:v>
                </c:pt>
                <c:pt idx="2915">
                  <c:v>153285511.69</c:v>
                </c:pt>
                <c:pt idx="2916">
                  <c:v>154775551.69</c:v>
                </c:pt>
                <c:pt idx="2917">
                  <c:v>155520571.69</c:v>
                </c:pt>
                <c:pt idx="2918">
                  <c:v>150553771.69</c:v>
                </c:pt>
                <c:pt idx="2919">
                  <c:v>155272231.69</c:v>
                </c:pt>
                <c:pt idx="2920">
                  <c:v>170669311.69</c:v>
                </c:pt>
                <c:pt idx="2921">
                  <c:v>160984051.69</c:v>
                </c:pt>
                <c:pt idx="2922">
                  <c:v>162225751.69</c:v>
                </c:pt>
                <c:pt idx="2923">
                  <c:v>162225751.69</c:v>
                </c:pt>
                <c:pt idx="2924">
                  <c:v>173649391.69</c:v>
                </c:pt>
                <c:pt idx="2925">
                  <c:v>193764931.69</c:v>
                </c:pt>
                <c:pt idx="2926">
                  <c:v>196248331.69</c:v>
                </c:pt>
                <c:pt idx="2927">
                  <c:v>195006631.69</c:v>
                </c:pt>
                <c:pt idx="2928">
                  <c:v>202208491.69</c:v>
                </c:pt>
                <c:pt idx="2929">
                  <c:v>196745011.69</c:v>
                </c:pt>
                <c:pt idx="2930">
                  <c:v>197490031.69</c:v>
                </c:pt>
                <c:pt idx="2931">
                  <c:v>203450191.69</c:v>
                </c:pt>
                <c:pt idx="2932">
                  <c:v>212638771.69</c:v>
                </c:pt>
                <c:pt idx="2933">
                  <c:v>209410351.69</c:v>
                </c:pt>
                <c:pt idx="2934">
                  <c:v>207671971.69</c:v>
                </c:pt>
                <c:pt idx="2935">
                  <c:v>219095611.69</c:v>
                </c:pt>
                <c:pt idx="2936">
                  <c:v>201960151.69</c:v>
                </c:pt>
                <c:pt idx="2937">
                  <c:v>203450191.69</c:v>
                </c:pt>
                <c:pt idx="2938">
                  <c:v>202953511.69</c:v>
                </c:pt>
                <c:pt idx="2939">
                  <c:v>206926951.69</c:v>
                </c:pt>
                <c:pt idx="2940">
                  <c:v>212142091.69</c:v>
                </c:pt>
                <c:pt idx="2941">
                  <c:v>211397071.69</c:v>
                </c:pt>
                <c:pt idx="2942">
                  <c:v>220088971.69</c:v>
                </c:pt>
                <c:pt idx="2943">
                  <c:v>221330671.69</c:v>
                </c:pt>
                <c:pt idx="2944">
                  <c:v>228532531.69</c:v>
                </c:pt>
                <c:pt idx="2945">
                  <c:v>236727751.69</c:v>
                </c:pt>
                <c:pt idx="2946">
                  <c:v>231015931.69</c:v>
                </c:pt>
                <c:pt idx="2947">
                  <c:v>240204511.69</c:v>
                </c:pt>
                <c:pt idx="2948">
                  <c:v>228532531.69</c:v>
                </c:pt>
                <c:pt idx="2949">
                  <c:v>233996011.69</c:v>
                </c:pt>
                <c:pt idx="2950">
                  <c:v>248648071.69</c:v>
                </c:pt>
                <c:pt idx="2951">
                  <c:v>252869851.69</c:v>
                </c:pt>
                <c:pt idx="2952">
                  <c:v>256098271.69</c:v>
                </c:pt>
                <c:pt idx="2953">
                  <c:v>254608231.69</c:v>
                </c:pt>
                <c:pt idx="2954">
                  <c:v>261810091.69</c:v>
                </c:pt>
                <c:pt idx="2955">
                  <c:v>274227091.69</c:v>
                </c:pt>
                <c:pt idx="2956">
                  <c:v>275468791.69</c:v>
                </c:pt>
                <c:pt idx="2957">
                  <c:v>275220451.69</c:v>
                </c:pt>
                <c:pt idx="2958">
                  <c:v>285402391.69</c:v>
                </c:pt>
                <c:pt idx="2959">
                  <c:v>295087651.69</c:v>
                </c:pt>
                <c:pt idx="2960">
                  <c:v>310981411.69</c:v>
                </c:pt>
                <c:pt idx="2961">
                  <c:v>314458171.69</c:v>
                </c:pt>
                <c:pt idx="2962">
                  <c:v>290120851.69</c:v>
                </c:pt>
                <c:pt idx="2963">
                  <c:v>295832671.69</c:v>
                </c:pt>
                <c:pt idx="2964">
                  <c:v>285154051.69</c:v>
                </c:pt>
                <c:pt idx="2965">
                  <c:v>284409031.69</c:v>
                </c:pt>
                <c:pt idx="2966">
                  <c:v>282422311.69</c:v>
                </c:pt>
                <c:pt idx="2967">
                  <c:v>282918991.69</c:v>
                </c:pt>
                <c:pt idx="2968">
                  <c:v>291114211.69</c:v>
                </c:pt>
                <c:pt idx="2969">
                  <c:v>287140771.69</c:v>
                </c:pt>
                <c:pt idx="2970">
                  <c:v>276462151.69</c:v>
                </c:pt>
                <c:pt idx="2971">
                  <c:v>279193891.69</c:v>
                </c:pt>
                <c:pt idx="2972">
                  <c:v>277952191.69</c:v>
                </c:pt>
                <c:pt idx="2973">
                  <c:v>277952191.69</c:v>
                </c:pt>
                <c:pt idx="2974">
                  <c:v>275468791.69</c:v>
                </c:pt>
                <c:pt idx="2975">
                  <c:v>275925704.17</c:v>
                </c:pt>
                <c:pt idx="2976">
                  <c:v>275925704.17</c:v>
                </c:pt>
                <c:pt idx="2977">
                  <c:v>275925704.17</c:v>
                </c:pt>
                <c:pt idx="2978">
                  <c:v>275925704.17</c:v>
                </c:pt>
                <c:pt idx="2979">
                  <c:v>314687388.28</c:v>
                </c:pt>
                <c:pt idx="2980">
                  <c:v>282058578.28</c:v>
                </c:pt>
                <c:pt idx="2981">
                  <c:v>270256668.28</c:v>
                </c:pt>
                <c:pt idx="2982">
                  <c:v>313298928.28</c:v>
                </c:pt>
                <c:pt idx="2983">
                  <c:v>335514288.28</c:v>
                </c:pt>
                <c:pt idx="2984">
                  <c:v>310522008.28</c:v>
                </c:pt>
                <c:pt idx="2985">
                  <c:v>305662398.28</c:v>
                </c:pt>
                <c:pt idx="2986">
                  <c:v>316075848.28</c:v>
                </c:pt>
                <c:pt idx="2987">
                  <c:v>352175808.28</c:v>
                </c:pt>
                <c:pt idx="2988">
                  <c:v>386887308.28</c:v>
                </c:pt>
                <c:pt idx="2989">
                  <c:v>407714208.28</c:v>
                </c:pt>
                <c:pt idx="2990">
                  <c:v>422293038.28</c:v>
                </c:pt>
                <c:pt idx="2991">
                  <c:v>414656508.28</c:v>
                </c:pt>
                <c:pt idx="2992">
                  <c:v>392441148.28</c:v>
                </c:pt>
                <c:pt idx="2993">
                  <c:v>424375728.28</c:v>
                </c:pt>
                <c:pt idx="2994">
                  <c:v>435483408.28</c:v>
                </c:pt>
                <c:pt idx="2995">
                  <c:v>547948668.28</c:v>
                </c:pt>
                <c:pt idx="2996">
                  <c:v>632644728.28</c:v>
                </c:pt>
                <c:pt idx="2997">
                  <c:v>739556148.28</c:v>
                </c:pt>
                <c:pt idx="2998">
                  <c:v>829806048.28</c:v>
                </c:pt>
                <c:pt idx="2999">
                  <c:v>908254038.28</c:v>
                </c:pt>
                <c:pt idx="3000">
                  <c:v>704844648.28</c:v>
                </c:pt>
                <c:pt idx="3001">
                  <c:v>751358058.28</c:v>
                </c:pt>
                <c:pt idx="3002">
                  <c:v>772184958.28</c:v>
                </c:pt>
                <c:pt idx="3003">
                  <c:v>653471628.28</c:v>
                </c:pt>
                <c:pt idx="3004">
                  <c:v>590990928.28</c:v>
                </c:pt>
                <c:pt idx="3005">
                  <c:v>654860088.28</c:v>
                </c:pt>
                <c:pt idx="3006">
                  <c:v>718035018.28</c:v>
                </c:pt>
                <c:pt idx="3007">
                  <c:v>784681098.28</c:v>
                </c:pt>
                <c:pt idx="3008">
                  <c:v>802036848.28</c:v>
                </c:pt>
                <c:pt idx="3009">
                  <c:v>797177238.28</c:v>
                </c:pt>
                <c:pt idx="3010">
                  <c:v>840913728.28</c:v>
                </c:pt>
                <c:pt idx="3011">
                  <c:v>920750178.28</c:v>
                </c:pt>
                <c:pt idx="3012">
                  <c:v>829111818.28</c:v>
                </c:pt>
                <c:pt idx="3013">
                  <c:v>786763788.28</c:v>
                </c:pt>
                <c:pt idx="3014">
                  <c:v>813144528.28</c:v>
                </c:pt>
                <c:pt idx="3015">
                  <c:v>756217668.28</c:v>
                </c:pt>
                <c:pt idx="3016">
                  <c:v>767325348.28</c:v>
                </c:pt>
                <c:pt idx="3017">
                  <c:v>729142698.28</c:v>
                </c:pt>
                <c:pt idx="3018">
                  <c:v>735229614.35</c:v>
                </c:pt>
                <c:pt idx="3019">
                  <c:v>735229614.35</c:v>
                </c:pt>
                <c:pt idx="3020">
                  <c:v>735229614.35</c:v>
                </c:pt>
                <c:pt idx="3021">
                  <c:v>735229614.35</c:v>
                </c:pt>
                <c:pt idx="3022">
                  <c:v>735229614.35</c:v>
                </c:pt>
                <c:pt idx="3023">
                  <c:v>735229614.35</c:v>
                </c:pt>
                <c:pt idx="3024">
                  <c:v>735229614.35</c:v>
                </c:pt>
                <c:pt idx="3025">
                  <c:v>735229614.35</c:v>
                </c:pt>
                <c:pt idx="3026">
                  <c:v>735229614.35</c:v>
                </c:pt>
                <c:pt idx="3027">
                  <c:v>735229614.35</c:v>
                </c:pt>
                <c:pt idx="3028">
                  <c:v>735229614.35</c:v>
                </c:pt>
                <c:pt idx="3029">
                  <c:v>735229614.35</c:v>
                </c:pt>
                <c:pt idx="3030">
                  <c:v>735229614.35</c:v>
                </c:pt>
                <c:pt idx="3031">
                  <c:v>735229614.35</c:v>
                </c:pt>
                <c:pt idx="3032">
                  <c:v>735229614.35</c:v>
                </c:pt>
                <c:pt idx="3033">
                  <c:v>735229614.35</c:v>
                </c:pt>
                <c:pt idx="3034">
                  <c:v>735229614.35</c:v>
                </c:pt>
                <c:pt idx="3035">
                  <c:v>735229614.35</c:v>
                </c:pt>
                <c:pt idx="3036">
                  <c:v>735229614.35</c:v>
                </c:pt>
                <c:pt idx="3037">
                  <c:v>735229614.35</c:v>
                </c:pt>
                <c:pt idx="3038">
                  <c:v>735229614.35</c:v>
                </c:pt>
                <c:pt idx="3039">
                  <c:v>735229614.35</c:v>
                </c:pt>
                <c:pt idx="3040">
                  <c:v>735229614.35</c:v>
                </c:pt>
                <c:pt idx="3041">
                  <c:v>735229614.35</c:v>
                </c:pt>
                <c:pt idx="3042">
                  <c:v>735229614.35</c:v>
                </c:pt>
                <c:pt idx="3043">
                  <c:v>735229614.35</c:v>
                </c:pt>
                <c:pt idx="3044">
                  <c:v>735229614.35</c:v>
                </c:pt>
                <c:pt idx="3045">
                  <c:v>735229614.35</c:v>
                </c:pt>
                <c:pt idx="3046">
                  <c:v>735229614.35</c:v>
                </c:pt>
                <c:pt idx="3047">
                  <c:v>735229614.35</c:v>
                </c:pt>
                <c:pt idx="3048">
                  <c:v>735229614.35</c:v>
                </c:pt>
                <c:pt idx="3049">
                  <c:v>735229614.35</c:v>
                </c:pt>
                <c:pt idx="3050">
                  <c:v>735229614.35</c:v>
                </c:pt>
                <c:pt idx="3051">
                  <c:v>735229614.35</c:v>
                </c:pt>
                <c:pt idx="3052">
                  <c:v>735229614.35</c:v>
                </c:pt>
                <c:pt idx="3053">
                  <c:v>735229614.35</c:v>
                </c:pt>
                <c:pt idx="3054">
                  <c:v>735229614.35</c:v>
                </c:pt>
                <c:pt idx="3055">
                  <c:v>735229614.35</c:v>
                </c:pt>
                <c:pt idx="3056">
                  <c:v>735229614.35</c:v>
                </c:pt>
                <c:pt idx="3057">
                  <c:v>735229614.35</c:v>
                </c:pt>
                <c:pt idx="3058">
                  <c:v>735229614.35</c:v>
                </c:pt>
                <c:pt idx="3059">
                  <c:v>735229614.35</c:v>
                </c:pt>
                <c:pt idx="3060">
                  <c:v>735229614.35</c:v>
                </c:pt>
                <c:pt idx="3061">
                  <c:v>735229614.35</c:v>
                </c:pt>
                <c:pt idx="3062">
                  <c:v>735229614.35</c:v>
                </c:pt>
                <c:pt idx="3063">
                  <c:v>735229614.35</c:v>
                </c:pt>
                <c:pt idx="3064">
                  <c:v>735229614.35</c:v>
                </c:pt>
                <c:pt idx="3065">
                  <c:v>735229614.35</c:v>
                </c:pt>
                <c:pt idx="3066">
                  <c:v>735229614.35</c:v>
                </c:pt>
                <c:pt idx="3067">
                  <c:v>735229614.35</c:v>
                </c:pt>
                <c:pt idx="3068">
                  <c:v>735229614.35</c:v>
                </c:pt>
                <c:pt idx="3069">
                  <c:v>735229614.35</c:v>
                </c:pt>
                <c:pt idx="3070">
                  <c:v>735229614.35</c:v>
                </c:pt>
                <c:pt idx="3071">
                  <c:v>735229614.35</c:v>
                </c:pt>
                <c:pt idx="3072">
                  <c:v>735229614.35</c:v>
                </c:pt>
                <c:pt idx="3073">
                  <c:v>735229614.35</c:v>
                </c:pt>
                <c:pt idx="3074">
                  <c:v>735229614.35</c:v>
                </c:pt>
                <c:pt idx="3075">
                  <c:v>735229614.35</c:v>
                </c:pt>
                <c:pt idx="3076">
                  <c:v>735229614.35</c:v>
                </c:pt>
                <c:pt idx="3077">
                  <c:v>735229614.35</c:v>
                </c:pt>
                <c:pt idx="3078">
                  <c:v>735229614.35</c:v>
                </c:pt>
                <c:pt idx="3079">
                  <c:v>735229614.35</c:v>
                </c:pt>
                <c:pt idx="3080">
                  <c:v>735229614.35</c:v>
                </c:pt>
                <c:pt idx="3081">
                  <c:v>735229614.35</c:v>
                </c:pt>
                <c:pt idx="3082">
                  <c:v>735229614.35</c:v>
                </c:pt>
                <c:pt idx="3083">
                  <c:v>735229614.35</c:v>
                </c:pt>
                <c:pt idx="3084">
                  <c:v>735229614.35</c:v>
                </c:pt>
                <c:pt idx="3085">
                  <c:v>735229614.35</c:v>
                </c:pt>
                <c:pt idx="3086">
                  <c:v>735229614.35</c:v>
                </c:pt>
                <c:pt idx="3087">
                  <c:v>735229614.35</c:v>
                </c:pt>
                <c:pt idx="3088">
                  <c:v>735229614.35</c:v>
                </c:pt>
                <c:pt idx="3089">
                  <c:v>735229614.35</c:v>
                </c:pt>
                <c:pt idx="3090">
                  <c:v>772281672.58</c:v>
                </c:pt>
                <c:pt idx="3091">
                  <c:v>809640552.58</c:v>
                </c:pt>
                <c:pt idx="3092">
                  <c:v>898727112.58</c:v>
                </c:pt>
                <c:pt idx="3093">
                  <c:v>926027832.58</c:v>
                </c:pt>
                <c:pt idx="3094">
                  <c:v>809640552.58</c:v>
                </c:pt>
                <c:pt idx="3095">
                  <c:v>782339832.58</c:v>
                </c:pt>
                <c:pt idx="3096">
                  <c:v>795271752.58</c:v>
                </c:pt>
                <c:pt idx="3097">
                  <c:v>615661752.58</c:v>
                </c:pt>
                <c:pt idx="3098">
                  <c:v>665952552.58</c:v>
                </c:pt>
                <c:pt idx="3099">
                  <c:v>642962472.58</c:v>
                </c:pt>
                <c:pt idx="3100">
                  <c:v>596982312.58</c:v>
                </c:pt>
                <c:pt idx="3101">
                  <c:v>581176632.58</c:v>
                </c:pt>
                <c:pt idx="3102">
                  <c:v>599856072.58</c:v>
                </c:pt>
                <c:pt idx="3103">
                  <c:v>622846152.58</c:v>
                </c:pt>
                <c:pt idx="3104">
                  <c:v>693253272.58</c:v>
                </c:pt>
                <c:pt idx="3105">
                  <c:v>596982312.58</c:v>
                </c:pt>
                <c:pt idx="3106">
                  <c:v>601292952.58</c:v>
                </c:pt>
                <c:pt idx="3107">
                  <c:v>694690152.58</c:v>
                </c:pt>
                <c:pt idx="3108">
                  <c:v>648709992.58</c:v>
                </c:pt>
                <c:pt idx="3109">
                  <c:v>486832029.17</c:v>
                </c:pt>
                <c:pt idx="3110">
                  <c:v>489185714.82</c:v>
                </c:pt>
                <c:pt idx="3111">
                  <c:v>500265224.82</c:v>
                </c:pt>
                <c:pt idx="3112">
                  <c:v>572708174.82</c:v>
                </c:pt>
                <c:pt idx="3113">
                  <c:v>493447064.82</c:v>
                </c:pt>
                <c:pt idx="3114">
                  <c:v>504526574.82</c:v>
                </c:pt>
                <c:pt idx="3115">
                  <c:v>490037984.82</c:v>
                </c:pt>
                <c:pt idx="3116">
                  <c:v>462765344.82</c:v>
                </c:pt>
                <c:pt idx="3117">
                  <c:v>469583504.82</c:v>
                </c:pt>
                <c:pt idx="3118">
                  <c:v>385208774.82</c:v>
                </c:pt>
                <c:pt idx="3119">
                  <c:v>393731474.82</c:v>
                </c:pt>
                <c:pt idx="3120">
                  <c:v>397140554.82</c:v>
                </c:pt>
                <c:pt idx="3121">
                  <c:v>441458594.82</c:v>
                </c:pt>
                <c:pt idx="3122">
                  <c:v>445719944.82</c:v>
                </c:pt>
                <c:pt idx="3123">
                  <c:v>374129264.82</c:v>
                </c:pt>
                <c:pt idx="3124">
                  <c:v>405663254.82</c:v>
                </c:pt>
                <c:pt idx="3125">
                  <c:v>457651724.82</c:v>
                </c:pt>
                <c:pt idx="3126">
                  <c:v>442310864.82</c:v>
                </c:pt>
                <c:pt idx="3127">
                  <c:v>421856384.82</c:v>
                </c:pt>
                <c:pt idx="3128">
                  <c:v>463617614.82</c:v>
                </c:pt>
                <c:pt idx="3129">
                  <c:v>532651484.82</c:v>
                </c:pt>
                <c:pt idx="3130">
                  <c:v>472140314.82</c:v>
                </c:pt>
                <c:pt idx="3131">
                  <c:v>417595034.82</c:v>
                </c:pt>
                <c:pt idx="3132">
                  <c:v>431231354.82</c:v>
                </c:pt>
                <c:pt idx="3133">
                  <c:v>384356504.82</c:v>
                </c:pt>
                <c:pt idx="3134">
                  <c:v>392879204.82</c:v>
                </c:pt>
                <c:pt idx="3135">
                  <c:v>388617854.82</c:v>
                </c:pt>
                <c:pt idx="3136">
                  <c:v>392026934.82</c:v>
                </c:pt>
                <c:pt idx="3137">
                  <c:v>359640674.82</c:v>
                </c:pt>
                <c:pt idx="3138">
                  <c:v>401401904.82</c:v>
                </c:pt>
                <c:pt idx="3139">
                  <c:v>342595274.82</c:v>
                </c:pt>
                <c:pt idx="3140">
                  <c:v>351970244.82</c:v>
                </c:pt>
                <c:pt idx="3141">
                  <c:v>307071320.92</c:v>
                </c:pt>
                <c:pt idx="3142">
                  <c:v>307071320.92</c:v>
                </c:pt>
                <c:pt idx="3143">
                  <c:v>307071320.92</c:v>
                </c:pt>
                <c:pt idx="3144">
                  <c:v>307071320.92</c:v>
                </c:pt>
                <c:pt idx="3145">
                  <c:v>307071320.92</c:v>
                </c:pt>
                <c:pt idx="3146">
                  <c:v>307071320.92</c:v>
                </c:pt>
                <c:pt idx="3147">
                  <c:v>307071320.92</c:v>
                </c:pt>
                <c:pt idx="3148">
                  <c:v>307071320.92</c:v>
                </c:pt>
                <c:pt idx="3149">
                  <c:v>307071320.92</c:v>
                </c:pt>
                <c:pt idx="3150">
                  <c:v>307071320.92</c:v>
                </c:pt>
                <c:pt idx="3151">
                  <c:v>307071320.92</c:v>
                </c:pt>
                <c:pt idx="3152">
                  <c:v>307071320.92</c:v>
                </c:pt>
                <c:pt idx="3153">
                  <c:v>307071320.92</c:v>
                </c:pt>
                <c:pt idx="3154">
                  <c:v>307071320.92</c:v>
                </c:pt>
                <c:pt idx="3155">
                  <c:v>307071320.92</c:v>
                </c:pt>
                <c:pt idx="3156">
                  <c:v>307071320.92</c:v>
                </c:pt>
                <c:pt idx="3157">
                  <c:v>307071320.92</c:v>
                </c:pt>
                <c:pt idx="3158">
                  <c:v>307071320.92</c:v>
                </c:pt>
                <c:pt idx="3159">
                  <c:v>307071320.92</c:v>
                </c:pt>
                <c:pt idx="3160">
                  <c:v>307071320.92</c:v>
                </c:pt>
                <c:pt idx="3161">
                  <c:v>307071320.92</c:v>
                </c:pt>
                <c:pt idx="3162">
                  <c:v>307071320.92</c:v>
                </c:pt>
                <c:pt idx="3163">
                  <c:v>307071320.92</c:v>
                </c:pt>
                <c:pt idx="3164">
                  <c:v>307071320.92</c:v>
                </c:pt>
                <c:pt idx="3165">
                  <c:v>307071320.92</c:v>
                </c:pt>
                <c:pt idx="3166">
                  <c:v>307071320.92</c:v>
                </c:pt>
                <c:pt idx="3167">
                  <c:v>307071320.92</c:v>
                </c:pt>
                <c:pt idx="3168">
                  <c:v>307071320.92</c:v>
                </c:pt>
                <c:pt idx="3169">
                  <c:v>307071320.92</c:v>
                </c:pt>
                <c:pt idx="3170">
                  <c:v>307071320.92</c:v>
                </c:pt>
                <c:pt idx="3171">
                  <c:v>307071320.92</c:v>
                </c:pt>
                <c:pt idx="3172">
                  <c:v>307071320.92</c:v>
                </c:pt>
                <c:pt idx="3173">
                  <c:v>307071320.92</c:v>
                </c:pt>
                <c:pt idx="3174">
                  <c:v>307071320.92</c:v>
                </c:pt>
                <c:pt idx="3175">
                  <c:v>307071320.92</c:v>
                </c:pt>
                <c:pt idx="3176">
                  <c:v>307071320.92</c:v>
                </c:pt>
                <c:pt idx="3177">
                  <c:v>307071320.92</c:v>
                </c:pt>
                <c:pt idx="3178">
                  <c:v>307071320.92</c:v>
                </c:pt>
                <c:pt idx="3179">
                  <c:v>307071320.92</c:v>
                </c:pt>
                <c:pt idx="3180">
                  <c:v>307071320.92</c:v>
                </c:pt>
                <c:pt idx="3181">
                  <c:v>307071320.92</c:v>
                </c:pt>
                <c:pt idx="3182">
                  <c:v>307071320.92</c:v>
                </c:pt>
                <c:pt idx="3183">
                  <c:v>307071320.92</c:v>
                </c:pt>
                <c:pt idx="3184">
                  <c:v>307071320.92</c:v>
                </c:pt>
                <c:pt idx="3185">
                  <c:v>307071320.92</c:v>
                </c:pt>
                <c:pt idx="3186">
                  <c:v>307071320.92</c:v>
                </c:pt>
                <c:pt idx="3187">
                  <c:v>307071320.92</c:v>
                </c:pt>
                <c:pt idx="3188">
                  <c:v>307071320.92</c:v>
                </c:pt>
                <c:pt idx="3189">
                  <c:v>307071320.92</c:v>
                </c:pt>
                <c:pt idx="3190">
                  <c:v>307071320.92</c:v>
                </c:pt>
                <c:pt idx="3191">
                  <c:v>307071320.92</c:v>
                </c:pt>
                <c:pt idx="3192">
                  <c:v>307071320.92</c:v>
                </c:pt>
                <c:pt idx="3193">
                  <c:v>307071320.92</c:v>
                </c:pt>
                <c:pt idx="3194">
                  <c:v>307071320.92</c:v>
                </c:pt>
                <c:pt idx="3195">
                  <c:v>307071320.92</c:v>
                </c:pt>
                <c:pt idx="3196">
                  <c:v>307071320.92</c:v>
                </c:pt>
                <c:pt idx="3197">
                  <c:v>307071320.92</c:v>
                </c:pt>
                <c:pt idx="3198">
                  <c:v>307071320.92</c:v>
                </c:pt>
                <c:pt idx="3199">
                  <c:v>307071320.92</c:v>
                </c:pt>
                <c:pt idx="3200">
                  <c:v>307071320.92</c:v>
                </c:pt>
                <c:pt idx="3201">
                  <c:v>307071320.92</c:v>
                </c:pt>
                <c:pt idx="3202">
                  <c:v>307071320.92</c:v>
                </c:pt>
                <c:pt idx="3203">
                  <c:v>307071320.92</c:v>
                </c:pt>
                <c:pt idx="3204">
                  <c:v>307071320.92</c:v>
                </c:pt>
                <c:pt idx="3205">
                  <c:v>307071320.92</c:v>
                </c:pt>
                <c:pt idx="3206">
                  <c:v>307071320.92</c:v>
                </c:pt>
                <c:pt idx="3207">
                  <c:v>307071320.92</c:v>
                </c:pt>
                <c:pt idx="3208">
                  <c:v>307071320.92</c:v>
                </c:pt>
                <c:pt idx="3209">
                  <c:v>307071320.92</c:v>
                </c:pt>
                <c:pt idx="3210">
                  <c:v>307071320.92</c:v>
                </c:pt>
                <c:pt idx="3211">
                  <c:v>307071320.92</c:v>
                </c:pt>
                <c:pt idx="3212">
                  <c:v>307071320.92</c:v>
                </c:pt>
                <c:pt idx="3213">
                  <c:v>307071320.92</c:v>
                </c:pt>
                <c:pt idx="3214">
                  <c:v>307071320.92</c:v>
                </c:pt>
                <c:pt idx="3215">
                  <c:v>307071320.92</c:v>
                </c:pt>
                <c:pt idx="3216">
                  <c:v>307071320.92</c:v>
                </c:pt>
                <c:pt idx="3217">
                  <c:v>307071320.92</c:v>
                </c:pt>
                <c:pt idx="3218">
                  <c:v>307071320.92</c:v>
                </c:pt>
                <c:pt idx="3219">
                  <c:v>307071320.92</c:v>
                </c:pt>
                <c:pt idx="3220">
                  <c:v>307071320.92</c:v>
                </c:pt>
                <c:pt idx="3221">
                  <c:v>307071320.92</c:v>
                </c:pt>
                <c:pt idx="3222">
                  <c:v>307071320.92</c:v>
                </c:pt>
                <c:pt idx="3223">
                  <c:v>307071320.92</c:v>
                </c:pt>
                <c:pt idx="3224">
                  <c:v>307071320.92</c:v>
                </c:pt>
                <c:pt idx="3225">
                  <c:v>307071320.92</c:v>
                </c:pt>
                <c:pt idx="3226">
                  <c:v>307071320.92</c:v>
                </c:pt>
                <c:pt idx="3227">
                  <c:v>307071320.92</c:v>
                </c:pt>
                <c:pt idx="3228">
                  <c:v>307071320.92</c:v>
                </c:pt>
                <c:pt idx="3229">
                  <c:v>307071320.92</c:v>
                </c:pt>
                <c:pt idx="3230">
                  <c:v>307071320.92</c:v>
                </c:pt>
                <c:pt idx="3231">
                  <c:v>325988473.06</c:v>
                </c:pt>
                <c:pt idx="3232">
                  <c:v>303524833.06</c:v>
                </c:pt>
                <c:pt idx="3233">
                  <c:v>288874633.06</c:v>
                </c:pt>
                <c:pt idx="3234">
                  <c:v>297176413.06</c:v>
                </c:pt>
                <c:pt idx="3235">
                  <c:v>298153093.06</c:v>
                </c:pt>
                <c:pt idx="3236">
                  <c:v>284479573.06</c:v>
                </c:pt>
                <c:pt idx="3237">
                  <c:v>280084513.06</c:v>
                </c:pt>
                <c:pt idx="3238">
                  <c:v>289362973.06</c:v>
                </c:pt>
                <c:pt idx="3239">
                  <c:v>277642813.06</c:v>
                </c:pt>
                <c:pt idx="3240">
                  <c:v>284479573.06</c:v>
                </c:pt>
                <c:pt idx="3241">
                  <c:v>288874633.06</c:v>
                </c:pt>
                <c:pt idx="3242">
                  <c:v>321593413.06</c:v>
                </c:pt>
                <c:pt idx="3243">
                  <c:v>318663373.06</c:v>
                </c:pt>
                <c:pt idx="3244">
                  <c:v>339173653.06</c:v>
                </c:pt>
                <c:pt idx="3245">
                  <c:v>391914373.06</c:v>
                </c:pt>
                <c:pt idx="3246">
                  <c:v>383612593.06</c:v>
                </c:pt>
                <c:pt idx="3247">
                  <c:v>365055673.06</c:v>
                </c:pt>
                <c:pt idx="3248">
                  <c:v>330871873.06</c:v>
                </c:pt>
                <c:pt idx="3249">
                  <c:v>312314953.06</c:v>
                </c:pt>
                <c:pt idx="3250">
                  <c:v>280084513.06</c:v>
                </c:pt>
                <c:pt idx="3251">
                  <c:v>287897953.06</c:v>
                </c:pt>
                <c:pt idx="3252">
                  <c:v>232545117.52</c:v>
                </c:pt>
                <c:pt idx="3253">
                  <c:v>232545117.52</c:v>
                </c:pt>
                <c:pt idx="3254">
                  <c:v>232545117.52</c:v>
                </c:pt>
                <c:pt idx="3255">
                  <c:v>232545117.52</c:v>
                </c:pt>
                <c:pt idx="3256">
                  <c:v>232545117.52</c:v>
                </c:pt>
                <c:pt idx="3257">
                  <c:v>232545117.52</c:v>
                </c:pt>
                <c:pt idx="3258">
                  <c:v>232545117.52</c:v>
                </c:pt>
                <c:pt idx="3259">
                  <c:v>232545117.52</c:v>
                </c:pt>
                <c:pt idx="3260">
                  <c:v>232545117.52</c:v>
                </c:pt>
                <c:pt idx="3261">
                  <c:v>232545117.52</c:v>
                </c:pt>
                <c:pt idx="3262">
                  <c:v>232545117.52</c:v>
                </c:pt>
                <c:pt idx="3263">
                  <c:v>232545117.52</c:v>
                </c:pt>
                <c:pt idx="3264">
                  <c:v>232545117.52</c:v>
                </c:pt>
                <c:pt idx="3265">
                  <c:v>232545117.52</c:v>
                </c:pt>
                <c:pt idx="3266">
                  <c:v>232545117.52</c:v>
                </c:pt>
                <c:pt idx="3267">
                  <c:v>232545117.52</c:v>
                </c:pt>
                <c:pt idx="3268">
                  <c:v>232545117.52</c:v>
                </c:pt>
                <c:pt idx="3269">
                  <c:v>232545117.52</c:v>
                </c:pt>
                <c:pt idx="3270">
                  <c:v>232545117.52</c:v>
                </c:pt>
                <c:pt idx="3271">
                  <c:v>232545117.52</c:v>
                </c:pt>
                <c:pt idx="3272">
                  <c:v>232545117.52</c:v>
                </c:pt>
                <c:pt idx="3273">
                  <c:v>232545117.52</c:v>
                </c:pt>
                <c:pt idx="3274">
                  <c:v>232545117.52</c:v>
                </c:pt>
                <c:pt idx="3275">
                  <c:v>232545117.52</c:v>
                </c:pt>
                <c:pt idx="3276">
                  <c:v>232545117.52</c:v>
                </c:pt>
                <c:pt idx="3277">
                  <c:v>232545117.52</c:v>
                </c:pt>
                <c:pt idx="3278">
                  <c:v>232545117.52</c:v>
                </c:pt>
                <c:pt idx="3279">
                  <c:v>232545117.52</c:v>
                </c:pt>
                <c:pt idx="3280">
                  <c:v>232545117.52</c:v>
                </c:pt>
                <c:pt idx="3281">
                  <c:v>232545117.52</c:v>
                </c:pt>
                <c:pt idx="3282">
                  <c:v>232545117.52</c:v>
                </c:pt>
                <c:pt idx="3283">
                  <c:v>232545117.52</c:v>
                </c:pt>
                <c:pt idx="3284">
                  <c:v>232545117.52</c:v>
                </c:pt>
                <c:pt idx="3285">
                  <c:v>232545117.52</c:v>
                </c:pt>
                <c:pt idx="3286">
                  <c:v>232545117.52</c:v>
                </c:pt>
                <c:pt idx="3287">
                  <c:v>232545117.52</c:v>
                </c:pt>
                <c:pt idx="3288">
                  <c:v>232545117.52</c:v>
                </c:pt>
                <c:pt idx="3289">
                  <c:v>232545117.52</c:v>
                </c:pt>
                <c:pt idx="3290">
                  <c:v>232545117.52</c:v>
                </c:pt>
                <c:pt idx="3291">
                  <c:v>232545117.52</c:v>
                </c:pt>
                <c:pt idx="3292">
                  <c:v>232545117.52</c:v>
                </c:pt>
                <c:pt idx="3293">
                  <c:v>232545117.52</c:v>
                </c:pt>
                <c:pt idx="3294">
                  <c:v>243008119.52</c:v>
                </c:pt>
                <c:pt idx="3295">
                  <c:v>291188119.52</c:v>
                </c:pt>
                <c:pt idx="3296">
                  <c:v>287888119.52</c:v>
                </c:pt>
                <c:pt idx="3297">
                  <c:v>284588119.52</c:v>
                </c:pt>
                <c:pt idx="3298">
                  <c:v>300098119.52</c:v>
                </c:pt>
                <c:pt idx="3299">
                  <c:v>271718119.52</c:v>
                </c:pt>
                <c:pt idx="3300">
                  <c:v>287558119.52</c:v>
                </c:pt>
                <c:pt idx="3301">
                  <c:v>281948119.52</c:v>
                </c:pt>
                <c:pt idx="3302">
                  <c:v>275348119.52</c:v>
                </c:pt>
                <c:pt idx="3303">
                  <c:v>274925378.52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758698"/>
        <c:axId val="80060578"/>
      </c:lineChart>
      <c:catAx>
        <c:axId val="98758698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60578"/>
        <c:crosses val="autoZero"/>
        <c:auto val="1"/>
        <c:lblAlgn val="ctr"/>
        <c:lblOffset val="100"/>
        <c:noMultiLvlLbl val="0"/>
      </c:catAx>
      <c:valAx>
        <c:axId val="800605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58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回撤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资金曲线!E1</c:f>
              <c:strCache>
                <c:ptCount val="1"/>
                <c:pt idx="0">
                  <c:v>回撤</c:v>
                </c:pt>
              </c:strCache>
            </c:strRef>
          </c:tx>
          <c:spPr>
            <a:solidFill>
              <a:srgbClr val="e34948"/>
            </a:solidFill>
            <a:ln w="11880">
              <a:solidFill>
                <a:srgbClr val="e349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资金曲线!$A$2:$A$3305</c:f>
              <c:strCache>
                <c:ptCount val="3304"/>
                <c:pt idx="0">
                  <c:v>2013-03-22</c:v>
                </c:pt>
                <c:pt idx="1">
                  <c:v>2013-03-25</c:v>
                </c:pt>
                <c:pt idx="2">
                  <c:v>2013-03-26</c:v>
                </c:pt>
                <c:pt idx="3">
                  <c:v>2013-03-27</c:v>
                </c:pt>
                <c:pt idx="4">
                  <c:v>2013-03-28</c:v>
                </c:pt>
                <c:pt idx="5">
                  <c:v>2013-03-29</c:v>
                </c:pt>
                <c:pt idx="6">
                  <c:v>2013-04-01</c:v>
                </c:pt>
                <c:pt idx="7">
                  <c:v>2013-04-02</c:v>
                </c:pt>
                <c:pt idx="8">
                  <c:v>2013-04-03</c:v>
                </c:pt>
                <c:pt idx="9">
                  <c:v>2013-04-08</c:v>
                </c:pt>
                <c:pt idx="10">
                  <c:v>2013-04-09</c:v>
                </c:pt>
                <c:pt idx="11">
                  <c:v>2013-04-10</c:v>
                </c:pt>
                <c:pt idx="12">
                  <c:v>2013-04-11</c:v>
                </c:pt>
                <c:pt idx="13">
                  <c:v>2013-04-12</c:v>
                </c:pt>
                <c:pt idx="14">
                  <c:v>2013-04-15</c:v>
                </c:pt>
                <c:pt idx="15">
                  <c:v>2013-04-16</c:v>
                </c:pt>
                <c:pt idx="16">
                  <c:v>2013-04-17</c:v>
                </c:pt>
                <c:pt idx="17">
                  <c:v>2013-04-18</c:v>
                </c:pt>
                <c:pt idx="18">
                  <c:v>2013-04-19</c:v>
                </c:pt>
                <c:pt idx="19">
                  <c:v>2013-04-22</c:v>
                </c:pt>
                <c:pt idx="20">
                  <c:v>2013-04-23</c:v>
                </c:pt>
                <c:pt idx="21">
                  <c:v>2013-04-24</c:v>
                </c:pt>
                <c:pt idx="22">
                  <c:v>2013-04-25</c:v>
                </c:pt>
                <c:pt idx="23">
                  <c:v>2013-04-26</c:v>
                </c:pt>
                <c:pt idx="24">
                  <c:v>2013-05-02</c:v>
                </c:pt>
                <c:pt idx="25">
                  <c:v>2013-05-03</c:v>
                </c:pt>
                <c:pt idx="26">
                  <c:v>2013-05-06</c:v>
                </c:pt>
                <c:pt idx="27">
                  <c:v>2013-05-07</c:v>
                </c:pt>
                <c:pt idx="28">
                  <c:v>2013-05-08</c:v>
                </c:pt>
                <c:pt idx="29">
                  <c:v>2013-05-09</c:v>
                </c:pt>
                <c:pt idx="30">
                  <c:v>2013-05-10</c:v>
                </c:pt>
                <c:pt idx="31">
                  <c:v>2013-05-13</c:v>
                </c:pt>
                <c:pt idx="32">
                  <c:v>2013-05-14</c:v>
                </c:pt>
                <c:pt idx="33">
                  <c:v>2013-05-15</c:v>
                </c:pt>
                <c:pt idx="34">
                  <c:v>2013-05-16</c:v>
                </c:pt>
                <c:pt idx="35">
                  <c:v>2013-05-17</c:v>
                </c:pt>
                <c:pt idx="36">
                  <c:v>2013-05-20</c:v>
                </c:pt>
                <c:pt idx="37">
                  <c:v>2013-05-21</c:v>
                </c:pt>
                <c:pt idx="38">
                  <c:v>2013-05-22</c:v>
                </c:pt>
                <c:pt idx="39">
                  <c:v>2013-05-23</c:v>
                </c:pt>
                <c:pt idx="40">
                  <c:v>2013-05-24</c:v>
                </c:pt>
                <c:pt idx="41">
                  <c:v>2013-05-27</c:v>
                </c:pt>
                <c:pt idx="42">
                  <c:v>2013-05-28</c:v>
                </c:pt>
                <c:pt idx="43">
                  <c:v>2013-05-29</c:v>
                </c:pt>
                <c:pt idx="44">
                  <c:v>2013-05-30</c:v>
                </c:pt>
                <c:pt idx="45">
                  <c:v>2013-05-31</c:v>
                </c:pt>
                <c:pt idx="46">
                  <c:v>2013-06-03</c:v>
                </c:pt>
                <c:pt idx="47">
                  <c:v>2013-06-04</c:v>
                </c:pt>
                <c:pt idx="48">
                  <c:v>2013-06-05</c:v>
                </c:pt>
                <c:pt idx="49">
                  <c:v>2013-06-06</c:v>
                </c:pt>
                <c:pt idx="50">
                  <c:v>2013-06-07</c:v>
                </c:pt>
                <c:pt idx="51">
                  <c:v>2013-06-13</c:v>
                </c:pt>
                <c:pt idx="52">
                  <c:v>2013-06-14</c:v>
                </c:pt>
                <c:pt idx="53">
                  <c:v>2013-06-17</c:v>
                </c:pt>
                <c:pt idx="54">
                  <c:v>2013-06-18</c:v>
                </c:pt>
                <c:pt idx="55">
                  <c:v>2013-06-19</c:v>
                </c:pt>
                <c:pt idx="56">
                  <c:v>2013-06-20</c:v>
                </c:pt>
                <c:pt idx="57">
                  <c:v>2013-06-21</c:v>
                </c:pt>
                <c:pt idx="58">
                  <c:v>2013-06-24</c:v>
                </c:pt>
                <c:pt idx="59">
                  <c:v>2013-06-25</c:v>
                </c:pt>
                <c:pt idx="60">
                  <c:v>2013-06-26</c:v>
                </c:pt>
                <c:pt idx="61">
                  <c:v>2013-06-27</c:v>
                </c:pt>
                <c:pt idx="62">
                  <c:v>2013-06-28</c:v>
                </c:pt>
                <c:pt idx="63">
                  <c:v>2013-07-01</c:v>
                </c:pt>
                <c:pt idx="64">
                  <c:v>2013-07-02</c:v>
                </c:pt>
                <c:pt idx="65">
                  <c:v>2013-07-03</c:v>
                </c:pt>
                <c:pt idx="66">
                  <c:v>2013-07-04</c:v>
                </c:pt>
                <c:pt idx="67">
                  <c:v>2013-07-05</c:v>
                </c:pt>
                <c:pt idx="68">
                  <c:v>2013-07-08</c:v>
                </c:pt>
                <c:pt idx="69">
                  <c:v>2013-07-09</c:v>
                </c:pt>
                <c:pt idx="70">
                  <c:v>2013-07-10</c:v>
                </c:pt>
                <c:pt idx="71">
                  <c:v>2013-07-11</c:v>
                </c:pt>
                <c:pt idx="72">
                  <c:v>2013-07-12</c:v>
                </c:pt>
                <c:pt idx="73">
                  <c:v>2013-07-15</c:v>
                </c:pt>
                <c:pt idx="74">
                  <c:v>2013-07-16</c:v>
                </c:pt>
                <c:pt idx="75">
                  <c:v>2013-07-17</c:v>
                </c:pt>
                <c:pt idx="76">
                  <c:v>2013-07-18</c:v>
                </c:pt>
                <c:pt idx="77">
                  <c:v>2013-07-19</c:v>
                </c:pt>
                <c:pt idx="78">
                  <c:v>2013-07-22</c:v>
                </c:pt>
                <c:pt idx="79">
                  <c:v>2013-07-23</c:v>
                </c:pt>
                <c:pt idx="80">
                  <c:v>2013-07-24</c:v>
                </c:pt>
                <c:pt idx="81">
                  <c:v>2013-07-25</c:v>
                </c:pt>
                <c:pt idx="82">
                  <c:v>2013-07-26</c:v>
                </c:pt>
                <c:pt idx="83">
                  <c:v>2013-07-29</c:v>
                </c:pt>
                <c:pt idx="84">
                  <c:v>2013-07-30</c:v>
                </c:pt>
                <c:pt idx="85">
                  <c:v>2013-07-31</c:v>
                </c:pt>
                <c:pt idx="86">
                  <c:v>2013-08-01</c:v>
                </c:pt>
                <c:pt idx="87">
                  <c:v>2013-08-02</c:v>
                </c:pt>
                <c:pt idx="88">
                  <c:v>2013-08-05</c:v>
                </c:pt>
                <c:pt idx="89">
                  <c:v>2013-08-06</c:v>
                </c:pt>
                <c:pt idx="90">
                  <c:v>2013-08-07</c:v>
                </c:pt>
                <c:pt idx="91">
                  <c:v>2013-08-08</c:v>
                </c:pt>
                <c:pt idx="92">
                  <c:v>2013-08-09</c:v>
                </c:pt>
                <c:pt idx="93">
                  <c:v>2013-08-12</c:v>
                </c:pt>
                <c:pt idx="94">
                  <c:v>2013-08-13</c:v>
                </c:pt>
                <c:pt idx="95">
                  <c:v>2013-08-14</c:v>
                </c:pt>
                <c:pt idx="96">
                  <c:v>2013-08-15</c:v>
                </c:pt>
                <c:pt idx="97">
                  <c:v>2013-08-16</c:v>
                </c:pt>
                <c:pt idx="98">
                  <c:v>2013-08-19</c:v>
                </c:pt>
                <c:pt idx="99">
                  <c:v>2013-08-20</c:v>
                </c:pt>
                <c:pt idx="100">
                  <c:v>2013-08-21</c:v>
                </c:pt>
                <c:pt idx="101">
                  <c:v>2013-08-22</c:v>
                </c:pt>
                <c:pt idx="102">
                  <c:v>2013-08-23</c:v>
                </c:pt>
                <c:pt idx="103">
                  <c:v>2013-08-26</c:v>
                </c:pt>
                <c:pt idx="104">
                  <c:v>2013-08-27</c:v>
                </c:pt>
                <c:pt idx="105">
                  <c:v>2013-08-28</c:v>
                </c:pt>
                <c:pt idx="106">
                  <c:v>2013-08-29</c:v>
                </c:pt>
                <c:pt idx="107">
                  <c:v>2013-08-30</c:v>
                </c:pt>
                <c:pt idx="108">
                  <c:v>2013-09-02</c:v>
                </c:pt>
                <c:pt idx="109">
                  <c:v>2013-09-03</c:v>
                </c:pt>
                <c:pt idx="110">
                  <c:v>2013-09-04</c:v>
                </c:pt>
                <c:pt idx="111">
                  <c:v>2013-09-05</c:v>
                </c:pt>
                <c:pt idx="112">
                  <c:v>2013-09-06</c:v>
                </c:pt>
                <c:pt idx="113">
                  <c:v>2013-09-09</c:v>
                </c:pt>
                <c:pt idx="114">
                  <c:v>2013-09-10</c:v>
                </c:pt>
                <c:pt idx="115">
                  <c:v>2013-09-11</c:v>
                </c:pt>
                <c:pt idx="116">
                  <c:v>2013-09-12</c:v>
                </c:pt>
                <c:pt idx="117">
                  <c:v>2013-09-13</c:v>
                </c:pt>
                <c:pt idx="118">
                  <c:v>2013-09-16</c:v>
                </c:pt>
                <c:pt idx="119">
                  <c:v>2013-09-17</c:v>
                </c:pt>
                <c:pt idx="120">
                  <c:v>2013-09-18</c:v>
                </c:pt>
                <c:pt idx="121">
                  <c:v>2013-09-23</c:v>
                </c:pt>
                <c:pt idx="122">
                  <c:v>2013-09-24</c:v>
                </c:pt>
                <c:pt idx="123">
                  <c:v>2013-09-25</c:v>
                </c:pt>
                <c:pt idx="124">
                  <c:v>2013-09-26</c:v>
                </c:pt>
                <c:pt idx="125">
                  <c:v>2013-09-27</c:v>
                </c:pt>
                <c:pt idx="126">
                  <c:v>2013-09-30</c:v>
                </c:pt>
                <c:pt idx="127">
                  <c:v>2013-10-08</c:v>
                </c:pt>
                <c:pt idx="128">
                  <c:v>2013-10-09</c:v>
                </c:pt>
                <c:pt idx="129">
                  <c:v>2013-10-10</c:v>
                </c:pt>
                <c:pt idx="130">
                  <c:v>2013-10-11</c:v>
                </c:pt>
                <c:pt idx="131">
                  <c:v>2013-10-14</c:v>
                </c:pt>
                <c:pt idx="132">
                  <c:v>2013-10-15</c:v>
                </c:pt>
                <c:pt idx="133">
                  <c:v>2013-10-16</c:v>
                </c:pt>
                <c:pt idx="134">
                  <c:v>2013-10-17</c:v>
                </c:pt>
                <c:pt idx="135">
                  <c:v>2013-10-18</c:v>
                </c:pt>
                <c:pt idx="136">
                  <c:v>2013-10-21</c:v>
                </c:pt>
                <c:pt idx="137">
                  <c:v>2013-10-22</c:v>
                </c:pt>
                <c:pt idx="138">
                  <c:v>2013-10-23</c:v>
                </c:pt>
                <c:pt idx="139">
                  <c:v>2013-10-24</c:v>
                </c:pt>
                <c:pt idx="140">
                  <c:v>2013-10-25</c:v>
                </c:pt>
                <c:pt idx="141">
                  <c:v>2013-10-28</c:v>
                </c:pt>
                <c:pt idx="142">
                  <c:v>2013-10-29</c:v>
                </c:pt>
                <c:pt idx="143">
                  <c:v>2013-10-30</c:v>
                </c:pt>
                <c:pt idx="144">
                  <c:v>2013-10-31</c:v>
                </c:pt>
                <c:pt idx="145">
                  <c:v>2013-11-01</c:v>
                </c:pt>
                <c:pt idx="146">
                  <c:v>2013-11-04</c:v>
                </c:pt>
                <c:pt idx="147">
                  <c:v>2013-11-05</c:v>
                </c:pt>
                <c:pt idx="148">
                  <c:v>2013-11-06</c:v>
                </c:pt>
                <c:pt idx="149">
                  <c:v>2013-11-07</c:v>
                </c:pt>
                <c:pt idx="150">
                  <c:v>2013-11-08</c:v>
                </c:pt>
                <c:pt idx="151">
                  <c:v>2013-11-11</c:v>
                </c:pt>
                <c:pt idx="152">
                  <c:v>2013-11-12</c:v>
                </c:pt>
                <c:pt idx="153">
                  <c:v>2013-11-13</c:v>
                </c:pt>
                <c:pt idx="154">
                  <c:v>2013-11-14</c:v>
                </c:pt>
                <c:pt idx="155">
                  <c:v>2013-11-15</c:v>
                </c:pt>
                <c:pt idx="156">
                  <c:v>2013-11-18</c:v>
                </c:pt>
                <c:pt idx="157">
                  <c:v>2013-11-19</c:v>
                </c:pt>
                <c:pt idx="158">
                  <c:v>2013-11-20</c:v>
                </c:pt>
                <c:pt idx="159">
                  <c:v>2013-11-21</c:v>
                </c:pt>
                <c:pt idx="160">
                  <c:v>2013-11-22</c:v>
                </c:pt>
                <c:pt idx="161">
                  <c:v>2013-11-25</c:v>
                </c:pt>
                <c:pt idx="162">
                  <c:v>2013-11-26</c:v>
                </c:pt>
                <c:pt idx="163">
                  <c:v>2013-11-27</c:v>
                </c:pt>
                <c:pt idx="164">
                  <c:v>2013-11-28</c:v>
                </c:pt>
                <c:pt idx="165">
                  <c:v>2013-11-29</c:v>
                </c:pt>
                <c:pt idx="166">
                  <c:v>2013-12-02</c:v>
                </c:pt>
                <c:pt idx="167">
                  <c:v>2013-12-03</c:v>
                </c:pt>
                <c:pt idx="168">
                  <c:v>2013-12-04</c:v>
                </c:pt>
                <c:pt idx="169">
                  <c:v>2013-12-05</c:v>
                </c:pt>
                <c:pt idx="170">
                  <c:v>2013-12-06</c:v>
                </c:pt>
                <c:pt idx="171">
                  <c:v>2013-12-09</c:v>
                </c:pt>
                <c:pt idx="172">
                  <c:v>2013-12-10</c:v>
                </c:pt>
                <c:pt idx="173">
                  <c:v>2013-12-11</c:v>
                </c:pt>
                <c:pt idx="174">
                  <c:v>2013-12-12</c:v>
                </c:pt>
                <c:pt idx="175">
                  <c:v>2013-12-13</c:v>
                </c:pt>
                <c:pt idx="176">
                  <c:v>2013-12-16</c:v>
                </c:pt>
                <c:pt idx="177">
                  <c:v>2013-12-17</c:v>
                </c:pt>
                <c:pt idx="178">
                  <c:v>2013-12-18</c:v>
                </c:pt>
                <c:pt idx="179">
                  <c:v>2013-12-19</c:v>
                </c:pt>
                <c:pt idx="180">
                  <c:v>2013-12-20</c:v>
                </c:pt>
                <c:pt idx="181">
                  <c:v>2013-12-23</c:v>
                </c:pt>
                <c:pt idx="182">
                  <c:v>2013-12-24</c:v>
                </c:pt>
                <c:pt idx="183">
                  <c:v>2013-12-25</c:v>
                </c:pt>
                <c:pt idx="184">
                  <c:v>2013-12-26</c:v>
                </c:pt>
                <c:pt idx="185">
                  <c:v>2013-12-27</c:v>
                </c:pt>
                <c:pt idx="186">
                  <c:v>2013-12-30</c:v>
                </c:pt>
                <c:pt idx="187">
                  <c:v>2013-12-31</c:v>
                </c:pt>
                <c:pt idx="188">
                  <c:v>2014-01-02</c:v>
                </c:pt>
                <c:pt idx="189">
                  <c:v>2014-01-03</c:v>
                </c:pt>
                <c:pt idx="190">
                  <c:v>2014-01-06</c:v>
                </c:pt>
                <c:pt idx="191">
                  <c:v>2014-01-07</c:v>
                </c:pt>
                <c:pt idx="192">
                  <c:v>2014-01-08</c:v>
                </c:pt>
                <c:pt idx="193">
                  <c:v>2014-01-09</c:v>
                </c:pt>
                <c:pt idx="194">
                  <c:v>2014-01-10</c:v>
                </c:pt>
                <c:pt idx="195">
                  <c:v>2014-01-13</c:v>
                </c:pt>
                <c:pt idx="196">
                  <c:v>2014-01-14</c:v>
                </c:pt>
                <c:pt idx="197">
                  <c:v>2014-01-15</c:v>
                </c:pt>
                <c:pt idx="198">
                  <c:v>2014-01-16</c:v>
                </c:pt>
                <c:pt idx="199">
                  <c:v>2014-01-17</c:v>
                </c:pt>
                <c:pt idx="200">
                  <c:v>2014-01-20</c:v>
                </c:pt>
                <c:pt idx="201">
                  <c:v>2014-01-21</c:v>
                </c:pt>
                <c:pt idx="202">
                  <c:v>2014-01-22</c:v>
                </c:pt>
                <c:pt idx="203">
                  <c:v>2014-01-23</c:v>
                </c:pt>
                <c:pt idx="204">
                  <c:v>2014-01-24</c:v>
                </c:pt>
                <c:pt idx="205">
                  <c:v>2014-01-27</c:v>
                </c:pt>
                <c:pt idx="206">
                  <c:v>2014-01-28</c:v>
                </c:pt>
                <c:pt idx="207">
                  <c:v>2014-01-29</c:v>
                </c:pt>
                <c:pt idx="208">
                  <c:v>2014-01-30</c:v>
                </c:pt>
                <c:pt idx="209">
                  <c:v>2014-02-07</c:v>
                </c:pt>
                <c:pt idx="210">
                  <c:v>2014-02-10</c:v>
                </c:pt>
                <c:pt idx="211">
                  <c:v>2014-02-11</c:v>
                </c:pt>
                <c:pt idx="212">
                  <c:v>2014-02-12</c:v>
                </c:pt>
                <c:pt idx="213">
                  <c:v>2014-02-13</c:v>
                </c:pt>
                <c:pt idx="214">
                  <c:v>2014-02-14</c:v>
                </c:pt>
                <c:pt idx="215">
                  <c:v>2014-02-17</c:v>
                </c:pt>
                <c:pt idx="216">
                  <c:v>2014-02-18</c:v>
                </c:pt>
                <c:pt idx="217">
                  <c:v>2014-02-19</c:v>
                </c:pt>
                <c:pt idx="218">
                  <c:v>2014-02-20</c:v>
                </c:pt>
                <c:pt idx="219">
                  <c:v>2014-02-21</c:v>
                </c:pt>
                <c:pt idx="220">
                  <c:v>2014-02-24</c:v>
                </c:pt>
                <c:pt idx="221">
                  <c:v>2014-02-25</c:v>
                </c:pt>
                <c:pt idx="222">
                  <c:v>2014-02-26</c:v>
                </c:pt>
                <c:pt idx="223">
                  <c:v>2014-02-27</c:v>
                </c:pt>
                <c:pt idx="224">
                  <c:v>2014-02-28</c:v>
                </c:pt>
                <c:pt idx="225">
                  <c:v>2014-03-03</c:v>
                </c:pt>
                <c:pt idx="226">
                  <c:v>2014-03-04</c:v>
                </c:pt>
                <c:pt idx="227">
                  <c:v>2014-03-05</c:v>
                </c:pt>
                <c:pt idx="228">
                  <c:v>2014-03-06</c:v>
                </c:pt>
                <c:pt idx="229">
                  <c:v>2014-03-07</c:v>
                </c:pt>
                <c:pt idx="230">
                  <c:v>2014-03-10</c:v>
                </c:pt>
                <c:pt idx="231">
                  <c:v>2014-03-11</c:v>
                </c:pt>
                <c:pt idx="232">
                  <c:v>2014-03-12</c:v>
                </c:pt>
                <c:pt idx="233">
                  <c:v>2014-03-13</c:v>
                </c:pt>
                <c:pt idx="234">
                  <c:v>2014-03-14</c:v>
                </c:pt>
                <c:pt idx="235">
                  <c:v>2014-03-17</c:v>
                </c:pt>
                <c:pt idx="236">
                  <c:v>2014-03-18</c:v>
                </c:pt>
                <c:pt idx="237">
                  <c:v>2014-03-19</c:v>
                </c:pt>
                <c:pt idx="238">
                  <c:v>2014-03-20</c:v>
                </c:pt>
                <c:pt idx="239">
                  <c:v>2014-03-21</c:v>
                </c:pt>
                <c:pt idx="240">
                  <c:v>2014-03-24</c:v>
                </c:pt>
                <c:pt idx="241">
                  <c:v>2014-03-25</c:v>
                </c:pt>
                <c:pt idx="242">
                  <c:v>2014-03-26</c:v>
                </c:pt>
                <c:pt idx="243">
                  <c:v>2014-03-27</c:v>
                </c:pt>
                <c:pt idx="244">
                  <c:v>2014-03-28</c:v>
                </c:pt>
                <c:pt idx="245">
                  <c:v>2014-03-31</c:v>
                </c:pt>
                <c:pt idx="246">
                  <c:v>2014-04-01</c:v>
                </c:pt>
                <c:pt idx="247">
                  <c:v>2014-04-02</c:v>
                </c:pt>
                <c:pt idx="248">
                  <c:v>2014-04-03</c:v>
                </c:pt>
                <c:pt idx="249">
                  <c:v>2014-04-04</c:v>
                </c:pt>
                <c:pt idx="250">
                  <c:v>2014-04-08</c:v>
                </c:pt>
                <c:pt idx="251">
                  <c:v>2014-04-09</c:v>
                </c:pt>
                <c:pt idx="252">
                  <c:v>2014-04-10</c:v>
                </c:pt>
                <c:pt idx="253">
                  <c:v>2014-04-11</c:v>
                </c:pt>
                <c:pt idx="254">
                  <c:v>2014-04-14</c:v>
                </c:pt>
                <c:pt idx="255">
                  <c:v>2014-04-15</c:v>
                </c:pt>
                <c:pt idx="256">
                  <c:v>2014-04-16</c:v>
                </c:pt>
                <c:pt idx="257">
                  <c:v>2014-04-17</c:v>
                </c:pt>
                <c:pt idx="258">
                  <c:v>2014-04-18</c:v>
                </c:pt>
                <c:pt idx="259">
                  <c:v>2014-04-21</c:v>
                </c:pt>
                <c:pt idx="260">
                  <c:v>2014-04-22</c:v>
                </c:pt>
                <c:pt idx="261">
                  <c:v>2014-04-23</c:v>
                </c:pt>
                <c:pt idx="262">
                  <c:v>2014-04-24</c:v>
                </c:pt>
                <c:pt idx="263">
                  <c:v>2014-04-25</c:v>
                </c:pt>
                <c:pt idx="264">
                  <c:v>2014-04-28</c:v>
                </c:pt>
                <c:pt idx="265">
                  <c:v>2014-04-29</c:v>
                </c:pt>
                <c:pt idx="266">
                  <c:v>2014-04-30</c:v>
                </c:pt>
                <c:pt idx="267">
                  <c:v>2014-05-05</c:v>
                </c:pt>
                <c:pt idx="268">
                  <c:v>2014-05-06</c:v>
                </c:pt>
                <c:pt idx="269">
                  <c:v>2014-05-07</c:v>
                </c:pt>
                <c:pt idx="270">
                  <c:v>2014-05-08</c:v>
                </c:pt>
                <c:pt idx="271">
                  <c:v>2014-05-09</c:v>
                </c:pt>
                <c:pt idx="272">
                  <c:v>2014-05-12</c:v>
                </c:pt>
                <c:pt idx="273">
                  <c:v>2014-05-13</c:v>
                </c:pt>
                <c:pt idx="274">
                  <c:v>2014-05-14</c:v>
                </c:pt>
                <c:pt idx="275">
                  <c:v>2014-05-15</c:v>
                </c:pt>
                <c:pt idx="276">
                  <c:v>2014-05-16</c:v>
                </c:pt>
                <c:pt idx="277">
                  <c:v>2014-05-19</c:v>
                </c:pt>
                <c:pt idx="278">
                  <c:v>2014-05-20</c:v>
                </c:pt>
                <c:pt idx="279">
                  <c:v>2014-05-21</c:v>
                </c:pt>
                <c:pt idx="280">
                  <c:v>2014-05-22</c:v>
                </c:pt>
                <c:pt idx="281">
                  <c:v>2014-05-23</c:v>
                </c:pt>
                <c:pt idx="282">
                  <c:v>2014-05-26</c:v>
                </c:pt>
                <c:pt idx="283">
                  <c:v>2014-05-27</c:v>
                </c:pt>
                <c:pt idx="284">
                  <c:v>2014-05-28</c:v>
                </c:pt>
                <c:pt idx="285">
                  <c:v>2014-05-29</c:v>
                </c:pt>
                <c:pt idx="286">
                  <c:v>2014-05-30</c:v>
                </c:pt>
                <c:pt idx="287">
                  <c:v>2014-06-03</c:v>
                </c:pt>
                <c:pt idx="288">
                  <c:v>2014-06-04</c:v>
                </c:pt>
                <c:pt idx="289">
                  <c:v>2014-06-05</c:v>
                </c:pt>
                <c:pt idx="290">
                  <c:v>2014-06-06</c:v>
                </c:pt>
                <c:pt idx="291">
                  <c:v>2014-06-09</c:v>
                </c:pt>
                <c:pt idx="292">
                  <c:v>2014-06-10</c:v>
                </c:pt>
                <c:pt idx="293">
                  <c:v>2014-06-11</c:v>
                </c:pt>
                <c:pt idx="294">
                  <c:v>2014-06-12</c:v>
                </c:pt>
                <c:pt idx="295">
                  <c:v>2014-06-13</c:v>
                </c:pt>
                <c:pt idx="296">
                  <c:v>2014-06-16</c:v>
                </c:pt>
                <c:pt idx="297">
                  <c:v>2014-06-17</c:v>
                </c:pt>
                <c:pt idx="298">
                  <c:v>2014-06-18</c:v>
                </c:pt>
                <c:pt idx="299">
                  <c:v>2014-06-19</c:v>
                </c:pt>
                <c:pt idx="300">
                  <c:v>2014-06-20</c:v>
                </c:pt>
                <c:pt idx="301">
                  <c:v>2014-06-23</c:v>
                </c:pt>
                <c:pt idx="302">
                  <c:v>2014-06-24</c:v>
                </c:pt>
                <c:pt idx="303">
                  <c:v>2014-06-25</c:v>
                </c:pt>
                <c:pt idx="304">
                  <c:v>2014-06-26</c:v>
                </c:pt>
                <c:pt idx="305">
                  <c:v>2014-06-27</c:v>
                </c:pt>
                <c:pt idx="306">
                  <c:v>2014-06-30</c:v>
                </c:pt>
                <c:pt idx="307">
                  <c:v>2014-07-01</c:v>
                </c:pt>
                <c:pt idx="308">
                  <c:v>2014-07-02</c:v>
                </c:pt>
                <c:pt idx="309">
                  <c:v>2014-07-03</c:v>
                </c:pt>
                <c:pt idx="310">
                  <c:v>2014-07-04</c:v>
                </c:pt>
                <c:pt idx="311">
                  <c:v>2014-07-07</c:v>
                </c:pt>
                <c:pt idx="312">
                  <c:v>2014-07-08</c:v>
                </c:pt>
                <c:pt idx="313">
                  <c:v>2014-07-09</c:v>
                </c:pt>
                <c:pt idx="314">
                  <c:v>2014-07-10</c:v>
                </c:pt>
                <c:pt idx="315">
                  <c:v>2014-07-11</c:v>
                </c:pt>
                <c:pt idx="316">
                  <c:v>2014-07-14</c:v>
                </c:pt>
                <c:pt idx="317">
                  <c:v>2014-07-15</c:v>
                </c:pt>
                <c:pt idx="318">
                  <c:v>2014-07-16</c:v>
                </c:pt>
                <c:pt idx="319">
                  <c:v>2014-07-17</c:v>
                </c:pt>
                <c:pt idx="320">
                  <c:v>2014-07-18</c:v>
                </c:pt>
                <c:pt idx="321">
                  <c:v>2014-07-21</c:v>
                </c:pt>
                <c:pt idx="322">
                  <c:v>2014-07-22</c:v>
                </c:pt>
                <c:pt idx="323">
                  <c:v>2014-07-23</c:v>
                </c:pt>
                <c:pt idx="324">
                  <c:v>2014-07-24</c:v>
                </c:pt>
                <c:pt idx="325">
                  <c:v>2014-07-25</c:v>
                </c:pt>
                <c:pt idx="326">
                  <c:v>2014-07-28</c:v>
                </c:pt>
                <c:pt idx="327">
                  <c:v>2014-07-29</c:v>
                </c:pt>
                <c:pt idx="328">
                  <c:v>2014-07-30</c:v>
                </c:pt>
                <c:pt idx="329">
                  <c:v>2014-07-31</c:v>
                </c:pt>
                <c:pt idx="330">
                  <c:v>2014-08-01</c:v>
                </c:pt>
                <c:pt idx="331">
                  <c:v>2014-08-04</c:v>
                </c:pt>
                <c:pt idx="332">
                  <c:v>2014-08-05</c:v>
                </c:pt>
                <c:pt idx="333">
                  <c:v>2014-08-06</c:v>
                </c:pt>
                <c:pt idx="334">
                  <c:v>2014-08-07</c:v>
                </c:pt>
                <c:pt idx="335">
                  <c:v>2014-08-08</c:v>
                </c:pt>
                <c:pt idx="336">
                  <c:v>2014-08-11</c:v>
                </c:pt>
                <c:pt idx="337">
                  <c:v>2014-08-12</c:v>
                </c:pt>
                <c:pt idx="338">
                  <c:v>2014-08-13</c:v>
                </c:pt>
                <c:pt idx="339">
                  <c:v>2014-08-14</c:v>
                </c:pt>
                <c:pt idx="340">
                  <c:v>2014-08-15</c:v>
                </c:pt>
                <c:pt idx="341">
                  <c:v>2014-08-18</c:v>
                </c:pt>
                <c:pt idx="342">
                  <c:v>2014-08-19</c:v>
                </c:pt>
                <c:pt idx="343">
                  <c:v>2014-08-20</c:v>
                </c:pt>
                <c:pt idx="344">
                  <c:v>2014-08-21</c:v>
                </c:pt>
                <c:pt idx="345">
                  <c:v>2014-08-22</c:v>
                </c:pt>
                <c:pt idx="346">
                  <c:v>2014-08-25</c:v>
                </c:pt>
                <c:pt idx="347">
                  <c:v>2014-08-26</c:v>
                </c:pt>
                <c:pt idx="348">
                  <c:v>2014-08-27</c:v>
                </c:pt>
                <c:pt idx="349">
                  <c:v>2014-08-28</c:v>
                </c:pt>
                <c:pt idx="350">
                  <c:v>2014-08-29</c:v>
                </c:pt>
                <c:pt idx="351">
                  <c:v>2014-09-01</c:v>
                </c:pt>
                <c:pt idx="352">
                  <c:v>2014-09-02</c:v>
                </c:pt>
                <c:pt idx="353">
                  <c:v>2014-09-03</c:v>
                </c:pt>
                <c:pt idx="354">
                  <c:v>2014-09-04</c:v>
                </c:pt>
                <c:pt idx="355">
                  <c:v>2014-09-05</c:v>
                </c:pt>
                <c:pt idx="356">
                  <c:v>2014-09-09</c:v>
                </c:pt>
                <c:pt idx="357">
                  <c:v>2014-09-10</c:v>
                </c:pt>
                <c:pt idx="358">
                  <c:v>2014-09-11</c:v>
                </c:pt>
                <c:pt idx="359">
                  <c:v>2014-09-12</c:v>
                </c:pt>
                <c:pt idx="360">
                  <c:v>2014-09-15</c:v>
                </c:pt>
                <c:pt idx="361">
                  <c:v>2014-09-16</c:v>
                </c:pt>
                <c:pt idx="362">
                  <c:v>2014-09-17</c:v>
                </c:pt>
                <c:pt idx="363">
                  <c:v>2014-09-18</c:v>
                </c:pt>
                <c:pt idx="364">
                  <c:v>2014-09-19</c:v>
                </c:pt>
                <c:pt idx="365">
                  <c:v>2014-09-22</c:v>
                </c:pt>
                <c:pt idx="366">
                  <c:v>2014-09-23</c:v>
                </c:pt>
                <c:pt idx="367">
                  <c:v>2014-09-24</c:v>
                </c:pt>
                <c:pt idx="368">
                  <c:v>2014-09-25</c:v>
                </c:pt>
                <c:pt idx="369">
                  <c:v>2014-09-26</c:v>
                </c:pt>
                <c:pt idx="370">
                  <c:v>2014-09-29</c:v>
                </c:pt>
                <c:pt idx="371">
                  <c:v>2014-09-30</c:v>
                </c:pt>
                <c:pt idx="372">
                  <c:v>2014-10-08</c:v>
                </c:pt>
                <c:pt idx="373">
                  <c:v>2014-10-09</c:v>
                </c:pt>
                <c:pt idx="374">
                  <c:v>2014-10-10</c:v>
                </c:pt>
                <c:pt idx="375">
                  <c:v>2014-10-13</c:v>
                </c:pt>
                <c:pt idx="376">
                  <c:v>2014-10-14</c:v>
                </c:pt>
                <c:pt idx="377">
                  <c:v>2014-10-15</c:v>
                </c:pt>
                <c:pt idx="378">
                  <c:v>2014-10-16</c:v>
                </c:pt>
                <c:pt idx="379">
                  <c:v>2014-10-17</c:v>
                </c:pt>
                <c:pt idx="380">
                  <c:v>2014-10-20</c:v>
                </c:pt>
                <c:pt idx="381">
                  <c:v>2014-10-21</c:v>
                </c:pt>
                <c:pt idx="382">
                  <c:v>2014-10-22</c:v>
                </c:pt>
                <c:pt idx="383">
                  <c:v>2014-10-23</c:v>
                </c:pt>
                <c:pt idx="384">
                  <c:v>2014-10-24</c:v>
                </c:pt>
                <c:pt idx="385">
                  <c:v>2014-10-27</c:v>
                </c:pt>
                <c:pt idx="386">
                  <c:v>2014-10-28</c:v>
                </c:pt>
                <c:pt idx="387">
                  <c:v>2014-10-29</c:v>
                </c:pt>
                <c:pt idx="388">
                  <c:v>2014-10-30</c:v>
                </c:pt>
                <c:pt idx="389">
                  <c:v>2014-10-31</c:v>
                </c:pt>
                <c:pt idx="390">
                  <c:v>2014-11-03</c:v>
                </c:pt>
                <c:pt idx="391">
                  <c:v>2014-11-04</c:v>
                </c:pt>
                <c:pt idx="392">
                  <c:v>2014-11-05</c:v>
                </c:pt>
                <c:pt idx="393">
                  <c:v>2014-11-06</c:v>
                </c:pt>
                <c:pt idx="394">
                  <c:v>2014-11-07</c:v>
                </c:pt>
                <c:pt idx="395">
                  <c:v>2014-11-10</c:v>
                </c:pt>
                <c:pt idx="396">
                  <c:v>2014-11-11</c:v>
                </c:pt>
                <c:pt idx="397">
                  <c:v>2014-11-12</c:v>
                </c:pt>
                <c:pt idx="398">
                  <c:v>2014-11-13</c:v>
                </c:pt>
                <c:pt idx="399">
                  <c:v>2014-11-14</c:v>
                </c:pt>
                <c:pt idx="400">
                  <c:v>2014-11-17</c:v>
                </c:pt>
                <c:pt idx="401">
                  <c:v>2014-11-18</c:v>
                </c:pt>
                <c:pt idx="402">
                  <c:v>2014-11-19</c:v>
                </c:pt>
                <c:pt idx="403">
                  <c:v>2014-11-20</c:v>
                </c:pt>
                <c:pt idx="404">
                  <c:v>2014-11-21</c:v>
                </c:pt>
                <c:pt idx="405">
                  <c:v>2014-11-24</c:v>
                </c:pt>
                <c:pt idx="406">
                  <c:v>2014-11-25</c:v>
                </c:pt>
                <c:pt idx="407">
                  <c:v>2014-11-26</c:v>
                </c:pt>
                <c:pt idx="408">
                  <c:v>2014-11-27</c:v>
                </c:pt>
                <c:pt idx="409">
                  <c:v>2014-11-28</c:v>
                </c:pt>
                <c:pt idx="410">
                  <c:v>2014-12-01</c:v>
                </c:pt>
                <c:pt idx="411">
                  <c:v>2014-12-02</c:v>
                </c:pt>
                <c:pt idx="412">
                  <c:v>2014-12-03</c:v>
                </c:pt>
                <c:pt idx="413">
                  <c:v>2014-12-04</c:v>
                </c:pt>
                <c:pt idx="414">
                  <c:v>2014-12-05</c:v>
                </c:pt>
                <c:pt idx="415">
                  <c:v>2014-12-08</c:v>
                </c:pt>
                <c:pt idx="416">
                  <c:v>2014-12-09</c:v>
                </c:pt>
                <c:pt idx="417">
                  <c:v>2014-12-10</c:v>
                </c:pt>
                <c:pt idx="418">
                  <c:v>2014-12-11</c:v>
                </c:pt>
                <c:pt idx="419">
                  <c:v>2014-12-12</c:v>
                </c:pt>
                <c:pt idx="420">
                  <c:v>2014-12-15</c:v>
                </c:pt>
                <c:pt idx="421">
                  <c:v>2014-12-16</c:v>
                </c:pt>
                <c:pt idx="422">
                  <c:v>2014-12-17</c:v>
                </c:pt>
                <c:pt idx="423">
                  <c:v>2014-12-18</c:v>
                </c:pt>
                <c:pt idx="424">
                  <c:v>2014-12-19</c:v>
                </c:pt>
                <c:pt idx="425">
                  <c:v>2014-12-22</c:v>
                </c:pt>
                <c:pt idx="426">
                  <c:v>2014-12-23</c:v>
                </c:pt>
                <c:pt idx="427">
                  <c:v>2014-12-24</c:v>
                </c:pt>
                <c:pt idx="428">
                  <c:v>2014-12-25</c:v>
                </c:pt>
                <c:pt idx="429">
                  <c:v>2014-12-26</c:v>
                </c:pt>
                <c:pt idx="430">
                  <c:v>2014-12-29</c:v>
                </c:pt>
                <c:pt idx="431">
                  <c:v>2014-12-30</c:v>
                </c:pt>
                <c:pt idx="432">
                  <c:v>2014-12-31</c:v>
                </c:pt>
                <c:pt idx="433">
                  <c:v>2015-01-05</c:v>
                </c:pt>
                <c:pt idx="434">
                  <c:v>2015-01-06</c:v>
                </c:pt>
                <c:pt idx="435">
                  <c:v>2015-01-07</c:v>
                </c:pt>
                <c:pt idx="436">
                  <c:v>2015-01-08</c:v>
                </c:pt>
                <c:pt idx="437">
                  <c:v>2015-01-09</c:v>
                </c:pt>
                <c:pt idx="438">
                  <c:v>2015-01-12</c:v>
                </c:pt>
                <c:pt idx="439">
                  <c:v>2015-01-13</c:v>
                </c:pt>
                <c:pt idx="440">
                  <c:v>2015-01-14</c:v>
                </c:pt>
                <c:pt idx="441">
                  <c:v>2015-01-15</c:v>
                </c:pt>
                <c:pt idx="442">
                  <c:v>2015-01-16</c:v>
                </c:pt>
                <c:pt idx="443">
                  <c:v>2015-01-19</c:v>
                </c:pt>
                <c:pt idx="444">
                  <c:v>2015-01-20</c:v>
                </c:pt>
                <c:pt idx="445">
                  <c:v>2015-01-21</c:v>
                </c:pt>
                <c:pt idx="446">
                  <c:v>2015-01-22</c:v>
                </c:pt>
                <c:pt idx="447">
                  <c:v>2015-01-23</c:v>
                </c:pt>
                <c:pt idx="448">
                  <c:v>2015-01-26</c:v>
                </c:pt>
                <c:pt idx="449">
                  <c:v>2015-01-27</c:v>
                </c:pt>
                <c:pt idx="450">
                  <c:v>2015-01-28</c:v>
                </c:pt>
                <c:pt idx="451">
                  <c:v>2015-01-29</c:v>
                </c:pt>
                <c:pt idx="452">
                  <c:v>2015-01-30</c:v>
                </c:pt>
                <c:pt idx="453">
                  <c:v>2015-02-02</c:v>
                </c:pt>
                <c:pt idx="454">
                  <c:v>2015-02-03</c:v>
                </c:pt>
                <c:pt idx="455">
                  <c:v>2015-02-04</c:v>
                </c:pt>
                <c:pt idx="456">
                  <c:v>2015-02-05</c:v>
                </c:pt>
                <c:pt idx="457">
                  <c:v>2015-02-06</c:v>
                </c:pt>
                <c:pt idx="458">
                  <c:v>2015-02-09</c:v>
                </c:pt>
                <c:pt idx="459">
                  <c:v>2015-02-10</c:v>
                </c:pt>
                <c:pt idx="460">
                  <c:v>2015-02-11</c:v>
                </c:pt>
                <c:pt idx="461">
                  <c:v>2015-02-12</c:v>
                </c:pt>
                <c:pt idx="462">
                  <c:v>2015-02-13</c:v>
                </c:pt>
                <c:pt idx="463">
                  <c:v>2015-02-16</c:v>
                </c:pt>
                <c:pt idx="464">
                  <c:v>2015-02-17</c:v>
                </c:pt>
                <c:pt idx="465">
                  <c:v>2015-02-25</c:v>
                </c:pt>
                <c:pt idx="466">
                  <c:v>2015-02-26</c:v>
                </c:pt>
                <c:pt idx="467">
                  <c:v>2015-02-27</c:v>
                </c:pt>
                <c:pt idx="468">
                  <c:v>2015-03-02</c:v>
                </c:pt>
                <c:pt idx="469">
                  <c:v>2015-03-03</c:v>
                </c:pt>
                <c:pt idx="470">
                  <c:v>2015-03-04</c:v>
                </c:pt>
                <c:pt idx="471">
                  <c:v>2015-03-05</c:v>
                </c:pt>
                <c:pt idx="472">
                  <c:v>2015-03-06</c:v>
                </c:pt>
                <c:pt idx="473">
                  <c:v>2015-03-09</c:v>
                </c:pt>
                <c:pt idx="474">
                  <c:v>2015-03-10</c:v>
                </c:pt>
                <c:pt idx="475">
                  <c:v>2015-03-11</c:v>
                </c:pt>
                <c:pt idx="476">
                  <c:v>2015-03-12</c:v>
                </c:pt>
                <c:pt idx="477">
                  <c:v>2015-03-13</c:v>
                </c:pt>
                <c:pt idx="478">
                  <c:v>2015-03-16</c:v>
                </c:pt>
                <c:pt idx="479">
                  <c:v>2015-03-17</c:v>
                </c:pt>
                <c:pt idx="480">
                  <c:v>2015-03-18</c:v>
                </c:pt>
                <c:pt idx="481">
                  <c:v>2015-03-19</c:v>
                </c:pt>
                <c:pt idx="482">
                  <c:v>2015-03-20</c:v>
                </c:pt>
                <c:pt idx="483">
                  <c:v>2015-03-23</c:v>
                </c:pt>
                <c:pt idx="484">
                  <c:v>2015-03-24</c:v>
                </c:pt>
                <c:pt idx="485">
                  <c:v>2015-03-25</c:v>
                </c:pt>
                <c:pt idx="486">
                  <c:v>2015-03-26</c:v>
                </c:pt>
                <c:pt idx="487">
                  <c:v>2015-03-27</c:v>
                </c:pt>
                <c:pt idx="488">
                  <c:v>2015-03-30</c:v>
                </c:pt>
                <c:pt idx="489">
                  <c:v>2015-03-31</c:v>
                </c:pt>
                <c:pt idx="490">
                  <c:v>2015-04-01</c:v>
                </c:pt>
                <c:pt idx="491">
                  <c:v>2015-04-02</c:v>
                </c:pt>
                <c:pt idx="492">
                  <c:v>2015-04-03</c:v>
                </c:pt>
                <c:pt idx="493">
                  <c:v>2015-04-07</c:v>
                </c:pt>
                <c:pt idx="494">
                  <c:v>2015-04-08</c:v>
                </c:pt>
                <c:pt idx="495">
                  <c:v>2015-04-09</c:v>
                </c:pt>
                <c:pt idx="496">
                  <c:v>2015-04-10</c:v>
                </c:pt>
                <c:pt idx="497">
                  <c:v>2015-04-13</c:v>
                </c:pt>
                <c:pt idx="498">
                  <c:v>2015-04-14</c:v>
                </c:pt>
                <c:pt idx="499">
                  <c:v>2015-04-15</c:v>
                </c:pt>
                <c:pt idx="500">
                  <c:v>2015-04-16</c:v>
                </c:pt>
                <c:pt idx="501">
                  <c:v>2015-04-17</c:v>
                </c:pt>
                <c:pt idx="502">
                  <c:v>2015-04-20</c:v>
                </c:pt>
                <c:pt idx="503">
                  <c:v>2015-04-21</c:v>
                </c:pt>
                <c:pt idx="504">
                  <c:v>2015-04-22</c:v>
                </c:pt>
                <c:pt idx="505">
                  <c:v>2015-04-23</c:v>
                </c:pt>
                <c:pt idx="506">
                  <c:v>2015-04-24</c:v>
                </c:pt>
                <c:pt idx="507">
                  <c:v>2015-04-27</c:v>
                </c:pt>
                <c:pt idx="508">
                  <c:v>2015-04-28</c:v>
                </c:pt>
                <c:pt idx="509">
                  <c:v>2015-04-29</c:v>
                </c:pt>
                <c:pt idx="510">
                  <c:v>2015-04-30</c:v>
                </c:pt>
                <c:pt idx="511">
                  <c:v>2015-05-04</c:v>
                </c:pt>
                <c:pt idx="512">
                  <c:v>2015-05-05</c:v>
                </c:pt>
                <c:pt idx="513">
                  <c:v>2015-05-06</c:v>
                </c:pt>
                <c:pt idx="514">
                  <c:v>2015-05-07</c:v>
                </c:pt>
                <c:pt idx="515">
                  <c:v>2015-05-08</c:v>
                </c:pt>
                <c:pt idx="516">
                  <c:v>2015-05-11</c:v>
                </c:pt>
                <c:pt idx="517">
                  <c:v>2015-05-12</c:v>
                </c:pt>
                <c:pt idx="518">
                  <c:v>2015-05-13</c:v>
                </c:pt>
                <c:pt idx="519">
                  <c:v>2015-05-14</c:v>
                </c:pt>
                <c:pt idx="520">
                  <c:v>2015-05-15</c:v>
                </c:pt>
                <c:pt idx="521">
                  <c:v>2015-05-18</c:v>
                </c:pt>
                <c:pt idx="522">
                  <c:v>2015-05-19</c:v>
                </c:pt>
                <c:pt idx="523">
                  <c:v>2015-05-20</c:v>
                </c:pt>
                <c:pt idx="524">
                  <c:v>2015-05-21</c:v>
                </c:pt>
                <c:pt idx="525">
                  <c:v>2015-05-22</c:v>
                </c:pt>
                <c:pt idx="526">
                  <c:v>2015-05-25</c:v>
                </c:pt>
                <c:pt idx="527">
                  <c:v>2015-05-26</c:v>
                </c:pt>
                <c:pt idx="528">
                  <c:v>2015-05-27</c:v>
                </c:pt>
                <c:pt idx="529">
                  <c:v>2015-05-28</c:v>
                </c:pt>
                <c:pt idx="530">
                  <c:v>2015-05-29</c:v>
                </c:pt>
                <c:pt idx="531">
                  <c:v>2015-06-01</c:v>
                </c:pt>
                <c:pt idx="532">
                  <c:v>2015-06-02</c:v>
                </c:pt>
                <c:pt idx="533">
                  <c:v>2015-06-03</c:v>
                </c:pt>
                <c:pt idx="534">
                  <c:v>2015-06-04</c:v>
                </c:pt>
                <c:pt idx="535">
                  <c:v>2015-06-05</c:v>
                </c:pt>
                <c:pt idx="536">
                  <c:v>2015-06-08</c:v>
                </c:pt>
                <c:pt idx="537">
                  <c:v>2015-06-09</c:v>
                </c:pt>
                <c:pt idx="538">
                  <c:v>2015-06-10</c:v>
                </c:pt>
                <c:pt idx="539">
                  <c:v>2015-06-11</c:v>
                </c:pt>
                <c:pt idx="540">
                  <c:v>2015-06-12</c:v>
                </c:pt>
                <c:pt idx="541">
                  <c:v>2015-06-15</c:v>
                </c:pt>
                <c:pt idx="542">
                  <c:v>2015-06-16</c:v>
                </c:pt>
                <c:pt idx="543">
                  <c:v>2015-06-17</c:v>
                </c:pt>
                <c:pt idx="544">
                  <c:v>2015-06-18</c:v>
                </c:pt>
                <c:pt idx="545">
                  <c:v>2015-06-19</c:v>
                </c:pt>
                <c:pt idx="546">
                  <c:v>2015-06-23</c:v>
                </c:pt>
                <c:pt idx="547">
                  <c:v>2015-06-24</c:v>
                </c:pt>
                <c:pt idx="548">
                  <c:v>2015-06-25</c:v>
                </c:pt>
                <c:pt idx="549">
                  <c:v>2015-06-26</c:v>
                </c:pt>
                <c:pt idx="550">
                  <c:v>2015-06-29</c:v>
                </c:pt>
                <c:pt idx="551">
                  <c:v>2015-06-30</c:v>
                </c:pt>
                <c:pt idx="552">
                  <c:v>2015-07-01</c:v>
                </c:pt>
                <c:pt idx="553">
                  <c:v>2015-07-02</c:v>
                </c:pt>
                <c:pt idx="554">
                  <c:v>2015-07-03</c:v>
                </c:pt>
                <c:pt idx="555">
                  <c:v>2015-07-06</c:v>
                </c:pt>
                <c:pt idx="556">
                  <c:v>2015-07-07</c:v>
                </c:pt>
                <c:pt idx="557">
                  <c:v>2015-07-08</c:v>
                </c:pt>
                <c:pt idx="558">
                  <c:v>2015-07-09</c:v>
                </c:pt>
                <c:pt idx="559">
                  <c:v>2015-07-10</c:v>
                </c:pt>
                <c:pt idx="560">
                  <c:v>2015-07-13</c:v>
                </c:pt>
                <c:pt idx="561">
                  <c:v>2015-07-14</c:v>
                </c:pt>
                <c:pt idx="562">
                  <c:v>2015-07-15</c:v>
                </c:pt>
                <c:pt idx="563">
                  <c:v>2015-07-16</c:v>
                </c:pt>
                <c:pt idx="564">
                  <c:v>2015-07-17</c:v>
                </c:pt>
                <c:pt idx="565">
                  <c:v>2015-07-20</c:v>
                </c:pt>
                <c:pt idx="566">
                  <c:v>2015-07-21</c:v>
                </c:pt>
                <c:pt idx="567">
                  <c:v>2015-07-22</c:v>
                </c:pt>
                <c:pt idx="568">
                  <c:v>2015-07-23</c:v>
                </c:pt>
                <c:pt idx="569">
                  <c:v>2015-07-24</c:v>
                </c:pt>
                <c:pt idx="570">
                  <c:v>2015-07-27</c:v>
                </c:pt>
                <c:pt idx="571">
                  <c:v>2015-07-28</c:v>
                </c:pt>
                <c:pt idx="572">
                  <c:v>2015-07-29</c:v>
                </c:pt>
                <c:pt idx="573">
                  <c:v>2015-07-30</c:v>
                </c:pt>
                <c:pt idx="574">
                  <c:v>2015-07-31</c:v>
                </c:pt>
                <c:pt idx="575">
                  <c:v>2015-08-03</c:v>
                </c:pt>
                <c:pt idx="576">
                  <c:v>2015-08-04</c:v>
                </c:pt>
                <c:pt idx="577">
                  <c:v>2015-08-05</c:v>
                </c:pt>
                <c:pt idx="578">
                  <c:v>2015-08-06</c:v>
                </c:pt>
                <c:pt idx="579">
                  <c:v>2015-08-07</c:v>
                </c:pt>
                <c:pt idx="580">
                  <c:v>2015-08-10</c:v>
                </c:pt>
                <c:pt idx="581">
                  <c:v>2015-08-11</c:v>
                </c:pt>
                <c:pt idx="582">
                  <c:v>2015-08-12</c:v>
                </c:pt>
                <c:pt idx="583">
                  <c:v>2015-08-13</c:v>
                </c:pt>
                <c:pt idx="584">
                  <c:v>2015-08-14</c:v>
                </c:pt>
                <c:pt idx="585">
                  <c:v>2015-08-17</c:v>
                </c:pt>
                <c:pt idx="586">
                  <c:v>2015-08-18</c:v>
                </c:pt>
                <c:pt idx="587">
                  <c:v>2015-08-19</c:v>
                </c:pt>
                <c:pt idx="588">
                  <c:v>2015-08-20</c:v>
                </c:pt>
                <c:pt idx="589">
                  <c:v>2015-08-21</c:v>
                </c:pt>
                <c:pt idx="590">
                  <c:v>2015-08-24</c:v>
                </c:pt>
                <c:pt idx="591">
                  <c:v>2015-08-25</c:v>
                </c:pt>
                <c:pt idx="592">
                  <c:v>2015-08-26</c:v>
                </c:pt>
                <c:pt idx="593">
                  <c:v>2015-08-27</c:v>
                </c:pt>
                <c:pt idx="594">
                  <c:v>2015-08-28</c:v>
                </c:pt>
                <c:pt idx="595">
                  <c:v>2015-08-31</c:v>
                </c:pt>
                <c:pt idx="596">
                  <c:v>2015-09-01</c:v>
                </c:pt>
                <c:pt idx="597">
                  <c:v>2015-09-02</c:v>
                </c:pt>
                <c:pt idx="598">
                  <c:v>2015-09-07</c:v>
                </c:pt>
                <c:pt idx="599">
                  <c:v>2015-09-08</c:v>
                </c:pt>
                <c:pt idx="600">
                  <c:v>2015-09-09</c:v>
                </c:pt>
                <c:pt idx="601">
                  <c:v>2015-09-10</c:v>
                </c:pt>
                <c:pt idx="602">
                  <c:v>2015-09-11</c:v>
                </c:pt>
                <c:pt idx="603">
                  <c:v>2015-09-14</c:v>
                </c:pt>
                <c:pt idx="604">
                  <c:v>2015-09-15</c:v>
                </c:pt>
                <c:pt idx="605">
                  <c:v>2015-09-16</c:v>
                </c:pt>
                <c:pt idx="606">
                  <c:v>2015-09-17</c:v>
                </c:pt>
                <c:pt idx="607">
                  <c:v>2015-09-18</c:v>
                </c:pt>
                <c:pt idx="608">
                  <c:v>2015-09-21</c:v>
                </c:pt>
                <c:pt idx="609">
                  <c:v>2015-09-22</c:v>
                </c:pt>
                <c:pt idx="610">
                  <c:v>2015-09-23</c:v>
                </c:pt>
                <c:pt idx="611">
                  <c:v>2015-09-24</c:v>
                </c:pt>
                <c:pt idx="612">
                  <c:v>2015-09-25</c:v>
                </c:pt>
                <c:pt idx="613">
                  <c:v>2015-09-28</c:v>
                </c:pt>
                <c:pt idx="614">
                  <c:v>2015-09-29</c:v>
                </c:pt>
                <c:pt idx="615">
                  <c:v>2015-09-30</c:v>
                </c:pt>
                <c:pt idx="616">
                  <c:v>2015-10-08</c:v>
                </c:pt>
                <c:pt idx="617">
                  <c:v>2015-10-09</c:v>
                </c:pt>
                <c:pt idx="618">
                  <c:v>2015-10-12</c:v>
                </c:pt>
                <c:pt idx="619">
                  <c:v>2015-10-13</c:v>
                </c:pt>
                <c:pt idx="620">
                  <c:v>2015-10-14</c:v>
                </c:pt>
                <c:pt idx="621">
                  <c:v>2015-10-15</c:v>
                </c:pt>
                <c:pt idx="622">
                  <c:v>2015-10-16</c:v>
                </c:pt>
                <c:pt idx="623">
                  <c:v>2015-10-19</c:v>
                </c:pt>
                <c:pt idx="624">
                  <c:v>2015-10-20</c:v>
                </c:pt>
                <c:pt idx="625">
                  <c:v>2015-10-21</c:v>
                </c:pt>
                <c:pt idx="626">
                  <c:v>2015-10-22</c:v>
                </c:pt>
                <c:pt idx="627">
                  <c:v>2015-10-23</c:v>
                </c:pt>
                <c:pt idx="628">
                  <c:v>2015-10-26</c:v>
                </c:pt>
                <c:pt idx="629">
                  <c:v>2015-10-27</c:v>
                </c:pt>
                <c:pt idx="630">
                  <c:v>2015-10-28</c:v>
                </c:pt>
                <c:pt idx="631">
                  <c:v>2015-10-29</c:v>
                </c:pt>
                <c:pt idx="632">
                  <c:v>2015-10-30</c:v>
                </c:pt>
                <c:pt idx="633">
                  <c:v>2015-11-02</c:v>
                </c:pt>
                <c:pt idx="634">
                  <c:v>2015-11-03</c:v>
                </c:pt>
                <c:pt idx="635">
                  <c:v>2015-11-04</c:v>
                </c:pt>
                <c:pt idx="636">
                  <c:v>2015-11-05</c:v>
                </c:pt>
                <c:pt idx="637">
                  <c:v>2015-11-06</c:v>
                </c:pt>
                <c:pt idx="638">
                  <c:v>2015-11-09</c:v>
                </c:pt>
                <c:pt idx="639">
                  <c:v>2015-11-10</c:v>
                </c:pt>
                <c:pt idx="640">
                  <c:v>2015-11-11</c:v>
                </c:pt>
                <c:pt idx="641">
                  <c:v>2015-11-12</c:v>
                </c:pt>
                <c:pt idx="642">
                  <c:v>2015-11-13</c:v>
                </c:pt>
                <c:pt idx="643">
                  <c:v>2015-11-16</c:v>
                </c:pt>
                <c:pt idx="644">
                  <c:v>2015-11-17</c:v>
                </c:pt>
                <c:pt idx="645">
                  <c:v>2015-11-18</c:v>
                </c:pt>
                <c:pt idx="646">
                  <c:v>2015-11-19</c:v>
                </c:pt>
                <c:pt idx="647">
                  <c:v>2015-11-20</c:v>
                </c:pt>
                <c:pt idx="648">
                  <c:v>2015-11-23</c:v>
                </c:pt>
                <c:pt idx="649">
                  <c:v>2015-11-24</c:v>
                </c:pt>
                <c:pt idx="650">
                  <c:v>2015-11-25</c:v>
                </c:pt>
                <c:pt idx="651">
                  <c:v>2015-11-26</c:v>
                </c:pt>
                <c:pt idx="652">
                  <c:v>2015-11-27</c:v>
                </c:pt>
                <c:pt idx="653">
                  <c:v>2015-11-30</c:v>
                </c:pt>
                <c:pt idx="654">
                  <c:v>2015-12-01</c:v>
                </c:pt>
                <c:pt idx="655">
                  <c:v>2015-12-02</c:v>
                </c:pt>
                <c:pt idx="656">
                  <c:v>2015-12-03</c:v>
                </c:pt>
                <c:pt idx="657">
                  <c:v>2015-12-04</c:v>
                </c:pt>
                <c:pt idx="658">
                  <c:v>2015-12-07</c:v>
                </c:pt>
                <c:pt idx="659">
                  <c:v>2015-12-08</c:v>
                </c:pt>
                <c:pt idx="660">
                  <c:v>2015-12-09</c:v>
                </c:pt>
                <c:pt idx="661">
                  <c:v>2015-12-10</c:v>
                </c:pt>
                <c:pt idx="662">
                  <c:v>2015-12-11</c:v>
                </c:pt>
                <c:pt idx="663">
                  <c:v>2015-12-14</c:v>
                </c:pt>
                <c:pt idx="664">
                  <c:v>2015-12-15</c:v>
                </c:pt>
                <c:pt idx="665">
                  <c:v>2015-12-16</c:v>
                </c:pt>
                <c:pt idx="666">
                  <c:v>2015-12-17</c:v>
                </c:pt>
                <c:pt idx="667">
                  <c:v>2015-12-18</c:v>
                </c:pt>
                <c:pt idx="668">
                  <c:v>2015-12-21</c:v>
                </c:pt>
                <c:pt idx="669">
                  <c:v>2015-12-22</c:v>
                </c:pt>
                <c:pt idx="670">
                  <c:v>2015-12-23</c:v>
                </c:pt>
                <c:pt idx="671">
                  <c:v>2015-12-24</c:v>
                </c:pt>
                <c:pt idx="672">
                  <c:v>2015-12-25</c:v>
                </c:pt>
                <c:pt idx="673">
                  <c:v>2015-12-28</c:v>
                </c:pt>
                <c:pt idx="674">
                  <c:v>2015-12-29</c:v>
                </c:pt>
                <c:pt idx="675">
                  <c:v>2015-12-30</c:v>
                </c:pt>
                <c:pt idx="676">
                  <c:v>2015-12-31</c:v>
                </c:pt>
                <c:pt idx="677">
                  <c:v>2016-01-04</c:v>
                </c:pt>
                <c:pt idx="678">
                  <c:v>2016-01-05</c:v>
                </c:pt>
                <c:pt idx="679">
                  <c:v>2016-01-06</c:v>
                </c:pt>
                <c:pt idx="680">
                  <c:v>2016-01-07</c:v>
                </c:pt>
                <c:pt idx="681">
                  <c:v>2016-01-08</c:v>
                </c:pt>
                <c:pt idx="682">
                  <c:v>2016-01-11</c:v>
                </c:pt>
                <c:pt idx="683">
                  <c:v>2016-01-12</c:v>
                </c:pt>
                <c:pt idx="684">
                  <c:v>2016-01-13</c:v>
                </c:pt>
                <c:pt idx="685">
                  <c:v>2016-01-14</c:v>
                </c:pt>
                <c:pt idx="686">
                  <c:v>2016-01-15</c:v>
                </c:pt>
                <c:pt idx="687">
                  <c:v>2016-01-18</c:v>
                </c:pt>
                <c:pt idx="688">
                  <c:v>2016-01-19</c:v>
                </c:pt>
                <c:pt idx="689">
                  <c:v>2016-01-20</c:v>
                </c:pt>
                <c:pt idx="690">
                  <c:v>2016-01-21</c:v>
                </c:pt>
                <c:pt idx="691">
                  <c:v>2016-01-22</c:v>
                </c:pt>
                <c:pt idx="692">
                  <c:v>2016-01-25</c:v>
                </c:pt>
                <c:pt idx="693">
                  <c:v>2016-01-26</c:v>
                </c:pt>
                <c:pt idx="694">
                  <c:v>2016-01-27</c:v>
                </c:pt>
                <c:pt idx="695">
                  <c:v>2016-01-28</c:v>
                </c:pt>
                <c:pt idx="696">
                  <c:v>2016-01-29</c:v>
                </c:pt>
                <c:pt idx="697">
                  <c:v>2016-02-01</c:v>
                </c:pt>
                <c:pt idx="698">
                  <c:v>2016-02-02</c:v>
                </c:pt>
                <c:pt idx="699">
                  <c:v>2016-02-03</c:v>
                </c:pt>
                <c:pt idx="700">
                  <c:v>2016-02-04</c:v>
                </c:pt>
                <c:pt idx="701">
                  <c:v>2016-02-05</c:v>
                </c:pt>
                <c:pt idx="702">
                  <c:v>2016-02-15</c:v>
                </c:pt>
                <c:pt idx="703">
                  <c:v>2016-02-16</c:v>
                </c:pt>
                <c:pt idx="704">
                  <c:v>2016-02-17</c:v>
                </c:pt>
                <c:pt idx="705">
                  <c:v>2016-02-18</c:v>
                </c:pt>
                <c:pt idx="706">
                  <c:v>2016-02-19</c:v>
                </c:pt>
                <c:pt idx="707">
                  <c:v>2016-02-22</c:v>
                </c:pt>
                <c:pt idx="708">
                  <c:v>2016-02-23</c:v>
                </c:pt>
                <c:pt idx="709">
                  <c:v>2016-02-24</c:v>
                </c:pt>
                <c:pt idx="710">
                  <c:v>2016-02-25</c:v>
                </c:pt>
                <c:pt idx="711">
                  <c:v>2016-02-26</c:v>
                </c:pt>
                <c:pt idx="712">
                  <c:v>2016-02-29</c:v>
                </c:pt>
                <c:pt idx="713">
                  <c:v>2016-03-01</c:v>
                </c:pt>
                <c:pt idx="714">
                  <c:v>2016-03-02</c:v>
                </c:pt>
                <c:pt idx="715">
                  <c:v>2016-03-03</c:v>
                </c:pt>
                <c:pt idx="716">
                  <c:v>2016-03-04</c:v>
                </c:pt>
                <c:pt idx="717">
                  <c:v>2016-03-07</c:v>
                </c:pt>
                <c:pt idx="718">
                  <c:v>2016-03-08</c:v>
                </c:pt>
                <c:pt idx="719">
                  <c:v>2016-03-09</c:v>
                </c:pt>
                <c:pt idx="720">
                  <c:v>2016-03-10</c:v>
                </c:pt>
                <c:pt idx="721">
                  <c:v>2016-03-11</c:v>
                </c:pt>
                <c:pt idx="722">
                  <c:v>2016-03-14</c:v>
                </c:pt>
                <c:pt idx="723">
                  <c:v>2016-03-15</c:v>
                </c:pt>
                <c:pt idx="724">
                  <c:v>2016-03-16</c:v>
                </c:pt>
                <c:pt idx="725">
                  <c:v>2016-03-17</c:v>
                </c:pt>
                <c:pt idx="726">
                  <c:v>2016-03-18</c:v>
                </c:pt>
                <c:pt idx="727">
                  <c:v>2016-03-21</c:v>
                </c:pt>
                <c:pt idx="728">
                  <c:v>2016-03-22</c:v>
                </c:pt>
                <c:pt idx="729">
                  <c:v>2016-03-23</c:v>
                </c:pt>
                <c:pt idx="730">
                  <c:v>2016-03-24</c:v>
                </c:pt>
                <c:pt idx="731">
                  <c:v>2016-03-25</c:v>
                </c:pt>
                <c:pt idx="732">
                  <c:v>2016-03-28</c:v>
                </c:pt>
                <c:pt idx="733">
                  <c:v>2016-03-29</c:v>
                </c:pt>
                <c:pt idx="734">
                  <c:v>2016-03-30</c:v>
                </c:pt>
                <c:pt idx="735">
                  <c:v>2016-03-31</c:v>
                </c:pt>
                <c:pt idx="736">
                  <c:v>2016-04-01</c:v>
                </c:pt>
                <c:pt idx="737">
                  <c:v>2016-04-05</c:v>
                </c:pt>
                <c:pt idx="738">
                  <c:v>2016-04-06</c:v>
                </c:pt>
                <c:pt idx="739">
                  <c:v>2016-04-07</c:v>
                </c:pt>
                <c:pt idx="740">
                  <c:v>2016-04-08</c:v>
                </c:pt>
                <c:pt idx="741">
                  <c:v>2016-04-11</c:v>
                </c:pt>
                <c:pt idx="742">
                  <c:v>2016-04-12</c:v>
                </c:pt>
                <c:pt idx="743">
                  <c:v>2016-04-13</c:v>
                </c:pt>
                <c:pt idx="744">
                  <c:v>2016-04-14</c:v>
                </c:pt>
                <c:pt idx="745">
                  <c:v>2016-04-15</c:v>
                </c:pt>
                <c:pt idx="746">
                  <c:v>2016-04-18</c:v>
                </c:pt>
                <c:pt idx="747">
                  <c:v>2016-04-19</c:v>
                </c:pt>
                <c:pt idx="748">
                  <c:v>2016-04-20</c:v>
                </c:pt>
                <c:pt idx="749">
                  <c:v>2016-04-21</c:v>
                </c:pt>
                <c:pt idx="750">
                  <c:v>2016-04-22</c:v>
                </c:pt>
                <c:pt idx="751">
                  <c:v>2016-04-25</c:v>
                </c:pt>
                <c:pt idx="752">
                  <c:v>2016-04-26</c:v>
                </c:pt>
                <c:pt idx="753">
                  <c:v>2016-04-27</c:v>
                </c:pt>
                <c:pt idx="754">
                  <c:v>2016-04-28</c:v>
                </c:pt>
                <c:pt idx="755">
                  <c:v>2016-04-29</c:v>
                </c:pt>
                <c:pt idx="756">
                  <c:v>2016-05-03</c:v>
                </c:pt>
                <c:pt idx="757">
                  <c:v>2016-05-04</c:v>
                </c:pt>
                <c:pt idx="758">
                  <c:v>2016-05-05</c:v>
                </c:pt>
                <c:pt idx="759">
                  <c:v>2016-05-06</c:v>
                </c:pt>
                <c:pt idx="760">
                  <c:v>2016-05-09</c:v>
                </c:pt>
                <c:pt idx="761">
                  <c:v>2016-05-10</c:v>
                </c:pt>
                <c:pt idx="762">
                  <c:v>2016-05-11</c:v>
                </c:pt>
                <c:pt idx="763">
                  <c:v>2016-05-12</c:v>
                </c:pt>
                <c:pt idx="764">
                  <c:v>2016-05-13</c:v>
                </c:pt>
                <c:pt idx="765">
                  <c:v>2016-05-16</c:v>
                </c:pt>
                <c:pt idx="766">
                  <c:v>2016-05-17</c:v>
                </c:pt>
                <c:pt idx="767">
                  <c:v>2016-05-18</c:v>
                </c:pt>
                <c:pt idx="768">
                  <c:v>2016-05-19</c:v>
                </c:pt>
                <c:pt idx="769">
                  <c:v>2016-05-20</c:v>
                </c:pt>
                <c:pt idx="770">
                  <c:v>2016-05-23</c:v>
                </c:pt>
                <c:pt idx="771">
                  <c:v>2016-05-24</c:v>
                </c:pt>
                <c:pt idx="772">
                  <c:v>2016-05-25</c:v>
                </c:pt>
                <c:pt idx="773">
                  <c:v>2016-05-26</c:v>
                </c:pt>
                <c:pt idx="774">
                  <c:v>2016-05-27</c:v>
                </c:pt>
                <c:pt idx="775">
                  <c:v>2016-05-30</c:v>
                </c:pt>
                <c:pt idx="776">
                  <c:v>2016-05-31</c:v>
                </c:pt>
                <c:pt idx="777">
                  <c:v>2016-06-01</c:v>
                </c:pt>
                <c:pt idx="778">
                  <c:v>2016-06-02</c:v>
                </c:pt>
                <c:pt idx="779">
                  <c:v>2016-06-03</c:v>
                </c:pt>
                <c:pt idx="780">
                  <c:v>2016-06-06</c:v>
                </c:pt>
                <c:pt idx="781">
                  <c:v>2016-06-07</c:v>
                </c:pt>
                <c:pt idx="782">
                  <c:v>2016-06-08</c:v>
                </c:pt>
                <c:pt idx="783">
                  <c:v>2016-06-13</c:v>
                </c:pt>
                <c:pt idx="784">
                  <c:v>2016-06-14</c:v>
                </c:pt>
                <c:pt idx="785">
                  <c:v>2016-06-15</c:v>
                </c:pt>
                <c:pt idx="786">
                  <c:v>2016-06-16</c:v>
                </c:pt>
                <c:pt idx="787">
                  <c:v>2016-06-17</c:v>
                </c:pt>
                <c:pt idx="788">
                  <c:v>2016-06-20</c:v>
                </c:pt>
                <c:pt idx="789">
                  <c:v>2016-06-21</c:v>
                </c:pt>
                <c:pt idx="790">
                  <c:v>2016-06-22</c:v>
                </c:pt>
                <c:pt idx="791">
                  <c:v>2016-06-23</c:v>
                </c:pt>
                <c:pt idx="792">
                  <c:v>2016-06-24</c:v>
                </c:pt>
                <c:pt idx="793">
                  <c:v>2016-06-27</c:v>
                </c:pt>
                <c:pt idx="794">
                  <c:v>2016-06-28</c:v>
                </c:pt>
                <c:pt idx="795">
                  <c:v>2016-06-29</c:v>
                </c:pt>
                <c:pt idx="796">
                  <c:v>2016-06-30</c:v>
                </c:pt>
                <c:pt idx="797">
                  <c:v>2016-07-01</c:v>
                </c:pt>
                <c:pt idx="798">
                  <c:v>2016-07-04</c:v>
                </c:pt>
                <c:pt idx="799">
                  <c:v>2016-07-05</c:v>
                </c:pt>
                <c:pt idx="800">
                  <c:v>2016-07-06</c:v>
                </c:pt>
                <c:pt idx="801">
                  <c:v>2016-07-07</c:v>
                </c:pt>
                <c:pt idx="802">
                  <c:v>2016-07-08</c:v>
                </c:pt>
                <c:pt idx="803">
                  <c:v>2016-07-11</c:v>
                </c:pt>
                <c:pt idx="804">
                  <c:v>2016-07-12</c:v>
                </c:pt>
                <c:pt idx="805">
                  <c:v>2016-07-13</c:v>
                </c:pt>
                <c:pt idx="806">
                  <c:v>2016-07-14</c:v>
                </c:pt>
                <c:pt idx="807">
                  <c:v>2016-07-15</c:v>
                </c:pt>
                <c:pt idx="808">
                  <c:v>2016-07-18</c:v>
                </c:pt>
                <c:pt idx="809">
                  <c:v>2016-07-19</c:v>
                </c:pt>
                <c:pt idx="810">
                  <c:v>2016-07-20</c:v>
                </c:pt>
                <c:pt idx="811">
                  <c:v>2016-07-21</c:v>
                </c:pt>
                <c:pt idx="812">
                  <c:v>2016-07-22</c:v>
                </c:pt>
                <c:pt idx="813">
                  <c:v>2016-07-25</c:v>
                </c:pt>
                <c:pt idx="814">
                  <c:v>2016-07-26</c:v>
                </c:pt>
                <c:pt idx="815">
                  <c:v>2016-07-27</c:v>
                </c:pt>
                <c:pt idx="816">
                  <c:v>2016-07-28</c:v>
                </c:pt>
                <c:pt idx="817">
                  <c:v>2016-07-29</c:v>
                </c:pt>
                <c:pt idx="818">
                  <c:v>2016-08-01</c:v>
                </c:pt>
                <c:pt idx="819">
                  <c:v>2016-08-02</c:v>
                </c:pt>
                <c:pt idx="820">
                  <c:v>2016-08-03</c:v>
                </c:pt>
                <c:pt idx="821">
                  <c:v>2016-08-04</c:v>
                </c:pt>
                <c:pt idx="822">
                  <c:v>2016-08-05</c:v>
                </c:pt>
                <c:pt idx="823">
                  <c:v>2016-08-08</c:v>
                </c:pt>
                <c:pt idx="824">
                  <c:v>2016-08-09</c:v>
                </c:pt>
                <c:pt idx="825">
                  <c:v>2016-08-10</c:v>
                </c:pt>
                <c:pt idx="826">
                  <c:v>2016-08-11</c:v>
                </c:pt>
                <c:pt idx="827">
                  <c:v>2016-08-12</c:v>
                </c:pt>
                <c:pt idx="828">
                  <c:v>2016-08-15</c:v>
                </c:pt>
                <c:pt idx="829">
                  <c:v>2016-08-16</c:v>
                </c:pt>
                <c:pt idx="830">
                  <c:v>2016-08-17</c:v>
                </c:pt>
                <c:pt idx="831">
                  <c:v>2016-08-18</c:v>
                </c:pt>
                <c:pt idx="832">
                  <c:v>2016-08-19</c:v>
                </c:pt>
                <c:pt idx="833">
                  <c:v>2016-08-22</c:v>
                </c:pt>
                <c:pt idx="834">
                  <c:v>2016-08-23</c:v>
                </c:pt>
                <c:pt idx="835">
                  <c:v>2016-08-24</c:v>
                </c:pt>
                <c:pt idx="836">
                  <c:v>2016-08-25</c:v>
                </c:pt>
                <c:pt idx="837">
                  <c:v>2016-08-26</c:v>
                </c:pt>
                <c:pt idx="838">
                  <c:v>2016-08-29</c:v>
                </c:pt>
                <c:pt idx="839">
                  <c:v>2016-08-30</c:v>
                </c:pt>
                <c:pt idx="840">
                  <c:v>2016-08-31</c:v>
                </c:pt>
                <c:pt idx="841">
                  <c:v>2016-09-01</c:v>
                </c:pt>
                <c:pt idx="842">
                  <c:v>2016-09-02</c:v>
                </c:pt>
                <c:pt idx="843">
                  <c:v>2016-09-05</c:v>
                </c:pt>
                <c:pt idx="844">
                  <c:v>2016-09-06</c:v>
                </c:pt>
                <c:pt idx="845">
                  <c:v>2016-09-07</c:v>
                </c:pt>
                <c:pt idx="846">
                  <c:v>2016-09-08</c:v>
                </c:pt>
                <c:pt idx="847">
                  <c:v>2016-09-09</c:v>
                </c:pt>
                <c:pt idx="848">
                  <c:v>2016-09-12</c:v>
                </c:pt>
                <c:pt idx="849">
                  <c:v>2016-09-13</c:v>
                </c:pt>
                <c:pt idx="850">
                  <c:v>2016-09-14</c:v>
                </c:pt>
                <c:pt idx="851">
                  <c:v>2016-09-19</c:v>
                </c:pt>
                <c:pt idx="852">
                  <c:v>2016-09-20</c:v>
                </c:pt>
                <c:pt idx="853">
                  <c:v>2016-09-21</c:v>
                </c:pt>
                <c:pt idx="854">
                  <c:v>2016-09-22</c:v>
                </c:pt>
                <c:pt idx="855">
                  <c:v>2016-09-23</c:v>
                </c:pt>
                <c:pt idx="856">
                  <c:v>2016-09-26</c:v>
                </c:pt>
                <c:pt idx="857">
                  <c:v>2016-09-27</c:v>
                </c:pt>
                <c:pt idx="858">
                  <c:v>2016-09-28</c:v>
                </c:pt>
                <c:pt idx="859">
                  <c:v>2016-09-29</c:v>
                </c:pt>
                <c:pt idx="860">
                  <c:v>2016-09-30</c:v>
                </c:pt>
                <c:pt idx="861">
                  <c:v>2016-10-10</c:v>
                </c:pt>
                <c:pt idx="862">
                  <c:v>2016-10-11</c:v>
                </c:pt>
                <c:pt idx="863">
                  <c:v>2016-10-12</c:v>
                </c:pt>
                <c:pt idx="864">
                  <c:v>2016-10-13</c:v>
                </c:pt>
                <c:pt idx="865">
                  <c:v>2016-10-14</c:v>
                </c:pt>
                <c:pt idx="866">
                  <c:v>2016-10-17</c:v>
                </c:pt>
                <c:pt idx="867">
                  <c:v>2016-10-18</c:v>
                </c:pt>
                <c:pt idx="868">
                  <c:v>2016-10-19</c:v>
                </c:pt>
                <c:pt idx="869">
                  <c:v>2016-10-20</c:v>
                </c:pt>
                <c:pt idx="870">
                  <c:v>2016-10-21</c:v>
                </c:pt>
                <c:pt idx="871">
                  <c:v>2016-10-24</c:v>
                </c:pt>
                <c:pt idx="872">
                  <c:v>2016-10-25</c:v>
                </c:pt>
                <c:pt idx="873">
                  <c:v>2016-10-26</c:v>
                </c:pt>
                <c:pt idx="874">
                  <c:v>2016-10-27</c:v>
                </c:pt>
                <c:pt idx="875">
                  <c:v>2016-10-28</c:v>
                </c:pt>
                <c:pt idx="876">
                  <c:v>2016-10-31</c:v>
                </c:pt>
                <c:pt idx="877">
                  <c:v>2016-11-01</c:v>
                </c:pt>
                <c:pt idx="878">
                  <c:v>2016-11-02</c:v>
                </c:pt>
                <c:pt idx="879">
                  <c:v>2016-11-03</c:v>
                </c:pt>
                <c:pt idx="880">
                  <c:v>2016-11-04</c:v>
                </c:pt>
                <c:pt idx="881">
                  <c:v>2016-11-07</c:v>
                </c:pt>
                <c:pt idx="882">
                  <c:v>2016-11-08</c:v>
                </c:pt>
                <c:pt idx="883">
                  <c:v>2016-11-09</c:v>
                </c:pt>
                <c:pt idx="884">
                  <c:v>2016-11-10</c:v>
                </c:pt>
                <c:pt idx="885">
                  <c:v>2016-11-11</c:v>
                </c:pt>
                <c:pt idx="886">
                  <c:v>2016-11-14</c:v>
                </c:pt>
                <c:pt idx="887">
                  <c:v>2016-11-15</c:v>
                </c:pt>
                <c:pt idx="888">
                  <c:v>2016-11-16</c:v>
                </c:pt>
                <c:pt idx="889">
                  <c:v>2016-11-17</c:v>
                </c:pt>
                <c:pt idx="890">
                  <c:v>2016-11-18</c:v>
                </c:pt>
                <c:pt idx="891">
                  <c:v>2016-11-21</c:v>
                </c:pt>
                <c:pt idx="892">
                  <c:v>2016-11-22</c:v>
                </c:pt>
                <c:pt idx="893">
                  <c:v>2016-11-23</c:v>
                </c:pt>
                <c:pt idx="894">
                  <c:v>2016-11-24</c:v>
                </c:pt>
                <c:pt idx="895">
                  <c:v>2016-11-25</c:v>
                </c:pt>
                <c:pt idx="896">
                  <c:v>2016-11-28</c:v>
                </c:pt>
                <c:pt idx="897">
                  <c:v>2016-11-29</c:v>
                </c:pt>
                <c:pt idx="898">
                  <c:v>2016-11-30</c:v>
                </c:pt>
                <c:pt idx="899">
                  <c:v>2016-12-01</c:v>
                </c:pt>
                <c:pt idx="900">
                  <c:v>2016-12-02</c:v>
                </c:pt>
                <c:pt idx="901">
                  <c:v>2016-12-05</c:v>
                </c:pt>
                <c:pt idx="902">
                  <c:v>2016-12-06</c:v>
                </c:pt>
                <c:pt idx="903">
                  <c:v>2016-12-07</c:v>
                </c:pt>
                <c:pt idx="904">
                  <c:v>2016-12-08</c:v>
                </c:pt>
                <c:pt idx="905">
                  <c:v>2016-12-09</c:v>
                </c:pt>
                <c:pt idx="906">
                  <c:v>2016-12-12</c:v>
                </c:pt>
                <c:pt idx="907">
                  <c:v>2016-12-13</c:v>
                </c:pt>
                <c:pt idx="908">
                  <c:v>2016-12-14</c:v>
                </c:pt>
                <c:pt idx="909">
                  <c:v>2016-12-15</c:v>
                </c:pt>
                <c:pt idx="910">
                  <c:v>2016-12-16</c:v>
                </c:pt>
                <c:pt idx="911">
                  <c:v>2016-12-19</c:v>
                </c:pt>
                <c:pt idx="912">
                  <c:v>2016-12-20</c:v>
                </c:pt>
                <c:pt idx="913">
                  <c:v>2016-12-21</c:v>
                </c:pt>
                <c:pt idx="914">
                  <c:v>2016-12-22</c:v>
                </c:pt>
                <c:pt idx="915">
                  <c:v>2016-12-23</c:v>
                </c:pt>
                <c:pt idx="916">
                  <c:v>2016-12-26</c:v>
                </c:pt>
                <c:pt idx="917">
                  <c:v>2016-12-27</c:v>
                </c:pt>
                <c:pt idx="918">
                  <c:v>2016-12-28</c:v>
                </c:pt>
                <c:pt idx="919">
                  <c:v>2016-12-29</c:v>
                </c:pt>
                <c:pt idx="920">
                  <c:v>2016-12-30</c:v>
                </c:pt>
                <c:pt idx="921">
                  <c:v>2017-01-03</c:v>
                </c:pt>
                <c:pt idx="922">
                  <c:v>2017-01-04</c:v>
                </c:pt>
                <c:pt idx="923">
                  <c:v>2017-01-05</c:v>
                </c:pt>
                <c:pt idx="924">
                  <c:v>2017-01-06</c:v>
                </c:pt>
                <c:pt idx="925">
                  <c:v>2017-01-09</c:v>
                </c:pt>
                <c:pt idx="926">
                  <c:v>2017-01-10</c:v>
                </c:pt>
                <c:pt idx="927">
                  <c:v>2017-01-11</c:v>
                </c:pt>
                <c:pt idx="928">
                  <c:v>2017-01-12</c:v>
                </c:pt>
                <c:pt idx="929">
                  <c:v>2017-01-13</c:v>
                </c:pt>
                <c:pt idx="930">
                  <c:v>2017-01-16</c:v>
                </c:pt>
                <c:pt idx="931">
                  <c:v>2017-01-17</c:v>
                </c:pt>
                <c:pt idx="932">
                  <c:v>2017-01-18</c:v>
                </c:pt>
                <c:pt idx="933">
                  <c:v>2017-01-19</c:v>
                </c:pt>
                <c:pt idx="934">
                  <c:v>2017-01-20</c:v>
                </c:pt>
                <c:pt idx="935">
                  <c:v>2017-01-23</c:v>
                </c:pt>
                <c:pt idx="936">
                  <c:v>2017-01-24</c:v>
                </c:pt>
                <c:pt idx="937">
                  <c:v>2017-01-25</c:v>
                </c:pt>
                <c:pt idx="938">
                  <c:v>2017-01-26</c:v>
                </c:pt>
                <c:pt idx="939">
                  <c:v>2017-02-03</c:v>
                </c:pt>
                <c:pt idx="940">
                  <c:v>2017-02-06</c:v>
                </c:pt>
                <c:pt idx="941">
                  <c:v>2017-02-07</c:v>
                </c:pt>
                <c:pt idx="942">
                  <c:v>2017-02-08</c:v>
                </c:pt>
                <c:pt idx="943">
                  <c:v>2017-02-09</c:v>
                </c:pt>
                <c:pt idx="944">
                  <c:v>2017-02-10</c:v>
                </c:pt>
                <c:pt idx="945">
                  <c:v>2017-02-13</c:v>
                </c:pt>
                <c:pt idx="946">
                  <c:v>2017-02-14</c:v>
                </c:pt>
                <c:pt idx="947">
                  <c:v>2017-02-15</c:v>
                </c:pt>
                <c:pt idx="948">
                  <c:v>2017-02-16</c:v>
                </c:pt>
                <c:pt idx="949">
                  <c:v>2017-02-17</c:v>
                </c:pt>
                <c:pt idx="950">
                  <c:v>2017-02-20</c:v>
                </c:pt>
                <c:pt idx="951">
                  <c:v>2017-02-21</c:v>
                </c:pt>
                <c:pt idx="952">
                  <c:v>2017-02-22</c:v>
                </c:pt>
                <c:pt idx="953">
                  <c:v>2017-02-23</c:v>
                </c:pt>
                <c:pt idx="954">
                  <c:v>2017-02-24</c:v>
                </c:pt>
                <c:pt idx="955">
                  <c:v>2017-02-27</c:v>
                </c:pt>
                <c:pt idx="956">
                  <c:v>2017-02-28</c:v>
                </c:pt>
                <c:pt idx="957">
                  <c:v>2017-03-01</c:v>
                </c:pt>
                <c:pt idx="958">
                  <c:v>2017-03-02</c:v>
                </c:pt>
                <c:pt idx="959">
                  <c:v>2017-03-03</c:v>
                </c:pt>
                <c:pt idx="960">
                  <c:v>2017-03-06</c:v>
                </c:pt>
                <c:pt idx="961">
                  <c:v>2017-03-07</c:v>
                </c:pt>
                <c:pt idx="962">
                  <c:v>2017-03-08</c:v>
                </c:pt>
                <c:pt idx="963">
                  <c:v>2017-03-09</c:v>
                </c:pt>
                <c:pt idx="964">
                  <c:v>2017-03-10</c:v>
                </c:pt>
                <c:pt idx="965">
                  <c:v>2017-03-13</c:v>
                </c:pt>
                <c:pt idx="966">
                  <c:v>2017-03-14</c:v>
                </c:pt>
                <c:pt idx="967">
                  <c:v>2017-03-15</c:v>
                </c:pt>
                <c:pt idx="968">
                  <c:v>2017-03-16</c:v>
                </c:pt>
                <c:pt idx="969">
                  <c:v>2017-03-17</c:v>
                </c:pt>
                <c:pt idx="970">
                  <c:v>2017-03-20</c:v>
                </c:pt>
                <c:pt idx="971">
                  <c:v>2017-03-21</c:v>
                </c:pt>
                <c:pt idx="972">
                  <c:v>2017-03-22</c:v>
                </c:pt>
                <c:pt idx="973">
                  <c:v>2017-03-23</c:v>
                </c:pt>
                <c:pt idx="974">
                  <c:v>2017-03-24</c:v>
                </c:pt>
                <c:pt idx="975">
                  <c:v>2017-03-27</c:v>
                </c:pt>
                <c:pt idx="976">
                  <c:v>2017-03-28</c:v>
                </c:pt>
                <c:pt idx="977">
                  <c:v>2017-03-29</c:v>
                </c:pt>
                <c:pt idx="978">
                  <c:v>2017-03-30</c:v>
                </c:pt>
                <c:pt idx="979">
                  <c:v>2017-03-31</c:v>
                </c:pt>
                <c:pt idx="980">
                  <c:v>2017-04-05</c:v>
                </c:pt>
                <c:pt idx="981">
                  <c:v>2017-04-06</c:v>
                </c:pt>
                <c:pt idx="982">
                  <c:v>2017-04-07</c:v>
                </c:pt>
                <c:pt idx="983">
                  <c:v>2017-04-10</c:v>
                </c:pt>
                <c:pt idx="984">
                  <c:v>2017-04-11</c:v>
                </c:pt>
                <c:pt idx="985">
                  <c:v>2017-04-12</c:v>
                </c:pt>
                <c:pt idx="986">
                  <c:v>2017-04-13</c:v>
                </c:pt>
                <c:pt idx="987">
                  <c:v>2017-04-14</c:v>
                </c:pt>
                <c:pt idx="988">
                  <c:v>2017-04-17</c:v>
                </c:pt>
                <c:pt idx="989">
                  <c:v>2017-04-18</c:v>
                </c:pt>
                <c:pt idx="990">
                  <c:v>2017-04-19</c:v>
                </c:pt>
                <c:pt idx="991">
                  <c:v>2017-04-20</c:v>
                </c:pt>
                <c:pt idx="992">
                  <c:v>2017-04-21</c:v>
                </c:pt>
                <c:pt idx="993">
                  <c:v>2017-04-24</c:v>
                </c:pt>
                <c:pt idx="994">
                  <c:v>2017-04-25</c:v>
                </c:pt>
                <c:pt idx="995">
                  <c:v>2017-04-26</c:v>
                </c:pt>
                <c:pt idx="996">
                  <c:v>2017-04-27</c:v>
                </c:pt>
                <c:pt idx="997">
                  <c:v>2017-04-28</c:v>
                </c:pt>
                <c:pt idx="998">
                  <c:v>2017-05-02</c:v>
                </c:pt>
                <c:pt idx="999">
                  <c:v>2017-05-03</c:v>
                </c:pt>
                <c:pt idx="1000">
                  <c:v>2017-05-04</c:v>
                </c:pt>
                <c:pt idx="1001">
                  <c:v>2017-05-05</c:v>
                </c:pt>
                <c:pt idx="1002">
                  <c:v>2017-05-08</c:v>
                </c:pt>
                <c:pt idx="1003">
                  <c:v>2017-05-09</c:v>
                </c:pt>
                <c:pt idx="1004">
                  <c:v>2017-05-10</c:v>
                </c:pt>
                <c:pt idx="1005">
                  <c:v>2017-05-11</c:v>
                </c:pt>
                <c:pt idx="1006">
                  <c:v>2017-05-12</c:v>
                </c:pt>
                <c:pt idx="1007">
                  <c:v>2017-05-15</c:v>
                </c:pt>
                <c:pt idx="1008">
                  <c:v>2017-05-16</c:v>
                </c:pt>
                <c:pt idx="1009">
                  <c:v>2017-05-17</c:v>
                </c:pt>
                <c:pt idx="1010">
                  <c:v>2017-05-18</c:v>
                </c:pt>
                <c:pt idx="1011">
                  <c:v>2017-05-19</c:v>
                </c:pt>
                <c:pt idx="1012">
                  <c:v>2017-05-22</c:v>
                </c:pt>
                <c:pt idx="1013">
                  <c:v>2017-05-23</c:v>
                </c:pt>
                <c:pt idx="1014">
                  <c:v>2017-05-24</c:v>
                </c:pt>
                <c:pt idx="1015">
                  <c:v>2017-05-25</c:v>
                </c:pt>
                <c:pt idx="1016">
                  <c:v>2017-05-26</c:v>
                </c:pt>
                <c:pt idx="1017">
                  <c:v>2017-05-31</c:v>
                </c:pt>
                <c:pt idx="1018">
                  <c:v>2017-06-01</c:v>
                </c:pt>
                <c:pt idx="1019">
                  <c:v>2017-06-02</c:v>
                </c:pt>
                <c:pt idx="1020">
                  <c:v>2017-06-05</c:v>
                </c:pt>
                <c:pt idx="1021">
                  <c:v>2017-06-06</c:v>
                </c:pt>
                <c:pt idx="1022">
                  <c:v>2017-06-07</c:v>
                </c:pt>
                <c:pt idx="1023">
                  <c:v>2017-06-08</c:v>
                </c:pt>
                <c:pt idx="1024">
                  <c:v>2017-06-09</c:v>
                </c:pt>
                <c:pt idx="1025">
                  <c:v>2017-06-12</c:v>
                </c:pt>
                <c:pt idx="1026">
                  <c:v>2017-06-13</c:v>
                </c:pt>
                <c:pt idx="1027">
                  <c:v>2017-06-14</c:v>
                </c:pt>
                <c:pt idx="1028">
                  <c:v>2017-06-15</c:v>
                </c:pt>
                <c:pt idx="1029">
                  <c:v>2017-06-16</c:v>
                </c:pt>
                <c:pt idx="1030">
                  <c:v>2017-06-19</c:v>
                </c:pt>
                <c:pt idx="1031">
                  <c:v>2017-06-20</c:v>
                </c:pt>
                <c:pt idx="1032">
                  <c:v>2017-06-21</c:v>
                </c:pt>
                <c:pt idx="1033">
                  <c:v>2017-06-22</c:v>
                </c:pt>
                <c:pt idx="1034">
                  <c:v>2017-06-23</c:v>
                </c:pt>
                <c:pt idx="1035">
                  <c:v>2017-06-26</c:v>
                </c:pt>
                <c:pt idx="1036">
                  <c:v>2017-06-27</c:v>
                </c:pt>
                <c:pt idx="1037">
                  <c:v>2017-06-28</c:v>
                </c:pt>
                <c:pt idx="1038">
                  <c:v>2017-06-29</c:v>
                </c:pt>
                <c:pt idx="1039">
                  <c:v>2017-06-30</c:v>
                </c:pt>
                <c:pt idx="1040">
                  <c:v>2017-07-03</c:v>
                </c:pt>
                <c:pt idx="1041">
                  <c:v>2017-07-04</c:v>
                </c:pt>
                <c:pt idx="1042">
                  <c:v>2017-07-05</c:v>
                </c:pt>
                <c:pt idx="1043">
                  <c:v>2017-07-06</c:v>
                </c:pt>
                <c:pt idx="1044">
                  <c:v>2017-07-07</c:v>
                </c:pt>
                <c:pt idx="1045">
                  <c:v>2017-07-10</c:v>
                </c:pt>
                <c:pt idx="1046">
                  <c:v>2017-07-11</c:v>
                </c:pt>
                <c:pt idx="1047">
                  <c:v>2017-07-12</c:v>
                </c:pt>
                <c:pt idx="1048">
                  <c:v>2017-07-13</c:v>
                </c:pt>
                <c:pt idx="1049">
                  <c:v>2017-07-14</c:v>
                </c:pt>
                <c:pt idx="1050">
                  <c:v>2017-07-17</c:v>
                </c:pt>
                <c:pt idx="1051">
                  <c:v>2017-07-18</c:v>
                </c:pt>
                <c:pt idx="1052">
                  <c:v>2017-07-19</c:v>
                </c:pt>
                <c:pt idx="1053">
                  <c:v>2017-07-20</c:v>
                </c:pt>
                <c:pt idx="1054">
                  <c:v>2017-07-21</c:v>
                </c:pt>
                <c:pt idx="1055">
                  <c:v>2017-07-24</c:v>
                </c:pt>
                <c:pt idx="1056">
                  <c:v>2017-07-25</c:v>
                </c:pt>
                <c:pt idx="1057">
                  <c:v>2017-07-26</c:v>
                </c:pt>
                <c:pt idx="1058">
                  <c:v>2017-07-27</c:v>
                </c:pt>
                <c:pt idx="1059">
                  <c:v>2017-07-28</c:v>
                </c:pt>
                <c:pt idx="1060">
                  <c:v>2017-07-31</c:v>
                </c:pt>
                <c:pt idx="1061">
                  <c:v>2017-08-01</c:v>
                </c:pt>
                <c:pt idx="1062">
                  <c:v>2017-08-02</c:v>
                </c:pt>
                <c:pt idx="1063">
                  <c:v>2017-08-03</c:v>
                </c:pt>
                <c:pt idx="1064">
                  <c:v>2017-08-04</c:v>
                </c:pt>
                <c:pt idx="1065">
                  <c:v>2017-08-07</c:v>
                </c:pt>
                <c:pt idx="1066">
                  <c:v>2017-08-08</c:v>
                </c:pt>
                <c:pt idx="1067">
                  <c:v>2017-08-09</c:v>
                </c:pt>
                <c:pt idx="1068">
                  <c:v>2017-08-10</c:v>
                </c:pt>
                <c:pt idx="1069">
                  <c:v>2017-08-11</c:v>
                </c:pt>
                <c:pt idx="1070">
                  <c:v>2017-08-14</c:v>
                </c:pt>
                <c:pt idx="1071">
                  <c:v>2017-08-15</c:v>
                </c:pt>
                <c:pt idx="1072">
                  <c:v>2017-08-16</c:v>
                </c:pt>
                <c:pt idx="1073">
                  <c:v>2017-08-17</c:v>
                </c:pt>
                <c:pt idx="1074">
                  <c:v>2017-08-18</c:v>
                </c:pt>
                <c:pt idx="1075">
                  <c:v>2017-08-21</c:v>
                </c:pt>
                <c:pt idx="1076">
                  <c:v>2017-08-22</c:v>
                </c:pt>
                <c:pt idx="1077">
                  <c:v>2017-08-23</c:v>
                </c:pt>
                <c:pt idx="1078">
                  <c:v>2017-08-24</c:v>
                </c:pt>
                <c:pt idx="1079">
                  <c:v>2017-08-25</c:v>
                </c:pt>
                <c:pt idx="1080">
                  <c:v>2017-08-28</c:v>
                </c:pt>
                <c:pt idx="1081">
                  <c:v>2017-08-29</c:v>
                </c:pt>
                <c:pt idx="1082">
                  <c:v>2017-08-30</c:v>
                </c:pt>
                <c:pt idx="1083">
                  <c:v>2017-08-31</c:v>
                </c:pt>
                <c:pt idx="1084">
                  <c:v>2017-09-01</c:v>
                </c:pt>
                <c:pt idx="1085">
                  <c:v>2017-09-04</c:v>
                </c:pt>
                <c:pt idx="1086">
                  <c:v>2017-09-05</c:v>
                </c:pt>
                <c:pt idx="1087">
                  <c:v>2017-09-06</c:v>
                </c:pt>
                <c:pt idx="1088">
                  <c:v>2017-09-07</c:v>
                </c:pt>
                <c:pt idx="1089">
                  <c:v>2017-09-08</c:v>
                </c:pt>
                <c:pt idx="1090">
                  <c:v>2017-09-11</c:v>
                </c:pt>
                <c:pt idx="1091">
                  <c:v>2017-09-12</c:v>
                </c:pt>
                <c:pt idx="1092">
                  <c:v>2017-09-13</c:v>
                </c:pt>
                <c:pt idx="1093">
                  <c:v>2017-09-14</c:v>
                </c:pt>
                <c:pt idx="1094">
                  <c:v>2017-09-15</c:v>
                </c:pt>
                <c:pt idx="1095">
                  <c:v>2017-09-18</c:v>
                </c:pt>
                <c:pt idx="1096">
                  <c:v>2017-09-19</c:v>
                </c:pt>
                <c:pt idx="1097">
                  <c:v>2017-09-20</c:v>
                </c:pt>
                <c:pt idx="1098">
                  <c:v>2017-09-21</c:v>
                </c:pt>
                <c:pt idx="1099">
                  <c:v>2017-09-22</c:v>
                </c:pt>
                <c:pt idx="1100">
                  <c:v>2017-09-25</c:v>
                </c:pt>
                <c:pt idx="1101">
                  <c:v>2017-09-26</c:v>
                </c:pt>
                <c:pt idx="1102">
                  <c:v>2017-09-27</c:v>
                </c:pt>
                <c:pt idx="1103">
                  <c:v>2017-09-28</c:v>
                </c:pt>
                <c:pt idx="1104">
                  <c:v>2017-09-29</c:v>
                </c:pt>
                <c:pt idx="1105">
                  <c:v>2017-10-09</c:v>
                </c:pt>
                <c:pt idx="1106">
                  <c:v>2017-10-10</c:v>
                </c:pt>
                <c:pt idx="1107">
                  <c:v>2017-10-11</c:v>
                </c:pt>
                <c:pt idx="1108">
                  <c:v>2017-10-12</c:v>
                </c:pt>
                <c:pt idx="1109">
                  <c:v>2017-10-13</c:v>
                </c:pt>
                <c:pt idx="1110">
                  <c:v>2017-10-16</c:v>
                </c:pt>
                <c:pt idx="1111">
                  <c:v>2017-10-17</c:v>
                </c:pt>
                <c:pt idx="1112">
                  <c:v>2017-10-18</c:v>
                </c:pt>
                <c:pt idx="1113">
                  <c:v>2017-10-19</c:v>
                </c:pt>
                <c:pt idx="1114">
                  <c:v>2017-10-20</c:v>
                </c:pt>
                <c:pt idx="1115">
                  <c:v>2017-10-23</c:v>
                </c:pt>
                <c:pt idx="1116">
                  <c:v>2017-10-24</c:v>
                </c:pt>
                <c:pt idx="1117">
                  <c:v>2017-10-25</c:v>
                </c:pt>
                <c:pt idx="1118">
                  <c:v>2017-10-26</c:v>
                </c:pt>
                <c:pt idx="1119">
                  <c:v>2017-10-27</c:v>
                </c:pt>
                <c:pt idx="1120">
                  <c:v>2017-10-30</c:v>
                </c:pt>
                <c:pt idx="1121">
                  <c:v>2017-10-31</c:v>
                </c:pt>
                <c:pt idx="1122">
                  <c:v>2017-11-01</c:v>
                </c:pt>
                <c:pt idx="1123">
                  <c:v>2017-11-02</c:v>
                </c:pt>
                <c:pt idx="1124">
                  <c:v>2017-11-03</c:v>
                </c:pt>
                <c:pt idx="1125">
                  <c:v>2017-11-06</c:v>
                </c:pt>
                <c:pt idx="1126">
                  <c:v>2017-11-07</c:v>
                </c:pt>
                <c:pt idx="1127">
                  <c:v>2017-11-08</c:v>
                </c:pt>
                <c:pt idx="1128">
                  <c:v>2017-11-09</c:v>
                </c:pt>
                <c:pt idx="1129">
                  <c:v>2017-11-10</c:v>
                </c:pt>
                <c:pt idx="1130">
                  <c:v>2017-11-13</c:v>
                </c:pt>
                <c:pt idx="1131">
                  <c:v>2017-11-14</c:v>
                </c:pt>
                <c:pt idx="1132">
                  <c:v>2017-11-15</c:v>
                </c:pt>
                <c:pt idx="1133">
                  <c:v>2017-11-16</c:v>
                </c:pt>
                <c:pt idx="1134">
                  <c:v>2017-11-17</c:v>
                </c:pt>
                <c:pt idx="1135">
                  <c:v>2017-11-20</c:v>
                </c:pt>
                <c:pt idx="1136">
                  <c:v>2017-11-21</c:v>
                </c:pt>
                <c:pt idx="1137">
                  <c:v>2017-11-22</c:v>
                </c:pt>
                <c:pt idx="1138">
                  <c:v>2017-11-23</c:v>
                </c:pt>
                <c:pt idx="1139">
                  <c:v>2017-11-24</c:v>
                </c:pt>
                <c:pt idx="1140">
                  <c:v>2017-11-27</c:v>
                </c:pt>
                <c:pt idx="1141">
                  <c:v>2017-11-28</c:v>
                </c:pt>
                <c:pt idx="1142">
                  <c:v>2017-11-29</c:v>
                </c:pt>
                <c:pt idx="1143">
                  <c:v>2017-11-30</c:v>
                </c:pt>
                <c:pt idx="1144">
                  <c:v>2017-12-01</c:v>
                </c:pt>
                <c:pt idx="1145">
                  <c:v>2017-12-04</c:v>
                </c:pt>
                <c:pt idx="1146">
                  <c:v>2017-12-05</c:v>
                </c:pt>
                <c:pt idx="1147">
                  <c:v>2017-12-06</c:v>
                </c:pt>
                <c:pt idx="1148">
                  <c:v>2017-12-07</c:v>
                </c:pt>
                <c:pt idx="1149">
                  <c:v>2017-12-08</c:v>
                </c:pt>
                <c:pt idx="1150">
                  <c:v>2017-12-11</c:v>
                </c:pt>
                <c:pt idx="1151">
                  <c:v>2017-12-12</c:v>
                </c:pt>
                <c:pt idx="1152">
                  <c:v>2017-12-13</c:v>
                </c:pt>
                <c:pt idx="1153">
                  <c:v>2017-12-14</c:v>
                </c:pt>
                <c:pt idx="1154">
                  <c:v>2017-12-15</c:v>
                </c:pt>
                <c:pt idx="1155">
                  <c:v>2017-12-18</c:v>
                </c:pt>
                <c:pt idx="1156">
                  <c:v>2017-12-19</c:v>
                </c:pt>
                <c:pt idx="1157">
                  <c:v>2017-12-20</c:v>
                </c:pt>
                <c:pt idx="1158">
                  <c:v>2017-12-21</c:v>
                </c:pt>
                <c:pt idx="1159">
                  <c:v>2017-12-22</c:v>
                </c:pt>
                <c:pt idx="1160">
                  <c:v>2017-12-25</c:v>
                </c:pt>
                <c:pt idx="1161">
                  <c:v>2017-12-26</c:v>
                </c:pt>
                <c:pt idx="1162">
                  <c:v>2017-12-27</c:v>
                </c:pt>
                <c:pt idx="1163">
                  <c:v>2017-12-28</c:v>
                </c:pt>
                <c:pt idx="1164">
                  <c:v>2017-12-29</c:v>
                </c:pt>
                <c:pt idx="1165">
                  <c:v>2018-01-02</c:v>
                </c:pt>
                <c:pt idx="1166">
                  <c:v>2018-01-03</c:v>
                </c:pt>
                <c:pt idx="1167">
                  <c:v>2018-01-04</c:v>
                </c:pt>
                <c:pt idx="1168">
                  <c:v>2018-01-05</c:v>
                </c:pt>
                <c:pt idx="1169">
                  <c:v>2018-01-08</c:v>
                </c:pt>
                <c:pt idx="1170">
                  <c:v>2018-01-09</c:v>
                </c:pt>
                <c:pt idx="1171">
                  <c:v>2018-01-10</c:v>
                </c:pt>
                <c:pt idx="1172">
                  <c:v>2018-01-11</c:v>
                </c:pt>
                <c:pt idx="1173">
                  <c:v>2018-01-12</c:v>
                </c:pt>
                <c:pt idx="1174">
                  <c:v>2018-01-15</c:v>
                </c:pt>
                <c:pt idx="1175">
                  <c:v>2018-01-16</c:v>
                </c:pt>
                <c:pt idx="1176">
                  <c:v>2018-01-17</c:v>
                </c:pt>
                <c:pt idx="1177">
                  <c:v>2018-01-18</c:v>
                </c:pt>
                <c:pt idx="1178">
                  <c:v>2018-01-19</c:v>
                </c:pt>
                <c:pt idx="1179">
                  <c:v>2018-01-22</c:v>
                </c:pt>
                <c:pt idx="1180">
                  <c:v>2018-01-23</c:v>
                </c:pt>
                <c:pt idx="1181">
                  <c:v>2018-01-24</c:v>
                </c:pt>
                <c:pt idx="1182">
                  <c:v>2018-01-25</c:v>
                </c:pt>
                <c:pt idx="1183">
                  <c:v>2018-01-26</c:v>
                </c:pt>
                <c:pt idx="1184">
                  <c:v>2018-01-29</c:v>
                </c:pt>
                <c:pt idx="1185">
                  <c:v>2018-01-30</c:v>
                </c:pt>
                <c:pt idx="1186">
                  <c:v>2018-01-31</c:v>
                </c:pt>
                <c:pt idx="1187">
                  <c:v>2018-02-01</c:v>
                </c:pt>
                <c:pt idx="1188">
                  <c:v>2018-02-02</c:v>
                </c:pt>
                <c:pt idx="1189">
                  <c:v>2018-02-05</c:v>
                </c:pt>
                <c:pt idx="1190">
                  <c:v>2018-02-06</c:v>
                </c:pt>
                <c:pt idx="1191">
                  <c:v>2018-02-07</c:v>
                </c:pt>
                <c:pt idx="1192">
                  <c:v>2018-02-08</c:v>
                </c:pt>
                <c:pt idx="1193">
                  <c:v>2018-02-09</c:v>
                </c:pt>
                <c:pt idx="1194">
                  <c:v>2018-02-12</c:v>
                </c:pt>
                <c:pt idx="1195">
                  <c:v>2018-02-13</c:v>
                </c:pt>
                <c:pt idx="1196">
                  <c:v>2018-02-14</c:v>
                </c:pt>
                <c:pt idx="1197">
                  <c:v>2018-02-22</c:v>
                </c:pt>
                <c:pt idx="1198">
                  <c:v>2018-02-23</c:v>
                </c:pt>
                <c:pt idx="1199">
                  <c:v>2018-02-26</c:v>
                </c:pt>
                <c:pt idx="1200">
                  <c:v>2018-02-27</c:v>
                </c:pt>
                <c:pt idx="1201">
                  <c:v>2018-02-28</c:v>
                </c:pt>
                <c:pt idx="1202">
                  <c:v>2018-03-01</c:v>
                </c:pt>
                <c:pt idx="1203">
                  <c:v>2018-03-02</c:v>
                </c:pt>
                <c:pt idx="1204">
                  <c:v>2018-03-05</c:v>
                </c:pt>
                <c:pt idx="1205">
                  <c:v>2018-03-06</c:v>
                </c:pt>
                <c:pt idx="1206">
                  <c:v>2018-03-07</c:v>
                </c:pt>
                <c:pt idx="1207">
                  <c:v>2018-03-08</c:v>
                </c:pt>
                <c:pt idx="1208">
                  <c:v>2018-03-09</c:v>
                </c:pt>
                <c:pt idx="1209">
                  <c:v>2018-03-12</c:v>
                </c:pt>
                <c:pt idx="1210">
                  <c:v>2018-03-13</c:v>
                </c:pt>
                <c:pt idx="1211">
                  <c:v>2018-03-14</c:v>
                </c:pt>
                <c:pt idx="1212">
                  <c:v>2018-03-15</c:v>
                </c:pt>
                <c:pt idx="1213">
                  <c:v>2018-03-16</c:v>
                </c:pt>
                <c:pt idx="1214">
                  <c:v>2018-03-19</c:v>
                </c:pt>
                <c:pt idx="1215">
                  <c:v>2018-03-20</c:v>
                </c:pt>
                <c:pt idx="1216">
                  <c:v>2018-03-21</c:v>
                </c:pt>
                <c:pt idx="1217">
                  <c:v>2018-03-22</c:v>
                </c:pt>
                <c:pt idx="1218">
                  <c:v>2018-03-23</c:v>
                </c:pt>
                <c:pt idx="1219">
                  <c:v>2018-03-26</c:v>
                </c:pt>
                <c:pt idx="1220">
                  <c:v>2018-03-27</c:v>
                </c:pt>
                <c:pt idx="1221">
                  <c:v>2018-03-28</c:v>
                </c:pt>
                <c:pt idx="1222">
                  <c:v>2018-03-29</c:v>
                </c:pt>
                <c:pt idx="1223">
                  <c:v>2018-03-30</c:v>
                </c:pt>
                <c:pt idx="1224">
                  <c:v>2018-04-02</c:v>
                </c:pt>
                <c:pt idx="1225">
                  <c:v>2018-04-03</c:v>
                </c:pt>
                <c:pt idx="1226">
                  <c:v>2018-04-04</c:v>
                </c:pt>
                <c:pt idx="1227">
                  <c:v>2018-04-09</c:v>
                </c:pt>
                <c:pt idx="1228">
                  <c:v>2018-04-10</c:v>
                </c:pt>
                <c:pt idx="1229">
                  <c:v>2018-04-11</c:v>
                </c:pt>
                <c:pt idx="1230">
                  <c:v>2018-04-12</c:v>
                </c:pt>
                <c:pt idx="1231">
                  <c:v>2018-04-13</c:v>
                </c:pt>
                <c:pt idx="1232">
                  <c:v>2018-04-16</c:v>
                </c:pt>
                <c:pt idx="1233">
                  <c:v>2018-04-17</c:v>
                </c:pt>
                <c:pt idx="1234">
                  <c:v>2018-04-18</c:v>
                </c:pt>
                <c:pt idx="1235">
                  <c:v>2018-04-19</c:v>
                </c:pt>
                <c:pt idx="1236">
                  <c:v>2018-04-20</c:v>
                </c:pt>
                <c:pt idx="1237">
                  <c:v>2018-04-23</c:v>
                </c:pt>
                <c:pt idx="1238">
                  <c:v>2018-04-24</c:v>
                </c:pt>
                <c:pt idx="1239">
                  <c:v>2018-04-25</c:v>
                </c:pt>
                <c:pt idx="1240">
                  <c:v>2018-04-26</c:v>
                </c:pt>
                <c:pt idx="1241">
                  <c:v>2018-04-27</c:v>
                </c:pt>
                <c:pt idx="1242">
                  <c:v>2018-05-02</c:v>
                </c:pt>
                <c:pt idx="1243">
                  <c:v>2018-05-03</c:v>
                </c:pt>
                <c:pt idx="1244">
                  <c:v>2018-05-04</c:v>
                </c:pt>
                <c:pt idx="1245">
                  <c:v>2018-05-07</c:v>
                </c:pt>
                <c:pt idx="1246">
                  <c:v>2018-05-08</c:v>
                </c:pt>
                <c:pt idx="1247">
                  <c:v>2018-05-09</c:v>
                </c:pt>
                <c:pt idx="1248">
                  <c:v>2018-05-10</c:v>
                </c:pt>
                <c:pt idx="1249">
                  <c:v>2018-05-11</c:v>
                </c:pt>
                <c:pt idx="1250">
                  <c:v>2018-05-14</c:v>
                </c:pt>
                <c:pt idx="1251">
                  <c:v>2018-05-15</c:v>
                </c:pt>
                <c:pt idx="1252">
                  <c:v>2018-05-16</c:v>
                </c:pt>
                <c:pt idx="1253">
                  <c:v>2018-05-17</c:v>
                </c:pt>
                <c:pt idx="1254">
                  <c:v>2018-05-18</c:v>
                </c:pt>
                <c:pt idx="1255">
                  <c:v>2018-05-21</c:v>
                </c:pt>
                <c:pt idx="1256">
                  <c:v>2018-05-22</c:v>
                </c:pt>
                <c:pt idx="1257">
                  <c:v>2018-05-23</c:v>
                </c:pt>
                <c:pt idx="1258">
                  <c:v>2018-05-24</c:v>
                </c:pt>
                <c:pt idx="1259">
                  <c:v>2018-05-25</c:v>
                </c:pt>
                <c:pt idx="1260">
                  <c:v>2018-05-28</c:v>
                </c:pt>
                <c:pt idx="1261">
                  <c:v>2018-05-29</c:v>
                </c:pt>
                <c:pt idx="1262">
                  <c:v>2018-05-30</c:v>
                </c:pt>
                <c:pt idx="1263">
                  <c:v>2018-05-31</c:v>
                </c:pt>
                <c:pt idx="1264">
                  <c:v>2018-06-01</c:v>
                </c:pt>
                <c:pt idx="1265">
                  <c:v>2018-06-04</c:v>
                </c:pt>
                <c:pt idx="1266">
                  <c:v>2018-06-05</c:v>
                </c:pt>
                <c:pt idx="1267">
                  <c:v>2018-06-06</c:v>
                </c:pt>
                <c:pt idx="1268">
                  <c:v>2018-06-07</c:v>
                </c:pt>
                <c:pt idx="1269">
                  <c:v>2018-06-08</c:v>
                </c:pt>
                <c:pt idx="1270">
                  <c:v>2018-06-11</c:v>
                </c:pt>
                <c:pt idx="1271">
                  <c:v>2018-06-12</c:v>
                </c:pt>
                <c:pt idx="1272">
                  <c:v>2018-06-13</c:v>
                </c:pt>
                <c:pt idx="1273">
                  <c:v>2018-06-14</c:v>
                </c:pt>
                <c:pt idx="1274">
                  <c:v>2018-06-15</c:v>
                </c:pt>
                <c:pt idx="1275">
                  <c:v>2018-06-19</c:v>
                </c:pt>
                <c:pt idx="1276">
                  <c:v>2018-06-20</c:v>
                </c:pt>
                <c:pt idx="1277">
                  <c:v>2018-06-21</c:v>
                </c:pt>
                <c:pt idx="1278">
                  <c:v>2018-06-22</c:v>
                </c:pt>
                <c:pt idx="1279">
                  <c:v>2018-06-25</c:v>
                </c:pt>
                <c:pt idx="1280">
                  <c:v>2018-06-26</c:v>
                </c:pt>
                <c:pt idx="1281">
                  <c:v>2018-06-27</c:v>
                </c:pt>
                <c:pt idx="1282">
                  <c:v>2018-06-28</c:v>
                </c:pt>
                <c:pt idx="1283">
                  <c:v>2018-06-29</c:v>
                </c:pt>
                <c:pt idx="1284">
                  <c:v>2018-07-02</c:v>
                </c:pt>
                <c:pt idx="1285">
                  <c:v>2018-07-03</c:v>
                </c:pt>
                <c:pt idx="1286">
                  <c:v>2018-07-04</c:v>
                </c:pt>
                <c:pt idx="1287">
                  <c:v>2018-07-05</c:v>
                </c:pt>
                <c:pt idx="1288">
                  <c:v>2018-07-06</c:v>
                </c:pt>
                <c:pt idx="1289">
                  <c:v>2018-07-09</c:v>
                </c:pt>
                <c:pt idx="1290">
                  <c:v>2018-07-10</c:v>
                </c:pt>
                <c:pt idx="1291">
                  <c:v>2018-07-11</c:v>
                </c:pt>
                <c:pt idx="1292">
                  <c:v>2018-07-12</c:v>
                </c:pt>
                <c:pt idx="1293">
                  <c:v>2018-07-13</c:v>
                </c:pt>
                <c:pt idx="1294">
                  <c:v>2018-07-16</c:v>
                </c:pt>
                <c:pt idx="1295">
                  <c:v>2018-07-17</c:v>
                </c:pt>
                <c:pt idx="1296">
                  <c:v>2018-07-18</c:v>
                </c:pt>
                <c:pt idx="1297">
                  <c:v>2018-07-19</c:v>
                </c:pt>
                <c:pt idx="1298">
                  <c:v>2018-07-20</c:v>
                </c:pt>
                <c:pt idx="1299">
                  <c:v>2018-07-23</c:v>
                </c:pt>
                <c:pt idx="1300">
                  <c:v>2018-07-24</c:v>
                </c:pt>
                <c:pt idx="1301">
                  <c:v>2018-07-25</c:v>
                </c:pt>
                <c:pt idx="1302">
                  <c:v>2018-07-26</c:v>
                </c:pt>
                <c:pt idx="1303">
                  <c:v>2018-07-27</c:v>
                </c:pt>
                <c:pt idx="1304">
                  <c:v>2018-07-30</c:v>
                </c:pt>
                <c:pt idx="1305">
                  <c:v>2018-07-31</c:v>
                </c:pt>
                <c:pt idx="1306">
                  <c:v>2018-08-01</c:v>
                </c:pt>
                <c:pt idx="1307">
                  <c:v>2018-08-02</c:v>
                </c:pt>
                <c:pt idx="1308">
                  <c:v>2018-08-03</c:v>
                </c:pt>
                <c:pt idx="1309">
                  <c:v>2018-08-06</c:v>
                </c:pt>
                <c:pt idx="1310">
                  <c:v>2018-08-07</c:v>
                </c:pt>
                <c:pt idx="1311">
                  <c:v>2018-08-08</c:v>
                </c:pt>
                <c:pt idx="1312">
                  <c:v>2018-08-09</c:v>
                </c:pt>
                <c:pt idx="1313">
                  <c:v>2018-08-10</c:v>
                </c:pt>
                <c:pt idx="1314">
                  <c:v>2018-08-13</c:v>
                </c:pt>
                <c:pt idx="1315">
                  <c:v>2018-08-14</c:v>
                </c:pt>
                <c:pt idx="1316">
                  <c:v>2018-08-15</c:v>
                </c:pt>
                <c:pt idx="1317">
                  <c:v>2018-08-16</c:v>
                </c:pt>
                <c:pt idx="1318">
                  <c:v>2018-08-17</c:v>
                </c:pt>
                <c:pt idx="1319">
                  <c:v>2018-08-20</c:v>
                </c:pt>
                <c:pt idx="1320">
                  <c:v>2018-08-21</c:v>
                </c:pt>
                <c:pt idx="1321">
                  <c:v>2018-08-22</c:v>
                </c:pt>
                <c:pt idx="1322">
                  <c:v>2018-08-23</c:v>
                </c:pt>
                <c:pt idx="1323">
                  <c:v>2018-08-24</c:v>
                </c:pt>
                <c:pt idx="1324">
                  <c:v>2018-08-27</c:v>
                </c:pt>
                <c:pt idx="1325">
                  <c:v>2018-08-28</c:v>
                </c:pt>
                <c:pt idx="1326">
                  <c:v>2018-08-29</c:v>
                </c:pt>
                <c:pt idx="1327">
                  <c:v>2018-08-30</c:v>
                </c:pt>
                <c:pt idx="1328">
                  <c:v>2018-08-31</c:v>
                </c:pt>
                <c:pt idx="1329">
                  <c:v>2018-09-03</c:v>
                </c:pt>
                <c:pt idx="1330">
                  <c:v>2018-09-04</c:v>
                </c:pt>
                <c:pt idx="1331">
                  <c:v>2018-09-05</c:v>
                </c:pt>
                <c:pt idx="1332">
                  <c:v>2018-09-06</c:v>
                </c:pt>
                <c:pt idx="1333">
                  <c:v>2018-09-07</c:v>
                </c:pt>
                <c:pt idx="1334">
                  <c:v>2018-09-10</c:v>
                </c:pt>
                <c:pt idx="1335">
                  <c:v>2018-09-11</c:v>
                </c:pt>
                <c:pt idx="1336">
                  <c:v>2018-09-12</c:v>
                </c:pt>
                <c:pt idx="1337">
                  <c:v>2018-09-13</c:v>
                </c:pt>
                <c:pt idx="1338">
                  <c:v>2018-09-14</c:v>
                </c:pt>
                <c:pt idx="1339">
                  <c:v>2018-09-17</c:v>
                </c:pt>
                <c:pt idx="1340">
                  <c:v>2018-09-18</c:v>
                </c:pt>
                <c:pt idx="1341">
                  <c:v>2018-09-19</c:v>
                </c:pt>
                <c:pt idx="1342">
                  <c:v>2018-09-20</c:v>
                </c:pt>
                <c:pt idx="1343">
                  <c:v>2018-09-21</c:v>
                </c:pt>
                <c:pt idx="1344">
                  <c:v>2018-09-25</c:v>
                </c:pt>
                <c:pt idx="1345">
                  <c:v>2018-09-26</c:v>
                </c:pt>
                <c:pt idx="1346">
                  <c:v>2018-09-27</c:v>
                </c:pt>
                <c:pt idx="1347">
                  <c:v>2018-09-28</c:v>
                </c:pt>
                <c:pt idx="1348">
                  <c:v>2018-10-08</c:v>
                </c:pt>
                <c:pt idx="1349">
                  <c:v>2018-10-09</c:v>
                </c:pt>
                <c:pt idx="1350">
                  <c:v>2018-10-10</c:v>
                </c:pt>
                <c:pt idx="1351">
                  <c:v>2018-10-11</c:v>
                </c:pt>
                <c:pt idx="1352">
                  <c:v>2018-10-12</c:v>
                </c:pt>
                <c:pt idx="1353">
                  <c:v>2018-10-15</c:v>
                </c:pt>
                <c:pt idx="1354">
                  <c:v>2018-10-16</c:v>
                </c:pt>
                <c:pt idx="1355">
                  <c:v>2018-10-17</c:v>
                </c:pt>
                <c:pt idx="1356">
                  <c:v>2018-10-18</c:v>
                </c:pt>
                <c:pt idx="1357">
                  <c:v>2018-10-19</c:v>
                </c:pt>
                <c:pt idx="1358">
                  <c:v>2018-10-22</c:v>
                </c:pt>
                <c:pt idx="1359">
                  <c:v>2018-10-23</c:v>
                </c:pt>
                <c:pt idx="1360">
                  <c:v>2018-10-24</c:v>
                </c:pt>
                <c:pt idx="1361">
                  <c:v>2018-10-25</c:v>
                </c:pt>
                <c:pt idx="1362">
                  <c:v>2018-10-26</c:v>
                </c:pt>
                <c:pt idx="1363">
                  <c:v>2018-10-29</c:v>
                </c:pt>
                <c:pt idx="1364">
                  <c:v>2018-10-30</c:v>
                </c:pt>
                <c:pt idx="1365">
                  <c:v>2018-10-31</c:v>
                </c:pt>
                <c:pt idx="1366">
                  <c:v>2018-11-01</c:v>
                </c:pt>
                <c:pt idx="1367">
                  <c:v>2018-11-02</c:v>
                </c:pt>
                <c:pt idx="1368">
                  <c:v>2018-11-05</c:v>
                </c:pt>
                <c:pt idx="1369">
                  <c:v>2018-11-06</c:v>
                </c:pt>
                <c:pt idx="1370">
                  <c:v>2018-11-07</c:v>
                </c:pt>
                <c:pt idx="1371">
                  <c:v>2018-11-08</c:v>
                </c:pt>
                <c:pt idx="1372">
                  <c:v>2018-11-09</c:v>
                </c:pt>
                <c:pt idx="1373">
                  <c:v>2018-11-12</c:v>
                </c:pt>
                <c:pt idx="1374">
                  <c:v>2018-11-13</c:v>
                </c:pt>
                <c:pt idx="1375">
                  <c:v>2018-11-14</c:v>
                </c:pt>
                <c:pt idx="1376">
                  <c:v>2018-11-15</c:v>
                </c:pt>
                <c:pt idx="1377">
                  <c:v>2018-11-16</c:v>
                </c:pt>
                <c:pt idx="1378">
                  <c:v>2018-11-19</c:v>
                </c:pt>
                <c:pt idx="1379">
                  <c:v>2018-11-20</c:v>
                </c:pt>
                <c:pt idx="1380">
                  <c:v>2018-11-21</c:v>
                </c:pt>
                <c:pt idx="1381">
                  <c:v>2018-11-22</c:v>
                </c:pt>
                <c:pt idx="1382">
                  <c:v>2018-11-23</c:v>
                </c:pt>
                <c:pt idx="1383">
                  <c:v>2018-11-26</c:v>
                </c:pt>
                <c:pt idx="1384">
                  <c:v>2018-11-27</c:v>
                </c:pt>
                <c:pt idx="1385">
                  <c:v>2018-11-28</c:v>
                </c:pt>
                <c:pt idx="1386">
                  <c:v>2018-11-29</c:v>
                </c:pt>
                <c:pt idx="1387">
                  <c:v>2018-11-30</c:v>
                </c:pt>
                <c:pt idx="1388">
                  <c:v>2018-12-03</c:v>
                </c:pt>
                <c:pt idx="1389">
                  <c:v>2018-12-04</c:v>
                </c:pt>
                <c:pt idx="1390">
                  <c:v>2018-12-05</c:v>
                </c:pt>
                <c:pt idx="1391">
                  <c:v>2018-12-06</c:v>
                </c:pt>
                <c:pt idx="1392">
                  <c:v>2018-12-07</c:v>
                </c:pt>
                <c:pt idx="1393">
                  <c:v>2018-12-10</c:v>
                </c:pt>
                <c:pt idx="1394">
                  <c:v>2018-12-11</c:v>
                </c:pt>
                <c:pt idx="1395">
                  <c:v>2018-12-12</c:v>
                </c:pt>
                <c:pt idx="1396">
                  <c:v>2018-12-13</c:v>
                </c:pt>
                <c:pt idx="1397">
                  <c:v>2018-12-14</c:v>
                </c:pt>
                <c:pt idx="1398">
                  <c:v>2018-12-17</c:v>
                </c:pt>
                <c:pt idx="1399">
                  <c:v>2018-12-18</c:v>
                </c:pt>
                <c:pt idx="1400">
                  <c:v>2018-12-19</c:v>
                </c:pt>
                <c:pt idx="1401">
                  <c:v>2018-12-20</c:v>
                </c:pt>
                <c:pt idx="1402">
                  <c:v>2018-12-21</c:v>
                </c:pt>
                <c:pt idx="1403">
                  <c:v>2018-12-24</c:v>
                </c:pt>
                <c:pt idx="1404">
                  <c:v>2018-12-25</c:v>
                </c:pt>
                <c:pt idx="1405">
                  <c:v>2018-12-26</c:v>
                </c:pt>
                <c:pt idx="1406">
                  <c:v>2018-12-27</c:v>
                </c:pt>
                <c:pt idx="1407">
                  <c:v>2018-12-28</c:v>
                </c:pt>
                <c:pt idx="1408">
                  <c:v>2019-01-02</c:v>
                </c:pt>
                <c:pt idx="1409">
                  <c:v>2019-01-03</c:v>
                </c:pt>
                <c:pt idx="1410">
                  <c:v>2019-01-04</c:v>
                </c:pt>
                <c:pt idx="1411">
                  <c:v>2019-01-07</c:v>
                </c:pt>
                <c:pt idx="1412">
                  <c:v>2019-01-08</c:v>
                </c:pt>
                <c:pt idx="1413">
                  <c:v>2019-01-09</c:v>
                </c:pt>
                <c:pt idx="1414">
                  <c:v>2019-01-10</c:v>
                </c:pt>
                <c:pt idx="1415">
                  <c:v>2019-01-11</c:v>
                </c:pt>
                <c:pt idx="1416">
                  <c:v>2019-01-14</c:v>
                </c:pt>
                <c:pt idx="1417">
                  <c:v>2019-01-15</c:v>
                </c:pt>
                <c:pt idx="1418">
                  <c:v>2019-01-16</c:v>
                </c:pt>
                <c:pt idx="1419">
                  <c:v>2019-01-17</c:v>
                </c:pt>
                <c:pt idx="1420">
                  <c:v>2019-01-18</c:v>
                </c:pt>
                <c:pt idx="1421">
                  <c:v>2019-01-21</c:v>
                </c:pt>
                <c:pt idx="1422">
                  <c:v>2019-01-22</c:v>
                </c:pt>
                <c:pt idx="1423">
                  <c:v>2019-01-23</c:v>
                </c:pt>
                <c:pt idx="1424">
                  <c:v>2019-01-24</c:v>
                </c:pt>
                <c:pt idx="1425">
                  <c:v>2019-01-25</c:v>
                </c:pt>
                <c:pt idx="1426">
                  <c:v>2019-01-28</c:v>
                </c:pt>
                <c:pt idx="1427">
                  <c:v>2019-01-29</c:v>
                </c:pt>
                <c:pt idx="1428">
                  <c:v>2019-01-30</c:v>
                </c:pt>
                <c:pt idx="1429">
                  <c:v>2019-01-31</c:v>
                </c:pt>
                <c:pt idx="1430">
                  <c:v>2019-02-01</c:v>
                </c:pt>
                <c:pt idx="1431">
                  <c:v>2019-02-11</c:v>
                </c:pt>
                <c:pt idx="1432">
                  <c:v>2019-02-12</c:v>
                </c:pt>
                <c:pt idx="1433">
                  <c:v>2019-02-13</c:v>
                </c:pt>
                <c:pt idx="1434">
                  <c:v>2019-02-14</c:v>
                </c:pt>
                <c:pt idx="1435">
                  <c:v>2019-02-15</c:v>
                </c:pt>
                <c:pt idx="1436">
                  <c:v>2019-02-18</c:v>
                </c:pt>
                <c:pt idx="1437">
                  <c:v>2019-02-19</c:v>
                </c:pt>
                <c:pt idx="1438">
                  <c:v>2019-02-20</c:v>
                </c:pt>
                <c:pt idx="1439">
                  <c:v>2019-02-21</c:v>
                </c:pt>
                <c:pt idx="1440">
                  <c:v>2019-02-22</c:v>
                </c:pt>
                <c:pt idx="1441">
                  <c:v>2019-02-25</c:v>
                </c:pt>
                <c:pt idx="1442">
                  <c:v>2019-02-26</c:v>
                </c:pt>
                <c:pt idx="1443">
                  <c:v>2019-02-27</c:v>
                </c:pt>
                <c:pt idx="1444">
                  <c:v>2019-02-28</c:v>
                </c:pt>
                <c:pt idx="1445">
                  <c:v>2019-03-01</c:v>
                </c:pt>
                <c:pt idx="1446">
                  <c:v>2019-03-04</c:v>
                </c:pt>
                <c:pt idx="1447">
                  <c:v>2019-03-05</c:v>
                </c:pt>
                <c:pt idx="1448">
                  <c:v>2019-03-06</c:v>
                </c:pt>
                <c:pt idx="1449">
                  <c:v>2019-03-07</c:v>
                </c:pt>
                <c:pt idx="1450">
                  <c:v>2019-03-08</c:v>
                </c:pt>
                <c:pt idx="1451">
                  <c:v>2019-03-11</c:v>
                </c:pt>
                <c:pt idx="1452">
                  <c:v>2019-03-12</c:v>
                </c:pt>
                <c:pt idx="1453">
                  <c:v>2019-03-13</c:v>
                </c:pt>
                <c:pt idx="1454">
                  <c:v>2019-03-14</c:v>
                </c:pt>
                <c:pt idx="1455">
                  <c:v>2019-03-15</c:v>
                </c:pt>
                <c:pt idx="1456">
                  <c:v>2019-03-18</c:v>
                </c:pt>
                <c:pt idx="1457">
                  <c:v>2019-03-19</c:v>
                </c:pt>
                <c:pt idx="1458">
                  <c:v>2019-03-20</c:v>
                </c:pt>
                <c:pt idx="1459">
                  <c:v>2019-03-21</c:v>
                </c:pt>
                <c:pt idx="1460">
                  <c:v>2019-03-22</c:v>
                </c:pt>
                <c:pt idx="1461">
                  <c:v>2019-03-25</c:v>
                </c:pt>
                <c:pt idx="1462">
                  <c:v>2019-03-26</c:v>
                </c:pt>
                <c:pt idx="1463">
                  <c:v>2019-03-27</c:v>
                </c:pt>
                <c:pt idx="1464">
                  <c:v>2019-03-28</c:v>
                </c:pt>
                <c:pt idx="1465">
                  <c:v>2019-03-29</c:v>
                </c:pt>
                <c:pt idx="1466">
                  <c:v>2019-04-01</c:v>
                </c:pt>
                <c:pt idx="1467">
                  <c:v>2019-04-02</c:v>
                </c:pt>
                <c:pt idx="1468">
                  <c:v>2019-04-03</c:v>
                </c:pt>
                <c:pt idx="1469">
                  <c:v>2019-04-04</c:v>
                </c:pt>
                <c:pt idx="1470">
                  <c:v>2019-04-08</c:v>
                </c:pt>
                <c:pt idx="1471">
                  <c:v>2019-04-09</c:v>
                </c:pt>
                <c:pt idx="1472">
                  <c:v>2019-04-10</c:v>
                </c:pt>
                <c:pt idx="1473">
                  <c:v>2019-04-11</c:v>
                </c:pt>
                <c:pt idx="1474">
                  <c:v>2019-04-12</c:v>
                </c:pt>
                <c:pt idx="1475">
                  <c:v>2019-04-15</c:v>
                </c:pt>
                <c:pt idx="1476">
                  <c:v>2019-04-16</c:v>
                </c:pt>
                <c:pt idx="1477">
                  <c:v>2019-04-17</c:v>
                </c:pt>
                <c:pt idx="1478">
                  <c:v>2019-04-18</c:v>
                </c:pt>
                <c:pt idx="1479">
                  <c:v>2019-04-19</c:v>
                </c:pt>
                <c:pt idx="1480">
                  <c:v>2019-04-22</c:v>
                </c:pt>
                <c:pt idx="1481">
                  <c:v>2019-04-23</c:v>
                </c:pt>
                <c:pt idx="1482">
                  <c:v>2019-04-24</c:v>
                </c:pt>
                <c:pt idx="1483">
                  <c:v>2019-04-25</c:v>
                </c:pt>
                <c:pt idx="1484">
                  <c:v>2019-04-26</c:v>
                </c:pt>
                <c:pt idx="1485">
                  <c:v>2019-04-29</c:v>
                </c:pt>
                <c:pt idx="1486">
                  <c:v>2019-04-30</c:v>
                </c:pt>
                <c:pt idx="1487">
                  <c:v>2019-05-06</c:v>
                </c:pt>
                <c:pt idx="1488">
                  <c:v>2019-05-07</c:v>
                </c:pt>
                <c:pt idx="1489">
                  <c:v>2019-05-08</c:v>
                </c:pt>
                <c:pt idx="1490">
                  <c:v>2019-05-09</c:v>
                </c:pt>
                <c:pt idx="1491">
                  <c:v>2019-05-10</c:v>
                </c:pt>
                <c:pt idx="1492">
                  <c:v>2019-05-13</c:v>
                </c:pt>
                <c:pt idx="1493">
                  <c:v>2019-05-14</c:v>
                </c:pt>
                <c:pt idx="1494">
                  <c:v>2019-05-15</c:v>
                </c:pt>
                <c:pt idx="1495">
                  <c:v>2019-05-16</c:v>
                </c:pt>
                <c:pt idx="1496">
                  <c:v>2019-05-17</c:v>
                </c:pt>
                <c:pt idx="1497">
                  <c:v>2019-05-20</c:v>
                </c:pt>
                <c:pt idx="1498">
                  <c:v>2019-05-21</c:v>
                </c:pt>
                <c:pt idx="1499">
                  <c:v>2019-05-22</c:v>
                </c:pt>
                <c:pt idx="1500">
                  <c:v>2019-05-23</c:v>
                </c:pt>
                <c:pt idx="1501">
                  <c:v>2019-05-24</c:v>
                </c:pt>
                <c:pt idx="1502">
                  <c:v>2019-05-27</c:v>
                </c:pt>
                <c:pt idx="1503">
                  <c:v>2019-05-28</c:v>
                </c:pt>
                <c:pt idx="1504">
                  <c:v>2019-05-29</c:v>
                </c:pt>
                <c:pt idx="1505">
                  <c:v>2019-05-30</c:v>
                </c:pt>
                <c:pt idx="1506">
                  <c:v>2019-05-31</c:v>
                </c:pt>
                <c:pt idx="1507">
                  <c:v>2019-06-03</c:v>
                </c:pt>
                <c:pt idx="1508">
                  <c:v>2019-06-04</c:v>
                </c:pt>
                <c:pt idx="1509">
                  <c:v>2019-06-05</c:v>
                </c:pt>
                <c:pt idx="1510">
                  <c:v>2019-06-06</c:v>
                </c:pt>
                <c:pt idx="1511">
                  <c:v>2019-06-10</c:v>
                </c:pt>
                <c:pt idx="1512">
                  <c:v>2019-06-11</c:v>
                </c:pt>
                <c:pt idx="1513">
                  <c:v>2019-06-12</c:v>
                </c:pt>
                <c:pt idx="1514">
                  <c:v>2019-06-13</c:v>
                </c:pt>
                <c:pt idx="1515">
                  <c:v>2019-06-14</c:v>
                </c:pt>
                <c:pt idx="1516">
                  <c:v>2019-06-17</c:v>
                </c:pt>
                <c:pt idx="1517">
                  <c:v>2019-06-18</c:v>
                </c:pt>
                <c:pt idx="1518">
                  <c:v>2019-06-19</c:v>
                </c:pt>
                <c:pt idx="1519">
                  <c:v>2019-06-20</c:v>
                </c:pt>
                <c:pt idx="1520">
                  <c:v>2019-06-21</c:v>
                </c:pt>
                <c:pt idx="1521">
                  <c:v>2019-06-24</c:v>
                </c:pt>
                <c:pt idx="1522">
                  <c:v>2019-06-25</c:v>
                </c:pt>
                <c:pt idx="1523">
                  <c:v>2019-06-26</c:v>
                </c:pt>
                <c:pt idx="1524">
                  <c:v>2019-06-27</c:v>
                </c:pt>
                <c:pt idx="1525">
                  <c:v>2019-06-28</c:v>
                </c:pt>
                <c:pt idx="1526">
                  <c:v>2019-07-01</c:v>
                </c:pt>
                <c:pt idx="1527">
                  <c:v>2019-07-02</c:v>
                </c:pt>
                <c:pt idx="1528">
                  <c:v>2019-07-03</c:v>
                </c:pt>
                <c:pt idx="1529">
                  <c:v>2019-07-04</c:v>
                </c:pt>
                <c:pt idx="1530">
                  <c:v>2019-07-05</c:v>
                </c:pt>
                <c:pt idx="1531">
                  <c:v>2019-07-08</c:v>
                </c:pt>
                <c:pt idx="1532">
                  <c:v>2019-07-09</c:v>
                </c:pt>
                <c:pt idx="1533">
                  <c:v>2019-07-10</c:v>
                </c:pt>
                <c:pt idx="1534">
                  <c:v>2019-07-11</c:v>
                </c:pt>
                <c:pt idx="1535">
                  <c:v>2019-07-12</c:v>
                </c:pt>
                <c:pt idx="1536">
                  <c:v>2019-07-15</c:v>
                </c:pt>
                <c:pt idx="1537">
                  <c:v>2019-07-16</c:v>
                </c:pt>
                <c:pt idx="1538">
                  <c:v>2019-07-17</c:v>
                </c:pt>
                <c:pt idx="1539">
                  <c:v>2019-07-18</c:v>
                </c:pt>
                <c:pt idx="1540">
                  <c:v>2019-07-19</c:v>
                </c:pt>
                <c:pt idx="1541">
                  <c:v>2019-07-22</c:v>
                </c:pt>
                <c:pt idx="1542">
                  <c:v>2019-07-23</c:v>
                </c:pt>
                <c:pt idx="1543">
                  <c:v>2019-07-24</c:v>
                </c:pt>
                <c:pt idx="1544">
                  <c:v>2019-07-25</c:v>
                </c:pt>
                <c:pt idx="1545">
                  <c:v>2019-07-26</c:v>
                </c:pt>
                <c:pt idx="1546">
                  <c:v>2019-07-29</c:v>
                </c:pt>
                <c:pt idx="1547">
                  <c:v>2019-07-30</c:v>
                </c:pt>
                <c:pt idx="1548">
                  <c:v>2019-07-31</c:v>
                </c:pt>
                <c:pt idx="1549">
                  <c:v>2019-08-01</c:v>
                </c:pt>
                <c:pt idx="1550">
                  <c:v>2019-08-02</c:v>
                </c:pt>
                <c:pt idx="1551">
                  <c:v>2019-08-05</c:v>
                </c:pt>
                <c:pt idx="1552">
                  <c:v>2019-08-06</c:v>
                </c:pt>
                <c:pt idx="1553">
                  <c:v>2019-08-07</c:v>
                </c:pt>
                <c:pt idx="1554">
                  <c:v>2019-08-08</c:v>
                </c:pt>
                <c:pt idx="1555">
                  <c:v>2019-08-09</c:v>
                </c:pt>
                <c:pt idx="1556">
                  <c:v>2019-08-12</c:v>
                </c:pt>
                <c:pt idx="1557">
                  <c:v>2019-08-13</c:v>
                </c:pt>
                <c:pt idx="1558">
                  <c:v>2019-08-14</c:v>
                </c:pt>
                <c:pt idx="1559">
                  <c:v>2019-08-15</c:v>
                </c:pt>
                <c:pt idx="1560">
                  <c:v>2019-08-16</c:v>
                </c:pt>
                <c:pt idx="1561">
                  <c:v>2019-08-19</c:v>
                </c:pt>
                <c:pt idx="1562">
                  <c:v>2019-08-20</c:v>
                </c:pt>
                <c:pt idx="1563">
                  <c:v>2019-08-21</c:v>
                </c:pt>
                <c:pt idx="1564">
                  <c:v>2019-08-22</c:v>
                </c:pt>
                <c:pt idx="1565">
                  <c:v>2019-08-23</c:v>
                </c:pt>
                <c:pt idx="1566">
                  <c:v>2019-08-26</c:v>
                </c:pt>
                <c:pt idx="1567">
                  <c:v>2019-08-27</c:v>
                </c:pt>
                <c:pt idx="1568">
                  <c:v>2019-08-28</c:v>
                </c:pt>
                <c:pt idx="1569">
                  <c:v>2019-08-29</c:v>
                </c:pt>
                <c:pt idx="1570">
                  <c:v>2019-08-30</c:v>
                </c:pt>
                <c:pt idx="1571">
                  <c:v>2019-09-02</c:v>
                </c:pt>
                <c:pt idx="1572">
                  <c:v>2019-09-03</c:v>
                </c:pt>
                <c:pt idx="1573">
                  <c:v>2019-09-04</c:v>
                </c:pt>
                <c:pt idx="1574">
                  <c:v>2019-09-05</c:v>
                </c:pt>
                <c:pt idx="1575">
                  <c:v>2019-09-06</c:v>
                </c:pt>
                <c:pt idx="1576">
                  <c:v>2019-09-09</c:v>
                </c:pt>
                <c:pt idx="1577">
                  <c:v>2019-09-10</c:v>
                </c:pt>
                <c:pt idx="1578">
                  <c:v>2019-09-11</c:v>
                </c:pt>
                <c:pt idx="1579">
                  <c:v>2019-09-12</c:v>
                </c:pt>
                <c:pt idx="1580">
                  <c:v>2019-09-16</c:v>
                </c:pt>
                <c:pt idx="1581">
                  <c:v>2019-09-17</c:v>
                </c:pt>
                <c:pt idx="1582">
                  <c:v>2019-09-18</c:v>
                </c:pt>
                <c:pt idx="1583">
                  <c:v>2019-09-19</c:v>
                </c:pt>
                <c:pt idx="1584">
                  <c:v>2019-09-20</c:v>
                </c:pt>
                <c:pt idx="1585">
                  <c:v>2019-09-23</c:v>
                </c:pt>
                <c:pt idx="1586">
                  <c:v>2019-09-24</c:v>
                </c:pt>
                <c:pt idx="1587">
                  <c:v>2019-09-25</c:v>
                </c:pt>
                <c:pt idx="1588">
                  <c:v>2019-09-26</c:v>
                </c:pt>
                <c:pt idx="1589">
                  <c:v>2019-09-27</c:v>
                </c:pt>
                <c:pt idx="1590">
                  <c:v>2019-09-30</c:v>
                </c:pt>
                <c:pt idx="1591">
                  <c:v>2019-10-08</c:v>
                </c:pt>
                <c:pt idx="1592">
                  <c:v>2019-10-09</c:v>
                </c:pt>
                <c:pt idx="1593">
                  <c:v>2019-10-10</c:v>
                </c:pt>
                <c:pt idx="1594">
                  <c:v>2019-10-11</c:v>
                </c:pt>
                <c:pt idx="1595">
                  <c:v>2019-10-14</c:v>
                </c:pt>
                <c:pt idx="1596">
                  <c:v>2019-10-15</c:v>
                </c:pt>
                <c:pt idx="1597">
                  <c:v>2019-10-16</c:v>
                </c:pt>
                <c:pt idx="1598">
                  <c:v>2019-10-17</c:v>
                </c:pt>
                <c:pt idx="1599">
                  <c:v>2019-10-18</c:v>
                </c:pt>
                <c:pt idx="1600">
                  <c:v>2019-10-21</c:v>
                </c:pt>
                <c:pt idx="1601">
                  <c:v>2019-10-22</c:v>
                </c:pt>
                <c:pt idx="1602">
                  <c:v>2019-10-23</c:v>
                </c:pt>
                <c:pt idx="1603">
                  <c:v>2019-10-24</c:v>
                </c:pt>
                <c:pt idx="1604">
                  <c:v>2019-10-25</c:v>
                </c:pt>
                <c:pt idx="1605">
                  <c:v>2019-10-28</c:v>
                </c:pt>
                <c:pt idx="1606">
                  <c:v>2019-10-29</c:v>
                </c:pt>
                <c:pt idx="1607">
                  <c:v>2019-10-30</c:v>
                </c:pt>
                <c:pt idx="1608">
                  <c:v>2019-10-31</c:v>
                </c:pt>
                <c:pt idx="1609">
                  <c:v>2019-11-01</c:v>
                </c:pt>
                <c:pt idx="1610">
                  <c:v>2019-11-04</c:v>
                </c:pt>
                <c:pt idx="1611">
                  <c:v>2019-11-05</c:v>
                </c:pt>
                <c:pt idx="1612">
                  <c:v>2019-11-06</c:v>
                </c:pt>
                <c:pt idx="1613">
                  <c:v>2019-11-07</c:v>
                </c:pt>
                <c:pt idx="1614">
                  <c:v>2019-11-08</c:v>
                </c:pt>
                <c:pt idx="1615">
                  <c:v>2019-11-11</c:v>
                </c:pt>
                <c:pt idx="1616">
                  <c:v>2019-11-12</c:v>
                </c:pt>
                <c:pt idx="1617">
                  <c:v>2019-11-13</c:v>
                </c:pt>
                <c:pt idx="1618">
                  <c:v>2019-11-14</c:v>
                </c:pt>
                <c:pt idx="1619">
                  <c:v>2019-11-15</c:v>
                </c:pt>
                <c:pt idx="1620">
                  <c:v>2019-11-18</c:v>
                </c:pt>
                <c:pt idx="1621">
                  <c:v>2019-11-19</c:v>
                </c:pt>
                <c:pt idx="1622">
                  <c:v>2019-11-20</c:v>
                </c:pt>
                <c:pt idx="1623">
                  <c:v>2019-11-21</c:v>
                </c:pt>
                <c:pt idx="1624">
                  <c:v>2019-11-22</c:v>
                </c:pt>
                <c:pt idx="1625">
                  <c:v>2019-11-25</c:v>
                </c:pt>
                <c:pt idx="1626">
                  <c:v>2019-11-26</c:v>
                </c:pt>
                <c:pt idx="1627">
                  <c:v>2019-11-27</c:v>
                </c:pt>
                <c:pt idx="1628">
                  <c:v>2019-11-28</c:v>
                </c:pt>
                <c:pt idx="1629">
                  <c:v>2019-11-29</c:v>
                </c:pt>
                <c:pt idx="1630">
                  <c:v>2019-12-02</c:v>
                </c:pt>
                <c:pt idx="1631">
                  <c:v>2019-12-03</c:v>
                </c:pt>
                <c:pt idx="1632">
                  <c:v>2019-12-04</c:v>
                </c:pt>
                <c:pt idx="1633">
                  <c:v>2019-12-05</c:v>
                </c:pt>
                <c:pt idx="1634">
                  <c:v>2019-12-06</c:v>
                </c:pt>
                <c:pt idx="1635">
                  <c:v>2019-12-09</c:v>
                </c:pt>
                <c:pt idx="1636">
                  <c:v>2019-12-10</c:v>
                </c:pt>
                <c:pt idx="1637">
                  <c:v>2019-12-11</c:v>
                </c:pt>
                <c:pt idx="1638">
                  <c:v>2019-12-12</c:v>
                </c:pt>
                <c:pt idx="1639">
                  <c:v>2019-12-13</c:v>
                </c:pt>
                <c:pt idx="1640">
                  <c:v>2019-12-16</c:v>
                </c:pt>
                <c:pt idx="1641">
                  <c:v>2019-12-17</c:v>
                </c:pt>
                <c:pt idx="1642">
                  <c:v>2019-12-18</c:v>
                </c:pt>
                <c:pt idx="1643">
                  <c:v>2019-12-19</c:v>
                </c:pt>
                <c:pt idx="1644">
                  <c:v>2019-12-20</c:v>
                </c:pt>
                <c:pt idx="1645">
                  <c:v>2019-12-23</c:v>
                </c:pt>
                <c:pt idx="1646">
                  <c:v>2019-12-24</c:v>
                </c:pt>
                <c:pt idx="1647">
                  <c:v>2019-12-25</c:v>
                </c:pt>
                <c:pt idx="1648">
                  <c:v>2019-12-26</c:v>
                </c:pt>
                <c:pt idx="1649">
                  <c:v>2019-12-27</c:v>
                </c:pt>
                <c:pt idx="1650">
                  <c:v>2019-12-30</c:v>
                </c:pt>
                <c:pt idx="1651">
                  <c:v>2019-12-31</c:v>
                </c:pt>
                <c:pt idx="1652">
                  <c:v>2020-01-02</c:v>
                </c:pt>
                <c:pt idx="1653">
                  <c:v>2020-01-03</c:v>
                </c:pt>
                <c:pt idx="1654">
                  <c:v>2020-01-06</c:v>
                </c:pt>
                <c:pt idx="1655">
                  <c:v>2020-01-07</c:v>
                </c:pt>
                <c:pt idx="1656">
                  <c:v>2020-01-08</c:v>
                </c:pt>
                <c:pt idx="1657">
                  <c:v>2020-01-09</c:v>
                </c:pt>
                <c:pt idx="1658">
                  <c:v>2020-01-10</c:v>
                </c:pt>
                <c:pt idx="1659">
                  <c:v>2020-01-13</c:v>
                </c:pt>
                <c:pt idx="1660">
                  <c:v>2020-01-14</c:v>
                </c:pt>
                <c:pt idx="1661">
                  <c:v>2020-01-15</c:v>
                </c:pt>
                <c:pt idx="1662">
                  <c:v>2020-01-16</c:v>
                </c:pt>
                <c:pt idx="1663">
                  <c:v>2020-01-17</c:v>
                </c:pt>
                <c:pt idx="1664">
                  <c:v>2020-01-20</c:v>
                </c:pt>
                <c:pt idx="1665">
                  <c:v>2020-01-21</c:v>
                </c:pt>
                <c:pt idx="1666">
                  <c:v>2020-01-22</c:v>
                </c:pt>
                <c:pt idx="1667">
                  <c:v>2020-01-23</c:v>
                </c:pt>
                <c:pt idx="1668">
                  <c:v>2020-02-03</c:v>
                </c:pt>
                <c:pt idx="1669">
                  <c:v>2020-02-04</c:v>
                </c:pt>
                <c:pt idx="1670">
                  <c:v>2020-02-05</c:v>
                </c:pt>
                <c:pt idx="1671">
                  <c:v>2020-02-06</c:v>
                </c:pt>
                <c:pt idx="1672">
                  <c:v>2020-02-07</c:v>
                </c:pt>
                <c:pt idx="1673">
                  <c:v>2020-02-10</c:v>
                </c:pt>
                <c:pt idx="1674">
                  <c:v>2020-02-11</c:v>
                </c:pt>
                <c:pt idx="1675">
                  <c:v>2020-02-12</c:v>
                </c:pt>
                <c:pt idx="1676">
                  <c:v>2020-02-13</c:v>
                </c:pt>
                <c:pt idx="1677">
                  <c:v>2020-02-14</c:v>
                </c:pt>
                <c:pt idx="1678">
                  <c:v>2020-02-17</c:v>
                </c:pt>
                <c:pt idx="1679">
                  <c:v>2020-02-18</c:v>
                </c:pt>
                <c:pt idx="1680">
                  <c:v>2020-02-19</c:v>
                </c:pt>
                <c:pt idx="1681">
                  <c:v>2020-02-20</c:v>
                </c:pt>
                <c:pt idx="1682">
                  <c:v>2020-02-21</c:v>
                </c:pt>
                <c:pt idx="1683">
                  <c:v>2020-02-24</c:v>
                </c:pt>
                <c:pt idx="1684">
                  <c:v>2020-02-25</c:v>
                </c:pt>
                <c:pt idx="1685">
                  <c:v>2020-02-26</c:v>
                </c:pt>
                <c:pt idx="1686">
                  <c:v>2020-02-27</c:v>
                </c:pt>
                <c:pt idx="1687">
                  <c:v>2020-02-28</c:v>
                </c:pt>
                <c:pt idx="1688">
                  <c:v>2020-03-02</c:v>
                </c:pt>
                <c:pt idx="1689">
                  <c:v>2020-03-03</c:v>
                </c:pt>
                <c:pt idx="1690">
                  <c:v>2020-03-04</c:v>
                </c:pt>
                <c:pt idx="1691">
                  <c:v>2020-03-05</c:v>
                </c:pt>
                <c:pt idx="1692">
                  <c:v>2020-03-06</c:v>
                </c:pt>
                <c:pt idx="1693">
                  <c:v>2020-03-09</c:v>
                </c:pt>
                <c:pt idx="1694">
                  <c:v>2020-03-10</c:v>
                </c:pt>
                <c:pt idx="1695">
                  <c:v>2020-03-11</c:v>
                </c:pt>
                <c:pt idx="1696">
                  <c:v>2020-03-12</c:v>
                </c:pt>
                <c:pt idx="1697">
                  <c:v>2020-03-13</c:v>
                </c:pt>
                <c:pt idx="1698">
                  <c:v>2020-03-16</c:v>
                </c:pt>
                <c:pt idx="1699">
                  <c:v>2020-03-17</c:v>
                </c:pt>
                <c:pt idx="1700">
                  <c:v>2020-03-18</c:v>
                </c:pt>
                <c:pt idx="1701">
                  <c:v>2020-03-19</c:v>
                </c:pt>
                <c:pt idx="1702">
                  <c:v>2020-03-20</c:v>
                </c:pt>
                <c:pt idx="1703">
                  <c:v>2020-03-23</c:v>
                </c:pt>
                <c:pt idx="1704">
                  <c:v>2020-03-24</c:v>
                </c:pt>
                <c:pt idx="1705">
                  <c:v>2020-03-25</c:v>
                </c:pt>
                <c:pt idx="1706">
                  <c:v>2020-03-26</c:v>
                </c:pt>
                <c:pt idx="1707">
                  <c:v>2020-03-27</c:v>
                </c:pt>
                <c:pt idx="1708">
                  <c:v>2020-03-30</c:v>
                </c:pt>
                <c:pt idx="1709">
                  <c:v>2020-03-31</c:v>
                </c:pt>
                <c:pt idx="1710">
                  <c:v>2020-04-01</c:v>
                </c:pt>
                <c:pt idx="1711">
                  <c:v>2020-04-02</c:v>
                </c:pt>
                <c:pt idx="1712">
                  <c:v>2020-04-03</c:v>
                </c:pt>
                <c:pt idx="1713">
                  <c:v>2020-04-07</c:v>
                </c:pt>
                <c:pt idx="1714">
                  <c:v>2020-04-08</c:v>
                </c:pt>
                <c:pt idx="1715">
                  <c:v>2020-04-09</c:v>
                </c:pt>
                <c:pt idx="1716">
                  <c:v>2020-04-10</c:v>
                </c:pt>
                <c:pt idx="1717">
                  <c:v>2020-04-13</c:v>
                </c:pt>
                <c:pt idx="1718">
                  <c:v>2020-04-14</c:v>
                </c:pt>
                <c:pt idx="1719">
                  <c:v>2020-04-15</c:v>
                </c:pt>
                <c:pt idx="1720">
                  <c:v>2020-04-16</c:v>
                </c:pt>
                <c:pt idx="1721">
                  <c:v>2020-04-17</c:v>
                </c:pt>
                <c:pt idx="1722">
                  <c:v>2020-04-20</c:v>
                </c:pt>
                <c:pt idx="1723">
                  <c:v>2020-04-21</c:v>
                </c:pt>
                <c:pt idx="1724">
                  <c:v>2020-04-22</c:v>
                </c:pt>
                <c:pt idx="1725">
                  <c:v>2020-04-23</c:v>
                </c:pt>
                <c:pt idx="1726">
                  <c:v>2020-04-24</c:v>
                </c:pt>
                <c:pt idx="1727">
                  <c:v>2020-04-27</c:v>
                </c:pt>
                <c:pt idx="1728">
                  <c:v>2020-04-28</c:v>
                </c:pt>
                <c:pt idx="1729">
                  <c:v>2020-04-29</c:v>
                </c:pt>
                <c:pt idx="1730">
                  <c:v>2020-04-30</c:v>
                </c:pt>
                <c:pt idx="1731">
                  <c:v>2020-05-06</c:v>
                </c:pt>
                <c:pt idx="1732">
                  <c:v>2020-05-07</c:v>
                </c:pt>
                <c:pt idx="1733">
                  <c:v>2020-05-08</c:v>
                </c:pt>
                <c:pt idx="1734">
                  <c:v>2020-05-11</c:v>
                </c:pt>
                <c:pt idx="1735">
                  <c:v>2020-05-12</c:v>
                </c:pt>
                <c:pt idx="1736">
                  <c:v>2020-05-13</c:v>
                </c:pt>
                <c:pt idx="1737">
                  <c:v>2020-05-14</c:v>
                </c:pt>
                <c:pt idx="1738">
                  <c:v>2020-05-15</c:v>
                </c:pt>
                <c:pt idx="1739">
                  <c:v>2020-05-18</c:v>
                </c:pt>
                <c:pt idx="1740">
                  <c:v>2020-05-19</c:v>
                </c:pt>
                <c:pt idx="1741">
                  <c:v>2020-05-20</c:v>
                </c:pt>
                <c:pt idx="1742">
                  <c:v>2020-05-21</c:v>
                </c:pt>
                <c:pt idx="1743">
                  <c:v>2020-05-22</c:v>
                </c:pt>
                <c:pt idx="1744">
                  <c:v>2020-05-25</c:v>
                </c:pt>
                <c:pt idx="1745">
                  <c:v>2020-05-26</c:v>
                </c:pt>
                <c:pt idx="1746">
                  <c:v>2020-05-27</c:v>
                </c:pt>
                <c:pt idx="1747">
                  <c:v>2020-05-28</c:v>
                </c:pt>
                <c:pt idx="1748">
                  <c:v>2020-05-29</c:v>
                </c:pt>
                <c:pt idx="1749">
                  <c:v>2020-06-01</c:v>
                </c:pt>
                <c:pt idx="1750">
                  <c:v>2020-06-02</c:v>
                </c:pt>
                <c:pt idx="1751">
                  <c:v>2020-06-03</c:v>
                </c:pt>
                <c:pt idx="1752">
                  <c:v>2020-06-04</c:v>
                </c:pt>
                <c:pt idx="1753">
                  <c:v>2020-06-05</c:v>
                </c:pt>
                <c:pt idx="1754">
                  <c:v>2020-06-08</c:v>
                </c:pt>
                <c:pt idx="1755">
                  <c:v>2020-06-09</c:v>
                </c:pt>
                <c:pt idx="1756">
                  <c:v>2020-06-10</c:v>
                </c:pt>
                <c:pt idx="1757">
                  <c:v>2020-06-11</c:v>
                </c:pt>
                <c:pt idx="1758">
                  <c:v>2020-06-12</c:v>
                </c:pt>
                <c:pt idx="1759">
                  <c:v>2020-06-15</c:v>
                </c:pt>
                <c:pt idx="1760">
                  <c:v>2020-06-16</c:v>
                </c:pt>
                <c:pt idx="1761">
                  <c:v>2020-06-17</c:v>
                </c:pt>
                <c:pt idx="1762">
                  <c:v>2020-06-18</c:v>
                </c:pt>
                <c:pt idx="1763">
                  <c:v>2020-06-19</c:v>
                </c:pt>
                <c:pt idx="1764">
                  <c:v>2020-06-22</c:v>
                </c:pt>
                <c:pt idx="1765">
                  <c:v>2020-06-23</c:v>
                </c:pt>
                <c:pt idx="1766">
                  <c:v>2020-06-24</c:v>
                </c:pt>
                <c:pt idx="1767">
                  <c:v>2020-06-29</c:v>
                </c:pt>
                <c:pt idx="1768">
                  <c:v>2020-06-30</c:v>
                </c:pt>
                <c:pt idx="1769">
                  <c:v>2020-07-01</c:v>
                </c:pt>
                <c:pt idx="1770">
                  <c:v>2020-07-02</c:v>
                </c:pt>
                <c:pt idx="1771">
                  <c:v>2020-07-03</c:v>
                </c:pt>
                <c:pt idx="1772">
                  <c:v>2020-07-06</c:v>
                </c:pt>
                <c:pt idx="1773">
                  <c:v>2020-07-07</c:v>
                </c:pt>
                <c:pt idx="1774">
                  <c:v>2020-07-08</c:v>
                </c:pt>
                <c:pt idx="1775">
                  <c:v>2020-07-09</c:v>
                </c:pt>
                <c:pt idx="1776">
                  <c:v>2020-07-10</c:v>
                </c:pt>
                <c:pt idx="1777">
                  <c:v>2020-07-13</c:v>
                </c:pt>
                <c:pt idx="1778">
                  <c:v>2020-07-14</c:v>
                </c:pt>
                <c:pt idx="1779">
                  <c:v>2020-07-15</c:v>
                </c:pt>
                <c:pt idx="1780">
                  <c:v>2020-07-16</c:v>
                </c:pt>
                <c:pt idx="1781">
                  <c:v>2020-07-17</c:v>
                </c:pt>
                <c:pt idx="1782">
                  <c:v>2020-07-20</c:v>
                </c:pt>
                <c:pt idx="1783">
                  <c:v>2020-07-21</c:v>
                </c:pt>
                <c:pt idx="1784">
                  <c:v>2020-07-22</c:v>
                </c:pt>
                <c:pt idx="1785">
                  <c:v>2020-07-23</c:v>
                </c:pt>
                <c:pt idx="1786">
                  <c:v>2020-07-24</c:v>
                </c:pt>
                <c:pt idx="1787">
                  <c:v>2020-07-27</c:v>
                </c:pt>
                <c:pt idx="1788">
                  <c:v>2020-07-28</c:v>
                </c:pt>
                <c:pt idx="1789">
                  <c:v>2020-07-29</c:v>
                </c:pt>
                <c:pt idx="1790">
                  <c:v>2020-07-30</c:v>
                </c:pt>
                <c:pt idx="1791">
                  <c:v>2020-07-31</c:v>
                </c:pt>
                <c:pt idx="1792">
                  <c:v>2020-08-03</c:v>
                </c:pt>
                <c:pt idx="1793">
                  <c:v>2020-08-04</c:v>
                </c:pt>
                <c:pt idx="1794">
                  <c:v>2020-08-05</c:v>
                </c:pt>
                <c:pt idx="1795">
                  <c:v>2020-08-06</c:v>
                </c:pt>
                <c:pt idx="1796">
                  <c:v>2020-08-07</c:v>
                </c:pt>
                <c:pt idx="1797">
                  <c:v>2020-08-10</c:v>
                </c:pt>
                <c:pt idx="1798">
                  <c:v>2020-08-11</c:v>
                </c:pt>
                <c:pt idx="1799">
                  <c:v>2020-08-12</c:v>
                </c:pt>
                <c:pt idx="1800">
                  <c:v>2020-08-13</c:v>
                </c:pt>
                <c:pt idx="1801">
                  <c:v>2020-08-14</c:v>
                </c:pt>
                <c:pt idx="1802">
                  <c:v>2020-08-17</c:v>
                </c:pt>
                <c:pt idx="1803">
                  <c:v>2020-08-18</c:v>
                </c:pt>
                <c:pt idx="1804">
                  <c:v>2020-08-19</c:v>
                </c:pt>
                <c:pt idx="1805">
                  <c:v>2020-08-20</c:v>
                </c:pt>
                <c:pt idx="1806">
                  <c:v>2020-08-21</c:v>
                </c:pt>
                <c:pt idx="1807">
                  <c:v>2020-08-24</c:v>
                </c:pt>
                <c:pt idx="1808">
                  <c:v>2020-08-25</c:v>
                </c:pt>
                <c:pt idx="1809">
                  <c:v>2020-08-26</c:v>
                </c:pt>
                <c:pt idx="1810">
                  <c:v>2020-08-27</c:v>
                </c:pt>
                <c:pt idx="1811">
                  <c:v>2020-08-28</c:v>
                </c:pt>
                <c:pt idx="1812">
                  <c:v>2020-08-31</c:v>
                </c:pt>
                <c:pt idx="1813">
                  <c:v>2020-09-01</c:v>
                </c:pt>
                <c:pt idx="1814">
                  <c:v>2020-09-02</c:v>
                </c:pt>
                <c:pt idx="1815">
                  <c:v>2020-09-03</c:v>
                </c:pt>
                <c:pt idx="1816">
                  <c:v>2020-09-04</c:v>
                </c:pt>
                <c:pt idx="1817">
                  <c:v>2020-09-07</c:v>
                </c:pt>
                <c:pt idx="1818">
                  <c:v>2020-09-08</c:v>
                </c:pt>
                <c:pt idx="1819">
                  <c:v>2020-09-09</c:v>
                </c:pt>
                <c:pt idx="1820">
                  <c:v>2020-09-10</c:v>
                </c:pt>
                <c:pt idx="1821">
                  <c:v>2020-09-11</c:v>
                </c:pt>
                <c:pt idx="1822">
                  <c:v>2020-09-14</c:v>
                </c:pt>
                <c:pt idx="1823">
                  <c:v>2020-09-15</c:v>
                </c:pt>
                <c:pt idx="1824">
                  <c:v>2020-09-16</c:v>
                </c:pt>
                <c:pt idx="1825">
                  <c:v>2020-09-17</c:v>
                </c:pt>
                <c:pt idx="1826">
                  <c:v>2020-09-18</c:v>
                </c:pt>
                <c:pt idx="1827">
                  <c:v>2020-09-21</c:v>
                </c:pt>
                <c:pt idx="1828">
                  <c:v>2020-09-22</c:v>
                </c:pt>
                <c:pt idx="1829">
                  <c:v>2020-09-23</c:v>
                </c:pt>
                <c:pt idx="1830">
                  <c:v>2020-09-24</c:v>
                </c:pt>
                <c:pt idx="1831">
                  <c:v>2020-09-25</c:v>
                </c:pt>
                <c:pt idx="1832">
                  <c:v>2020-09-28</c:v>
                </c:pt>
                <c:pt idx="1833">
                  <c:v>2020-09-29</c:v>
                </c:pt>
                <c:pt idx="1834">
                  <c:v>2020-09-30</c:v>
                </c:pt>
                <c:pt idx="1835">
                  <c:v>2020-10-09</c:v>
                </c:pt>
                <c:pt idx="1836">
                  <c:v>2020-10-12</c:v>
                </c:pt>
                <c:pt idx="1837">
                  <c:v>2020-10-13</c:v>
                </c:pt>
                <c:pt idx="1838">
                  <c:v>2020-10-14</c:v>
                </c:pt>
                <c:pt idx="1839">
                  <c:v>2020-10-15</c:v>
                </c:pt>
                <c:pt idx="1840">
                  <c:v>2020-10-16</c:v>
                </c:pt>
                <c:pt idx="1841">
                  <c:v>2020-10-19</c:v>
                </c:pt>
                <c:pt idx="1842">
                  <c:v>2020-10-20</c:v>
                </c:pt>
                <c:pt idx="1843">
                  <c:v>2020-10-21</c:v>
                </c:pt>
                <c:pt idx="1844">
                  <c:v>2020-10-22</c:v>
                </c:pt>
                <c:pt idx="1845">
                  <c:v>2020-10-23</c:v>
                </c:pt>
                <c:pt idx="1846">
                  <c:v>2020-10-26</c:v>
                </c:pt>
                <c:pt idx="1847">
                  <c:v>2020-10-27</c:v>
                </c:pt>
                <c:pt idx="1848">
                  <c:v>2020-10-28</c:v>
                </c:pt>
                <c:pt idx="1849">
                  <c:v>2020-10-29</c:v>
                </c:pt>
                <c:pt idx="1850">
                  <c:v>2020-10-30</c:v>
                </c:pt>
                <c:pt idx="1851">
                  <c:v>2020-11-02</c:v>
                </c:pt>
                <c:pt idx="1852">
                  <c:v>2020-11-03</c:v>
                </c:pt>
                <c:pt idx="1853">
                  <c:v>2020-11-04</c:v>
                </c:pt>
                <c:pt idx="1854">
                  <c:v>2020-11-05</c:v>
                </c:pt>
                <c:pt idx="1855">
                  <c:v>2020-11-06</c:v>
                </c:pt>
                <c:pt idx="1856">
                  <c:v>2020-11-09</c:v>
                </c:pt>
                <c:pt idx="1857">
                  <c:v>2020-11-10</c:v>
                </c:pt>
                <c:pt idx="1858">
                  <c:v>2020-11-11</c:v>
                </c:pt>
                <c:pt idx="1859">
                  <c:v>2020-11-12</c:v>
                </c:pt>
                <c:pt idx="1860">
                  <c:v>2020-11-13</c:v>
                </c:pt>
                <c:pt idx="1861">
                  <c:v>2020-11-16</c:v>
                </c:pt>
                <c:pt idx="1862">
                  <c:v>2020-11-17</c:v>
                </c:pt>
                <c:pt idx="1863">
                  <c:v>2020-11-18</c:v>
                </c:pt>
                <c:pt idx="1864">
                  <c:v>2020-11-19</c:v>
                </c:pt>
                <c:pt idx="1865">
                  <c:v>2020-11-20</c:v>
                </c:pt>
                <c:pt idx="1866">
                  <c:v>2020-11-23</c:v>
                </c:pt>
                <c:pt idx="1867">
                  <c:v>2020-11-24</c:v>
                </c:pt>
                <c:pt idx="1868">
                  <c:v>2020-11-25</c:v>
                </c:pt>
                <c:pt idx="1869">
                  <c:v>2020-11-26</c:v>
                </c:pt>
                <c:pt idx="1870">
                  <c:v>2020-11-27</c:v>
                </c:pt>
                <c:pt idx="1871">
                  <c:v>2020-11-30</c:v>
                </c:pt>
                <c:pt idx="1872">
                  <c:v>2020-12-01</c:v>
                </c:pt>
                <c:pt idx="1873">
                  <c:v>2020-12-02</c:v>
                </c:pt>
                <c:pt idx="1874">
                  <c:v>2020-12-03</c:v>
                </c:pt>
                <c:pt idx="1875">
                  <c:v>2020-12-04</c:v>
                </c:pt>
                <c:pt idx="1876">
                  <c:v>2020-12-07</c:v>
                </c:pt>
                <c:pt idx="1877">
                  <c:v>2020-12-08</c:v>
                </c:pt>
                <c:pt idx="1878">
                  <c:v>2020-12-09</c:v>
                </c:pt>
                <c:pt idx="1879">
                  <c:v>2020-12-10</c:v>
                </c:pt>
                <c:pt idx="1880">
                  <c:v>2020-12-11</c:v>
                </c:pt>
                <c:pt idx="1881">
                  <c:v>2020-12-14</c:v>
                </c:pt>
                <c:pt idx="1882">
                  <c:v>2020-12-15</c:v>
                </c:pt>
                <c:pt idx="1883">
                  <c:v>2020-12-16</c:v>
                </c:pt>
                <c:pt idx="1884">
                  <c:v>2020-12-17</c:v>
                </c:pt>
                <c:pt idx="1885">
                  <c:v>2020-12-18</c:v>
                </c:pt>
                <c:pt idx="1886">
                  <c:v>2020-12-21</c:v>
                </c:pt>
                <c:pt idx="1887">
                  <c:v>2020-12-22</c:v>
                </c:pt>
                <c:pt idx="1888">
                  <c:v>2020-12-23</c:v>
                </c:pt>
                <c:pt idx="1889">
                  <c:v>2020-12-24</c:v>
                </c:pt>
                <c:pt idx="1890">
                  <c:v>2020-12-25</c:v>
                </c:pt>
                <c:pt idx="1891">
                  <c:v>2020-12-28</c:v>
                </c:pt>
                <c:pt idx="1892">
                  <c:v>2020-12-29</c:v>
                </c:pt>
                <c:pt idx="1893">
                  <c:v>2020-12-30</c:v>
                </c:pt>
                <c:pt idx="1894">
                  <c:v>2020-12-31</c:v>
                </c:pt>
                <c:pt idx="1895">
                  <c:v>2021-01-04</c:v>
                </c:pt>
                <c:pt idx="1896">
                  <c:v>2021-01-05</c:v>
                </c:pt>
                <c:pt idx="1897">
                  <c:v>2021-01-06</c:v>
                </c:pt>
                <c:pt idx="1898">
                  <c:v>2021-01-07</c:v>
                </c:pt>
                <c:pt idx="1899">
                  <c:v>2021-01-08</c:v>
                </c:pt>
                <c:pt idx="1900">
                  <c:v>2021-01-11</c:v>
                </c:pt>
                <c:pt idx="1901">
                  <c:v>2021-01-12</c:v>
                </c:pt>
                <c:pt idx="1902">
                  <c:v>2021-01-13</c:v>
                </c:pt>
                <c:pt idx="1903">
                  <c:v>2021-01-14</c:v>
                </c:pt>
                <c:pt idx="1904">
                  <c:v>2021-01-15</c:v>
                </c:pt>
                <c:pt idx="1905">
                  <c:v>2021-01-18</c:v>
                </c:pt>
                <c:pt idx="1906">
                  <c:v>2021-01-19</c:v>
                </c:pt>
                <c:pt idx="1907">
                  <c:v>2021-01-20</c:v>
                </c:pt>
                <c:pt idx="1908">
                  <c:v>2021-01-21</c:v>
                </c:pt>
                <c:pt idx="1909">
                  <c:v>2021-01-22</c:v>
                </c:pt>
                <c:pt idx="1910">
                  <c:v>2021-01-25</c:v>
                </c:pt>
                <c:pt idx="1911">
                  <c:v>2021-01-26</c:v>
                </c:pt>
                <c:pt idx="1912">
                  <c:v>2021-01-27</c:v>
                </c:pt>
                <c:pt idx="1913">
                  <c:v>2021-01-28</c:v>
                </c:pt>
                <c:pt idx="1914">
                  <c:v>2021-01-29</c:v>
                </c:pt>
                <c:pt idx="1915">
                  <c:v>2021-02-01</c:v>
                </c:pt>
                <c:pt idx="1916">
                  <c:v>2021-02-02</c:v>
                </c:pt>
                <c:pt idx="1917">
                  <c:v>2021-02-03</c:v>
                </c:pt>
                <c:pt idx="1918">
                  <c:v>2021-02-04</c:v>
                </c:pt>
                <c:pt idx="1919">
                  <c:v>2021-02-05</c:v>
                </c:pt>
                <c:pt idx="1920">
                  <c:v>2021-02-08</c:v>
                </c:pt>
                <c:pt idx="1921">
                  <c:v>2021-02-09</c:v>
                </c:pt>
                <c:pt idx="1922">
                  <c:v>2021-02-10</c:v>
                </c:pt>
                <c:pt idx="1923">
                  <c:v>2021-02-18</c:v>
                </c:pt>
                <c:pt idx="1924">
                  <c:v>2021-02-19</c:v>
                </c:pt>
                <c:pt idx="1925">
                  <c:v>2021-02-22</c:v>
                </c:pt>
                <c:pt idx="1926">
                  <c:v>2021-02-23</c:v>
                </c:pt>
                <c:pt idx="1927">
                  <c:v>2021-02-24</c:v>
                </c:pt>
                <c:pt idx="1928">
                  <c:v>2021-02-25</c:v>
                </c:pt>
                <c:pt idx="1929">
                  <c:v>2021-02-26</c:v>
                </c:pt>
                <c:pt idx="1930">
                  <c:v>2021-03-01</c:v>
                </c:pt>
                <c:pt idx="1931">
                  <c:v>2021-03-02</c:v>
                </c:pt>
                <c:pt idx="1932">
                  <c:v>2021-03-03</c:v>
                </c:pt>
                <c:pt idx="1933">
                  <c:v>2021-03-04</c:v>
                </c:pt>
                <c:pt idx="1934">
                  <c:v>2021-03-05</c:v>
                </c:pt>
                <c:pt idx="1935">
                  <c:v>2021-03-08</c:v>
                </c:pt>
                <c:pt idx="1936">
                  <c:v>2021-03-09</c:v>
                </c:pt>
                <c:pt idx="1937">
                  <c:v>2021-03-10</c:v>
                </c:pt>
                <c:pt idx="1938">
                  <c:v>2021-03-11</c:v>
                </c:pt>
                <c:pt idx="1939">
                  <c:v>2021-03-12</c:v>
                </c:pt>
                <c:pt idx="1940">
                  <c:v>2021-03-15</c:v>
                </c:pt>
                <c:pt idx="1941">
                  <c:v>2021-03-16</c:v>
                </c:pt>
                <c:pt idx="1942">
                  <c:v>2021-03-17</c:v>
                </c:pt>
                <c:pt idx="1943">
                  <c:v>2021-03-18</c:v>
                </c:pt>
                <c:pt idx="1944">
                  <c:v>2021-03-19</c:v>
                </c:pt>
                <c:pt idx="1945">
                  <c:v>2021-03-22</c:v>
                </c:pt>
                <c:pt idx="1946">
                  <c:v>2021-03-23</c:v>
                </c:pt>
                <c:pt idx="1947">
                  <c:v>2021-03-24</c:v>
                </c:pt>
                <c:pt idx="1948">
                  <c:v>2021-03-25</c:v>
                </c:pt>
                <c:pt idx="1949">
                  <c:v>2021-03-26</c:v>
                </c:pt>
                <c:pt idx="1950">
                  <c:v>2021-03-29</c:v>
                </c:pt>
                <c:pt idx="1951">
                  <c:v>2021-03-30</c:v>
                </c:pt>
                <c:pt idx="1952">
                  <c:v>2021-03-31</c:v>
                </c:pt>
                <c:pt idx="1953">
                  <c:v>2021-04-01</c:v>
                </c:pt>
                <c:pt idx="1954">
                  <c:v>2021-04-02</c:v>
                </c:pt>
                <c:pt idx="1955">
                  <c:v>2021-04-06</c:v>
                </c:pt>
                <c:pt idx="1956">
                  <c:v>2021-04-07</c:v>
                </c:pt>
                <c:pt idx="1957">
                  <c:v>2021-04-08</c:v>
                </c:pt>
                <c:pt idx="1958">
                  <c:v>2021-04-09</c:v>
                </c:pt>
                <c:pt idx="1959">
                  <c:v>2021-04-12</c:v>
                </c:pt>
                <c:pt idx="1960">
                  <c:v>2021-04-13</c:v>
                </c:pt>
                <c:pt idx="1961">
                  <c:v>2021-04-14</c:v>
                </c:pt>
                <c:pt idx="1962">
                  <c:v>2021-04-15</c:v>
                </c:pt>
                <c:pt idx="1963">
                  <c:v>2021-04-16</c:v>
                </c:pt>
                <c:pt idx="1964">
                  <c:v>2021-04-19</c:v>
                </c:pt>
                <c:pt idx="1965">
                  <c:v>2021-04-20</c:v>
                </c:pt>
                <c:pt idx="1966">
                  <c:v>2021-04-21</c:v>
                </c:pt>
                <c:pt idx="1967">
                  <c:v>2021-04-22</c:v>
                </c:pt>
                <c:pt idx="1968">
                  <c:v>2021-04-23</c:v>
                </c:pt>
                <c:pt idx="1969">
                  <c:v>2021-04-26</c:v>
                </c:pt>
                <c:pt idx="1970">
                  <c:v>2021-04-27</c:v>
                </c:pt>
                <c:pt idx="1971">
                  <c:v>2021-04-28</c:v>
                </c:pt>
                <c:pt idx="1972">
                  <c:v>2021-04-29</c:v>
                </c:pt>
                <c:pt idx="1973">
                  <c:v>2021-04-30</c:v>
                </c:pt>
                <c:pt idx="1974">
                  <c:v>2021-05-06</c:v>
                </c:pt>
                <c:pt idx="1975">
                  <c:v>2021-05-07</c:v>
                </c:pt>
                <c:pt idx="1976">
                  <c:v>2021-05-10</c:v>
                </c:pt>
                <c:pt idx="1977">
                  <c:v>2021-05-11</c:v>
                </c:pt>
                <c:pt idx="1978">
                  <c:v>2021-05-12</c:v>
                </c:pt>
                <c:pt idx="1979">
                  <c:v>2021-05-13</c:v>
                </c:pt>
                <c:pt idx="1980">
                  <c:v>2021-05-14</c:v>
                </c:pt>
                <c:pt idx="1981">
                  <c:v>2021-05-17</c:v>
                </c:pt>
                <c:pt idx="1982">
                  <c:v>2021-05-18</c:v>
                </c:pt>
                <c:pt idx="1983">
                  <c:v>2021-05-19</c:v>
                </c:pt>
                <c:pt idx="1984">
                  <c:v>2021-05-20</c:v>
                </c:pt>
                <c:pt idx="1985">
                  <c:v>2021-05-21</c:v>
                </c:pt>
                <c:pt idx="1986">
                  <c:v>2021-05-24</c:v>
                </c:pt>
                <c:pt idx="1987">
                  <c:v>2021-05-25</c:v>
                </c:pt>
                <c:pt idx="1988">
                  <c:v>2021-05-26</c:v>
                </c:pt>
                <c:pt idx="1989">
                  <c:v>2021-05-27</c:v>
                </c:pt>
                <c:pt idx="1990">
                  <c:v>2021-05-28</c:v>
                </c:pt>
                <c:pt idx="1991">
                  <c:v>2021-05-31</c:v>
                </c:pt>
                <c:pt idx="1992">
                  <c:v>2021-06-01</c:v>
                </c:pt>
                <c:pt idx="1993">
                  <c:v>2021-06-02</c:v>
                </c:pt>
                <c:pt idx="1994">
                  <c:v>2021-06-03</c:v>
                </c:pt>
                <c:pt idx="1995">
                  <c:v>2021-06-04</c:v>
                </c:pt>
                <c:pt idx="1996">
                  <c:v>2021-06-07</c:v>
                </c:pt>
                <c:pt idx="1997">
                  <c:v>2021-06-08</c:v>
                </c:pt>
                <c:pt idx="1998">
                  <c:v>2021-06-09</c:v>
                </c:pt>
                <c:pt idx="1999">
                  <c:v>2021-06-10</c:v>
                </c:pt>
                <c:pt idx="2000">
                  <c:v>2021-06-11</c:v>
                </c:pt>
                <c:pt idx="2001">
                  <c:v>2021-06-15</c:v>
                </c:pt>
                <c:pt idx="2002">
                  <c:v>2021-06-16</c:v>
                </c:pt>
                <c:pt idx="2003">
                  <c:v>2021-06-17</c:v>
                </c:pt>
                <c:pt idx="2004">
                  <c:v>2021-06-18</c:v>
                </c:pt>
                <c:pt idx="2005">
                  <c:v>2021-06-21</c:v>
                </c:pt>
                <c:pt idx="2006">
                  <c:v>2021-06-22</c:v>
                </c:pt>
                <c:pt idx="2007">
                  <c:v>2021-06-23</c:v>
                </c:pt>
                <c:pt idx="2008">
                  <c:v>2021-06-24</c:v>
                </c:pt>
                <c:pt idx="2009">
                  <c:v>2021-06-25</c:v>
                </c:pt>
                <c:pt idx="2010">
                  <c:v>2021-06-28</c:v>
                </c:pt>
                <c:pt idx="2011">
                  <c:v>2021-06-29</c:v>
                </c:pt>
                <c:pt idx="2012">
                  <c:v>2021-06-30</c:v>
                </c:pt>
                <c:pt idx="2013">
                  <c:v>2021-07-01</c:v>
                </c:pt>
                <c:pt idx="2014">
                  <c:v>2021-07-02</c:v>
                </c:pt>
                <c:pt idx="2015">
                  <c:v>2021-07-05</c:v>
                </c:pt>
                <c:pt idx="2016">
                  <c:v>2021-07-06</c:v>
                </c:pt>
                <c:pt idx="2017">
                  <c:v>2021-07-07</c:v>
                </c:pt>
                <c:pt idx="2018">
                  <c:v>2021-07-08</c:v>
                </c:pt>
                <c:pt idx="2019">
                  <c:v>2021-07-09</c:v>
                </c:pt>
                <c:pt idx="2020">
                  <c:v>2021-07-12</c:v>
                </c:pt>
                <c:pt idx="2021">
                  <c:v>2021-07-13</c:v>
                </c:pt>
                <c:pt idx="2022">
                  <c:v>2021-07-14</c:v>
                </c:pt>
                <c:pt idx="2023">
                  <c:v>2021-07-15</c:v>
                </c:pt>
                <c:pt idx="2024">
                  <c:v>2021-07-16</c:v>
                </c:pt>
                <c:pt idx="2025">
                  <c:v>2021-07-19</c:v>
                </c:pt>
                <c:pt idx="2026">
                  <c:v>2021-07-20</c:v>
                </c:pt>
                <c:pt idx="2027">
                  <c:v>2021-07-21</c:v>
                </c:pt>
                <c:pt idx="2028">
                  <c:v>2021-07-22</c:v>
                </c:pt>
                <c:pt idx="2029">
                  <c:v>2021-07-23</c:v>
                </c:pt>
                <c:pt idx="2030">
                  <c:v>2021-07-26</c:v>
                </c:pt>
                <c:pt idx="2031">
                  <c:v>2021-07-27</c:v>
                </c:pt>
                <c:pt idx="2032">
                  <c:v>2021-07-28</c:v>
                </c:pt>
                <c:pt idx="2033">
                  <c:v>2021-07-29</c:v>
                </c:pt>
                <c:pt idx="2034">
                  <c:v>2021-07-30</c:v>
                </c:pt>
                <c:pt idx="2035">
                  <c:v>2021-08-02</c:v>
                </c:pt>
                <c:pt idx="2036">
                  <c:v>2021-08-03</c:v>
                </c:pt>
                <c:pt idx="2037">
                  <c:v>2021-08-04</c:v>
                </c:pt>
                <c:pt idx="2038">
                  <c:v>2021-08-05</c:v>
                </c:pt>
                <c:pt idx="2039">
                  <c:v>2021-08-06</c:v>
                </c:pt>
                <c:pt idx="2040">
                  <c:v>2021-08-09</c:v>
                </c:pt>
                <c:pt idx="2041">
                  <c:v>2021-08-10</c:v>
                </c:pt>
                <c:pt idx="2042">
                  <c:v>2021-08-11</c:v>
                </c:pt>
                <c:pt idx="2043">
                  <c:v>2021-08-12</c:v>
                </c:pt>
                <c:pt idx="2044">
                  <c:v>2021-08-13</c:v>
                </c:pt>
                <c:pt idx="2045">
                  <c:v>2021-08-16</c:v>
                </c:pt>
                <c:pt idx="2046">
                  <c:v>2021-08-17</c:v>
                </c:pt>
                <c:pt idx="2047">
                  <c:v>2021-08-18</c:v>
                </c:pt>
                <c:pt idx="2048">
                  <c:v>2021-08-19</c:v>
                </c:pt>
                <c:pt idx="2049">
                  <c:v>2021-08-20</c:v>
                </c:pt>
                <c:pt idx="2050">
                  <c:v>2021-08-23</c:v>
                </c:pt>
                <c:pt idx="2051">
                  <c:v>2021-08-24</c:v>
                </c:pt>
                <c:pt idx="2052">
                  <c:v>2021-08-25</c:v>
                </c:pt>
                <c:pt idx="2053">
                  <c:v>2021-08-26</c:v>
                </c:pt>
                <c:pt idx="2054">
                  <c:v>2021-08-27</c:v>
                </c:pt>
                <c:pt idx="2055">
                  <c:v>2021-08-30</c:v>
                </c:pt>
                <c:pt idx="2056">
                  <c:v>2021-08-31</c:v>
                </c:pt>
                <c:pt idx="2057">
                  <c:v>2021-09-01</c:v>
                </c:pt>
                <c:pt idx="2058">
                  <c:v>2021-09-02</c:v>
                </c:pt>
                <c:pt idx="2059">
                  <c:v>2021-09-03</c:v>
                </c:pt>
                <c:pt idx="2060">
                  <c:v>2021-09-06</c:v>
                </c:pt>
                <c:pt idx="2061">
                  <c:v>2021-09-07</c:v>
                </c:pt>
                <c:pt idx="2062">
                  <c:v>2021-09-08</c:v>
                </c:pt>
                <c:pt idx="2063">
                  <c:v>2021-09-09</c:v>
                </c:pt>
                <c:pt idx="2064">
                  <c:v>2021-09-10</c:v>
                </c:pt>
                <c:pt idx="2065">
                  <c:v>2021-09-13</c:v>
                </c:pt>
                <c:pt idx="2066">
                  <c:v>2021-09-14</c:v>
                </c:pt>
                <c:pt idx="2067">
                  <c:v>2021-09-15</c:v>
                </c:pt>
                <c:pt idx="2068">
                  <c:v>2021-09-16</c:v>
                </c:pt>
                <c:pt idx="2069">
                  <c:v>2021-09-17</c:v>
                </c:pt>
                <c:pt idx="2070">
                  <c:v>2021-09-22</c:v>
                </c:pt>
                <c:pt idx="2071">
                  <c:v>2021-09-23</c:v>
                </c:pt>
                <c:pt idx="2072">
                  <c:v>2021-09-24</c:v>
                </c:pt>
                <c:pt idx="2073">
                  <c:v>2021-09-27</c:v>
                </c:pt>
                <c:pt idx="2074">
                  <c:v>2021-09-28</c:v>
                </c:pt>
                <c:pt idx="2075">
                  <c:v>2021-09-29</c:v>
                </c:pt>
                <c:pt idx="2076">
                  <c:v>2021-09-30</c:v>
                </c:pt>
                <c:pt idx="2077">
                  <c:v>2021-10-08</c:v>
                </c:pt>
                <c:pt idx="2078">
                  <c:v>2021-10-11</c:v>
                </c:pt>
                <c:pt idx="2079">
                  <c:v>2021-10-12</c:v>
                </c:pt>
                <c:pt idx="2080">
                  <c:v>2021-10-13</c:v>
                </c:pt>
                <c:pt idx="2081">
                  <c:v>2021-10-14</c:v>
                </c:pt>
                <c:pt idx="2082">
                  <c:v>2021-10-15</c:v>
                </c:pt>
                <c:pt idx="2083">
                  <c:v>2021-10-18</c:v>
                </c:pt>
                <c:pt idx="2084">
                  <c:v>2021-10-19</c:v>
                </c:pt>
                <c:pt idx="2085">
                  <c:v>2021-10-20</c:v>
                </c:pt>
                <c:pt idx="2086">
                  <c:v>2021-10-21</c:v>
                </c:pt>
                <c:pt idx="2087">
                  <c:v>2021-10-22</c:v>
                </c:pt>
                <c:pt idx="2088">
                  <c:v>2021-10-25</c:v>
                </c:pt>
                <c:pt idx="2089">
                  <c:v>2021-10-26</c:v>
                </c:pt>
                <c:pt idx="2090">
                  <c:v>2021-10-27</c:v>
                </c:pt>
                <c:pt idx="2091">
                  <c:v>2021-10-28</c:v>
                </c:pt>
                <c:pt idx="2092">
                  <c:v>2021-10-29</c:v>
                </c:pt>
                <c:pt idx="2093">
                  <c:v>2021-11-01</c:v>
                </c:pt>
                <c:pt idx="2094">
                  <c:v>2021-11-02</c:v>
                </c:pt>
                <c:pt idx="2095">
                  <c:v>2021-11-03</c:v>
                </c:pt>
                <c:pt idx="2096">
                  <c:v>2021-11-04</c:v>
                </c:pt>
                <c:pt idx="2097">
                  <c:v>2021-11-05</c:v>
                </c:pt>
                <c:pt idx="2098">
                  <c:v>2021-11-08</c:v>
                </c:pt>
                <c:pt idx="2099">
                  <c:v>2021-11-09</c:v>
                </c:pt>
                <c:pt idx="2100">
                  <c:v>2021-11-10</c:v>
                </c:pt>
                <c:pt idx="2101">
                  <c:v>2021-11-11</c:v>
                </c:pt>
                <c:pt idx="2102">
                  <c:v>2021-11-12</c:v>
                </c:pt>
                <c:pt idx="2103">
                  <c:v>2021-11-15</c:v>
                </c:pt>
                <c:pt idx="2104">
                  <c:v>2021-11-16</c:v>
                </c:pt>
                <c:pt idx="2105">
                  <c:v>2021-11-17</c:v>
                </c:pt>
                <c:pt idx="2106">
                  <c:v>2021-11-18</c:v>
                </c:pt>
                <c:pt idx="2107">
                  <c:v>2021-11-19</c:v>
                </c:pt>
                <c:pt idx="2108">
                  <c:v>2021-11-22</c:v>
                </c:pt>
                <c:pt idx="2109">
                  <c:v>2021-11-23</c:v>
                </c:pt>
                <c:pt idx="2110">
                  <c:v>2021-11-24</c:v>
                </c:pt>
                <c:pt idx="2111">
                  <c:v>2021-11-25</c:v>
                </c:pt>
                <c:pt idx="2112">
                  <c:v>2021-11-26</c:v>
                </c:pt>
                <c:pt idx="2113">
                  <c:v>2021-11-29</c:v>
                </c:pt>
                <c:pt idx="2114">
                  <c:v>2021-11-30</c:v>
                </c:pt>
                <c:pt idx="2115">
                  <c:v>2021-12-01</c:v>
                </c:pt>
                <c:pt idx="2116">
                  <c:v>2021-12-02</c:v>
                </c:pt>
                <c:pt idx="2117">
                  <c:v>2021-12-03</c:v>
                </c:pt>
                <c:pt idx="2118">
                  <c:v>2021-12-06</c:v>
                </c:pt>
                <c:pt idx="2119">
                  <c:v>2021-12-07</c:v>
                </c:pt>
                <c:pt idx="2120">
                  <c:v>2021-12-08</c:v>
                </c:pt>
                <c:pt idx="2121">
                  <c:v>2021-12-09</c:v>
                </c:pt>
                <c:pt idx="2122">
                  <c:v>2021-12-10</c:v>
                </c:pt>
                <c:pt idx="2123">
                  <c:v>2021-12-13</c:v>
                </c:pt>
                <c:pt idx="2124">
                  <c:v>2021-12-14</c:v>
                </c:pt>
                <c:pt idx="2125">
                  <c:v>2021-12-15</c:v>
                </c:pt>
                <c:pt idx="2126">
                  <c:v>2021-12-16</c:v>
                </c:pt>
                <c:pt idx="2127">
                  <c:v>2021-12-17</c:v>
                </c:pt>
                <c:pt idx="2128">
                  <c:v>2021-12-20</c:v>
                </c:pt>
                <c:pt idx="2129">
                  <c:v>2021-12-21</c:v>
                </c:pt>
                <c:pt idx="2130">
                  <c:v>2021-12-22</c:v>
                </c:pt>
                <c:pt idx="2131">
                  <c:v>2021-12-23</c:v>
                </c:pt>
                <c:pt idx="2132">
                  <c:v>2021-12-24</c:v>
                </c:pt>
                <c:pt idx="2133">
                  <c:v>2021-12-27</c:v>
                </c:pt>
                <c:pt idx="2134">
                  <c:v>2021-12-28</c:v>
                </c:pt>
                <c:pt idx="2135">
                  <c:v>2021-12-29</c:v>
                </c:pt>
                <c:pt idx="2136">
                  <c:v>2021-12-30</c:v>
                </c:pt>
                <c:pt idx="2137">
                  <c:v>2021-12-31</c:v>
                </c:pt>
                <c:pt idx="2138">
                  <c:v>2022-01-04</c:v>
                </c:pt>
                <c:pt idx="2139">
                  <c:v>2022-01-05</c:v>
                </c:pt>
                <c:pt idx="2140">
                  <c:v>2022-01-06</c:v>
                </c:pt>
                <c:pt idx="2141">
                  <c:v>2022-01-07</c:v>
                </c:pt>
                <c:pt idx="2142">
                  <c:v>2022-01-10</c:v>
                </c:pt>
                <c:pt idx="2143">
                  <c:v>2022-01-11</c:v>
                </c:pt>
                <c:pt idx="2144">
                  <c:v>2022-01-12</c:v>
                </c:pt>
                <c:pt idx="2145">
                  <c:v>2022-01-13</c:v>
                </c:pt>
                <c:pt idx="2146">
                  <c:v>2022-01-14</c:v>
                </c:pt>
                <c:pt idx="2147">
                  <c:v>2022-01-17</c:v>
                </c:pt>
                <c:pt idx="2148">
                  <c:v>2022-01-18</c:v>
                </c:pt>
                <c:pt idx="2149">
                  <c:v>2022-01-19</c:v>
                </c:pt>
                <c:pt idx="2150">
                  <c:v>2022-01-20</c:v>
                </c:pt>
                <c:pt idx="2151">
                  <c:v>2022-01-21</c:v>
                </c:pt>
                <c:pt idx="2152">
                  <c:v>2022-01-24</c:v>
                </c:pt>
                <c:pt idx="2153">
                  <c:v>2022-01-25</c:v>
                </c:pt>
                <c:pt idx="2154">
                  <c:v>2022-01-26</c:v>
                </c:pt>
                <c:pt idx="2155">
                  <c:v>2022-01-27</c:v>
                </c:pt>
                <c:pt idx="2156">
                  <c:v>2022-01-28</c:v>
                </c:pt>
                <c:pt idx="2157">
                  <c:v>2022-02-07</c:v>
                </c:pt>
                <c:pt idx="2158">
                  <c:v>2022-02-08</c:v>
                </c:pt>
                <c:pt idx="2159">
                  <c:v>2022-02-09</c:v>
                </c:pt>
                <c:pt idx="2160">
                  <c:v>2022-02-10</c:v>
                </c:pt>
                <c:pt idx="2161">
                  <c:v>2022-02-11</c:v>
                </c:pt>
                <c:pt idx="2162">
                  <c:v>2022-02-14</c:v>
                </c:pt>
                <c:pt idx="2163">
                  <c:v>2022-02-15</c:v>
                </c:pt>
                <c:pt idx="2164">
                  <c:v>2022-02-16</c:v>
                </c:pt>
                <c:pt idx="2165">
                  <c:v>2022-02-17</c:v>
                </c:pt>
                <c:pt idx="2166">
                  <c:v>2022-02-18</c:v>
                </c:pt>
                <c:pt idx="2167">
                  <c:v>2022-02-21</c:v>
                </c:pt>
                <c:pt idx="2168">
                  <c:v>2022-02-22</c:v>
                </c:pt>
                <c:pt idx="2169">
                  <c:v>2022-02-23</c:v>
                </c:pt>
                <c:pt idx="2170">
                  <c:v>2022-02-24</c:v>
                </c:pt>
                <c:pt idx="2171">
                  <c:v>2022-02-25</c:v>
                </c:pt>
                <c:pt idx="2172">
                  <c:v>2022-02-28</c:v>
                </c:pt>
                <c:pt idx="2173">
                  <c:v>2022-03-01</c:v>
                </c:pt>
                <c:pt idx="2174">
                  <c:v>2022-03-02</c:v>
                </c:pt>
                <c:pt idx="2175">
                  <c:v>2022-03-03</c:v>
                </c:pt>
                <c:pt idx="2176">
                  <c:v>2022-03-04</c:v>
                </c:pt>
                <c:pt idx="2177">
                  <c:v>2022-03-07</c:v>
                </c:pt>
                <c:pt idx="2178">
                  <c:v>2022-03-08</c:v>
                </c:pt>
                <c:pt idx="2179">
                  <c:v>2022-03-09</c:v>
                </c:pt>
                <c:pt idx="2180">
                  <c:v>2022-03-10</c:v>
                </c:pt>
                <c:pt idx="2181">
                  <c:v>2022-03-11</c:v>
                </c:pt>
                <c:pt idx="2182">
                  <c:v>2022-03-14</c:v>
                </c:pt>
                <c:pt idx="2183">
                  <c:v>2022-03-15</c:v>
                </c:pt>
                <c:pt idx="2184">
                  <c:v>2022-03-16</c:v>
                </c:pt>
                <c:pt idx="2185">
                  <c:v>2022-03-17</c:v>
                </c:pt>
                <c:pt idx="2186">
                  <c:v>2022-03-18</c:v>
                </c:pt>
                <c:pt idx="2187">
                  <c:v>2022-03-21</c:v>
                </c:pt>
                <c:pt idx="2188">
                  <c:v>2022-03-22</c:v>
                </c:pt>
                <c:pt idx="2189">
                  <c:v>2022-03-23</c:v>
                </c:pt>
                <c:pt idx="2190">
                  <c:v>2022-03-24</c:v>
                </c:pt>
                <c:pt idx="2191">
                  <c:v>2022-03-25</c:v>
                </c:pt>
                <c:pt idx="2192">
                  <c:v>2022-03-28</c:v>
                </c:pt>
                <c:pt idx="2193">
                  <c:v>2022-03-29</c:v>
                </c:pt>
                <c:pt idx="2194">
                  <c:v>2022-03-30</c:v>
                </c:pt>
                <c:pt idx="2195">
                  <c:v>2022-03-31</c:v>
                </c:pt>
                <c:pt idx="2196">
                  <c:v>2022-04-01</c:v>
                </c:pt>
                <c:pt idx="2197">
                  <c:v>2022-04-06</c:v>
                </c:pt>
                <c:pt idx="2198">
                  <c:v>2022-04-07</c:v>
                </c:pt>
                <c:pt idx="2199">
                  <c:v>2022-04-08</c:v>
                </c:pt>
                <c:pt idx="2200">
                  <c:v>2022-04-11</c:v>
                </c:pt>
                <c:pt idx="2201">
                  <c:v>2022-04-12</c:v>
                </c:pt>
                <c:pt idx="2202">
                  <c:v>2022-04-13</c:v>
                </c:pt>
                <c:pt idx="2203">
                  <c:v>2022-04-14</c:v>
                </c:pt>
                <c:pt idx="2204">
                  <c:v>2022-04-15</c:v>
                </c:pt>
                <c:pt idx="2205">
                  <c:v>2022-04-18</c:v>
                </c:pt>
                <c:pt idx="2206">
                  <c:v>2022-04-19</c:v>
                </c:pt>
                <c:pt idx="2207">
                  <c:v>2022-04-20</c:v>
                </c:pt>
                <c:pt idx="2208">
                  <c:v>2022-04-21</c:v>
                </c:pt>
                <c:pt idx="2209">
                  <c:v>2022-04-22</c:v>
                </c:pt>
                <c:pt idx="2210">
                  <c:v>2022-04-25</c:v>
                </c:pt>
                <c:pt idx="2211">
                  <c:v>2022-04-26</c:v>
                </c:pt>
                <c:pt idx="2212">
                  <c:v>2022-04-27</c:v>
                </c:pt>
                <c:pt idx="2213">
                  <c:v>2022-04-28</c:v>
                </c:pt>
                <c:pt idx="2214">
                  <c:v>2022-04-29</c:v>
                </c:pt>
                <c:pt idx="2215">
                  <c:v>2022-05-05</c:v>
                </c:pt>
                <c:pt idx="2216">
                  <c:v>2022-05-06</c:v>
                </c:pt>
                <c:pt idx="2217">
                  <c:v>2022-05-09</c:v>
                </c:pt>
                <c:pt idx="2218">
                  <c:v>2022-05-10</c:v>
                </c:pt>
                <c:pt idx="2219">
                  <c:v>2022-05-11</c:v>
                </c:pt>
                <c:pt idx="2220">
                  <c:v>2022-05-12</c:v>
                </c:pt>
                <c:pt idx="2221">
                  <c:v>2022-05-13</c:v>
                </c:pt>
                <c:pt idx="2222">
                  <c:v>2022-05-16</c:v>
                </c:pt>
                <c:pt idx="2223">
                  <c:v>2022-05-17</c:v>
                </c:pt>
                <c:pt idx="2224">
                  <c:v>2022-05-18</c:v>
                </c:pt>
                <c:pt idx="2225">
                  <c:v>2022-05-19</c:v>
                </c:pt>
                <c:pt idx="2226">
                  <c:v>2022-05-20</c:v>
                </c:pt>
                <c:pt idx="2227">
                  <c:v>2022-05-23</c:v>
                </c:pt>
                <c:pt idx="2228">
                  <c:v>2022-05-24</c:v>
                </c:pt>
                <c:pt idx="2229">
                  <c:v>2022-05-25</c:v>
                </c:pt>
                <c:pt idx="2230">
                  <c:v>2022-05-26</c:v>
                </c:pt>
                <c:pt idx="2231">
                  <c:v>2022-05-27</c:v>
                </c:pt>
                <c:pt idx="2232">
                  <c:v>2022-05-30</c:v>
                </c:pt>
                <c:pt idx="2233">
                  <c:v>2022-05-31</c:v>
                </c:pt>
                <c:pt idx="2234">
                  <c:v>2022-06-01</c:v>
                </c:pt>
                <c:pt idx="2235">
                  <c:v>2022-06-02</c:v>
                </c:pt>
                <c:pt idx="2236">
                  <c:v>2022-06-06</c:v>
                </c:pt>
                <c:pt idx="2237">
                  <c:v>2022-06-07</c:v>
                </c:pt>
                <c:pt idx="2238">
                  <c:v>2022-06-08</c:v>
                </c:pt>
                <c:pt idx="2239">
                  <c:v>2022-06-09</c:v>
                </c:pt>
                <c:pt idx="2240">
                  <c:v>2022-06-10</c:v>
                </c:pt>
                <c:pt idx="2241">
                  <c:v>2022-06-13</c:v>
                </c:pt>
                <c:pt idx="2242">
                  <c:v>2022-06-14</c:v>
                </c:pt>
                <c:pt idx="2243">
                  <c:v>2022-06-15</c:v>
                </c:pt>
                <c:pt idx="2244">
                  <c:v>2022-06-16</c:v>
                </c:pt>
                <c:pt idx="2245">
                  <c:v>2022-06-17</c:v>
                </c:pt>
                <c:pt idx="2246">
                  <c:v>2022-06-20</c:v>
                </c:pt>
                <c:pt idx="2247">
                  <c:v>2022-06-21</c:v>
                </c:pt>
                <c:pt idx="2248">
                  <c:v>2022-06-22</c:v>
                </c:pt>
                <c:pt idx="2249">
                  <c:v>2022-06-23</c:v>
                </c:pt>
                <c:pt idx="2250">
                  <c:v>2022-06-24</c:v>
                </c:pt>
                <c:pt idx="2251">
                  <c:v>2022-06-27</c:v>
                </c:pt>
                <c:pt idx="2252">
                  <c:v>2022-06-28</c:v>
                </c:pt>
                <c:pt idx="2253">
                  <c:v>2022-06-29</c:v>
                </c:pt>
                <c:pt idx="2254">
                  <c:v>2022-06-30</c:v>
                </c:pt>
                <c:pt idx="2255">
                  <c:v>2022-07-01</c:v>
                </c:pt>
                <c:pt idx="2256">
                  <c:v>2022-07-04</c:v>
                </c:pt>
                <c:pt idx="2257">
                  <c:v>2022-07-05</c:v>
                </c:pt>
                <c:pt idx="2258">
                  <c:v>2022-07-06</c:v>
                </c:pt>
                <c:pt idx="2259">
                  <c:v>2022-07-07</c:v>
                </c:pt>
                <c:pt idx="2260">
                  <c:v>2022-07-08</c:v>
                </c:pt>
                <c:pt idx="2261">
                  <c:v>2022-07-11</c:v>
                </c:pt>
                <c:pt idx="2262">
                  <c:v>2022-07-12</c:v>
                </c:pt>
                <c:pt idx="2263">
                  <c:v>2022-07-13</c:v>
                </c:pt>
                <c:pt idx="2264">
                  <c:v>2022-07-14</c:v>
                </c:pt>
                <c:pt idx="2265">
                  <c:v>2022-07-15</c:v>
                </c:pt>
                <c:pt idx="2266">
                  <c:v>2022-07-18</c:v>
                </c:pt>
                <c:pt idx="2267">
                  <c:v>2022-07-19</c:v>
                </c:pt>
                <c:pt idx="2268">
                  <c:v>2022-07-20</c:v>
                </c:pt>
                <c:pt idx="2269">
                  <c:v>2022-07-21</c:v>
                </c:pt>
                <c:pt idx="2270">
                  <c:v>2022-07-22</c:v>
                </c:pt>
                <c:pt idx="2271">
                  <c:v>2022-07-25</c:v>
                </c:pt>
                <c:pt idx="2272">
                  <c:v>2022-07-26</c:v>
                </c:pt>
                <c:pt idx="2273">
                  <c:v>2022-07-27</c:v>
                </c:pt>
                <c:pt idx="2274">
                  <c:v>2022-07-28</c:v>
                </c:pt>
                <c:pt idx="2275">
                  <c:v>2022-07-29</c:v>
                </c:pt>
                <c:pt idx="2276">
                  <c:v>2022-08-01</c:v>
                </c:pt>
                <c:pt idx="2277">
                  <c:v>2022-08-02</c:v>
                </c:pt>
                <c:pt idx="2278">
                  <c:v>2022-08-03</c:v>
                </c:pt>
                <c:pt idx="2279">
                  <c:v>2022-08-04</c:v>
                </c:pt>
                <c:pt idx="2280">
                  <c:v>2022-08-05</c:v>
                </c:pt>
                <c:pt idx="2281">
                  <c:v>2022-08-08</c:v>
                </c:pt>
                <c:pt idx="2282">
                  <c:v>2022-08-09</c:v>
                </c:pt>
                <c:pt idx="2283">
                  <c:v>2022-08-10</c:v>
                </c:pt>
                <c:pt idx="2284">
                  <c:v>2022-08-11</c:v>
                </c:pt>
                <c:pt idx="2285">
                  <c:v>2022-08-12</c:v>
                </c:pt>
                <c:pt idx="2286">
                  <c:v>2022-08-15</c:v>
                </c:pt>
                <c:pt idx="2287">
                  <c:v>2022-08-16</c:v>
                </c:pt>
                <c:pt idx="2288">
                  <c:v>2022-08-17</c:v>
                </c:pt>
                <c:pt idx="2289">
                  <c:v>2022-08-18</c:v>
                </c:pt>
                <c:pt idx="2290">
                  <c:v>2022-08-19</c:v>
                </c:pt>
                <c:pt idx="2291">
                  <c:v>2022-08-22</c:v>
                </c:pt>
                <c:pt idx="2292">
                  <c:v>2022-08-23</c:v>
                </c:pt>
                <c:pt idx="2293">
                  <c:v>2022-08-24</c:v>
                </c:pt>
                <c:pt idx="2294">
                  <c:v>2022-08-25</c:v>
                </c:pt>
                <c:pt idx="2295">
                  <c:v>2022-08-26</c:v>
                </c:pt>
                <c:pt idx="2296">
                  <c:v>2022-08-29</c:v>
                </c:pt>
                <c:pt idx="2297">
                  <c:v>2022-08-30</c:v>
                </c:pt>
                <c:pt idx="2298">
                  <c:v>2022-08-31</c:v>
                </c:pt>
                <c:pt idx="2299">
                  <c:v>2022-09-01</c:v>
                </c:pt>
                <c:pt idx="2300">
                  <c:v>2022-09-02</c:v>
                </c:pt>
                <c:pt idx="2301">
                  <c:v>2022-09-05</c:v>
                </c:pt>
                <c:pt idx="2302">
                  <c:v>2022-09-06</c:v>
                </c:pt>
                <c:pt idx="2303">
                  <c:v>2022-09-07</c:v>
                </c:pt>
                <c:pt idx="2304">
                  <c:v>2022-09-08</c:v>
                </c:pt>
                <c:pt idx="2305">
                  <c:v>2022-09-09</c:v>
                </c:pt>
                <c:pt idx="2306">
                  <c:v>2022-09-13</c:v>
                </c:pt>
                <c:pt idx="2307">
                  <c:v>2022-09-14</c:v>
                </c:pt>
                <c:pt idx="2308">
                  <c:v>2022-09-15</c:v>
                </c:pt>
                <c:pt idx="2309">
                  <c:v>2022-09-16</c:v>
                </c:pt>
                <c:pt idx="2310">
                  <c:v>2022-09-19</c:v>
                </c:pt>
                <c:pt idx="2311">
                  <c:v>2022-09-20</c:v>
                </c:pt>
                <c:pt idx="2312">
                  <c:v>2022-09-21</c:v>
                </c:pt>
                <c:pt idx="2313">
                  <c:v>2022-09-22</c:v>
                </c:pt>
                <c:pt idx="2314">
                  <c:v>2022-09-23</c:v>
                </c:pt>
                <c:pt idx="2315">
                  <c:v>2022-09-26</c:v>
                </c:pt>
                <c:pt idx="2316">
                  <c:v>2022-09-27</c:v>
                </c:pt>
                <c:pt idx="2317">
                  <c:v>2022-09-28</c:v>
                </c:pt>
                <c:pt idx="2318">
                  <c:v>2022-09-29</c:v>
                </c:pt>
                <c:pt idx="2319">
                  <c:v>2022-09-30</c:v>
                </c:pt>
                <c:pt idx="2320">
                  <c:v>2022-10-10</c:v>
                </c:pt>
                <c:pt idx="2321">
                  <c:v>2022-10-11</c:v>
                </c:pt>
                <c:pt idx="2322">
                  <c:v>2022-10-12</c:v>
                </c:pt>
                <c:pt idx="2323">
                  <c:v>2022-10-13</c:v>
                </c:pt>
                <c:pt idx="2324">
                  <c:v>2022-10-14</c:v>
                </c:pt>
                <c:pt idx="2325">
                  <c:v>2022-10-17</c:v>
                </c:pt>
                <c:pt idx="2326">
                  <c:v>2022-10-18</c:v>
                </c:pt>
                <c:pt idx="2327">
                  <c:v>2022-10-19</c:v>
                </c:pt>
                <c:pt idx="2328">
                  <c:v>2022-10-20</c:v>
                </c:pt>
                <c:pt idx="2329">
                  <c:v>2022-10-21</c:v>
                </c:pt>
                <c:pt idx="2330">
                  <c:v>2022-10-24</c:v>
                </c:pt>
                <c:pt idx="2331">
                  <c:v>2022-10-25</c:v>
                </c:pt>
                <c:pt idx="2332">
                  <c:v>2022-10-26</c:v>
                </c:pt>
                <c:pt idx="2333">
                  <c:v>2022-10-27</c:v>
                </c:pt>
                <c:pt idx="2334">
                  <c:v>2022-10-28</c:v>
                </c:pt>
                <c:pt idx="2335">
                  <c:v>2022-10-31</c:v>
                </c:pt>
                <c:pt idx="2336">
                  <c:v>2022-11-01</c:v>
                </c:pt>
                <c:pt idx="2337">
                  <c:v>2022-11-02</c:v>
                </c:pt>
                <c:pt idx="2338">
                  <c:v>2022-11-03</c:v>
                </c:pt>
                <c:pt idx="2339">
                  <c:v>2022-11-04</c:v>
                </c:pt>
                <c:pt idx="2340">
                  <c:v>2022-11-07</c:v>
                </c:pt>
                <c:pt idx="2341">
                  <c:v>2022-11-08</c:v>
                </c:pt>
                <c:pt idx="2342">
                  <c:v>2022-11-09</c:v>
                </c:pt>
                <c:pt idx="2343">
                  <c:v>2022-11-10</c:v>
                </c:pt>
                <c:pt idx="2344">
                  <c:v>2022-11-11</c:v>
                </c:pt>
                <c:pt idx="2345">
                  <c:v>2022-11-14</c:v>
                </c:pt>
                <c:pt idx="2346">
                  <c:v>2022-11-15</c:v>
                </c:pt>
                <c:pt idx="2347">
                  <c:v>2022-11-16</c:v>
                </c:pt>
                <c:pt idx="2348">
                  <c:v>2022-11-17</c:v>
                </c:pt>
                <c:pt idx="2349">
                  <c:v>2022-11-18</c:v>
                </c:pt>
                <c:pt idx="2350">
                  <c:v>2022-11-21</c:v>
                </c:pt>
                <c:pt idx="2351">
                  <c:v>2022-11-22</c:v>
                </c:pt>
                <c:pt idx="2352">
                  <c:v>2022-11-23</c:v>
                </c:pt>
                <c:pt idx="2353">
                  <c:v>2022-11-24</c:v>
                </c:pt>
                <c:pt idx="2354">
                  <c:v>2022-11-25</c:v>
                </c:pt>
                <c:pt idx="2355">
                  <c:v>2022-11-28</c:v>
                </c:pt>
                <c:pt idx="2356">
                  <c:v>2022-11-29</c:v>
                </c:pt>
                <c:pt idx="2357">
                  <c:v>2022-11-30</c:v>
                </c:pt>
                <c:pt idx="2358">
                  <c:v>2022-12-01</c:v>
                </c:pt>
                <c:pt idx="2359">
                  <c:v>2022-12-02</c:v>
                </c:pt>
                <c:pt idx="2360">
                  <c:v>2022-12-05</c:v>
                </c:pt>
                <c:pt idx="2361">
                  <c:v>2022-12-06</c:v>
                </c:pt>
                <c:pt idx="2362">
                  <c:v>2022-12-07</c:v>
                </c:pt>
                <c:pt idx="2363">
                  <c:v>2022-12-08</c:v>
                </c:pt>
                <c:pt idx="2364">
                  <c:v>2022-12-09</c:v>
                </c:pt>
                <c:pt idx="2365">
                  <c:v>2022-12-12</c:v>
                </c:pt>
                <c:pt idx="2366">
                  <c:v>2022-12-13</c:v>
                </c:pt>
                <c:pt idx="2367">
                  <c:v>2022-12-14</c:v>
                </c:pt>
                <c:pt idx="2368">
                  <c:v>2022-12-15</c:v>
                </c:pt>
                <c:pt idx="2369">
                  <c:v>2022-12-16</c:v>
                </c:pt>
                <c:pt idx="2370">
                  <c:v>2022-12-19</c:v>
                </c:pt>
                <c:pt idx="2371">
                  <c:v>2022-12-20</c:v>
                </c:pt>
                <c:pt idx="2372">
                  <c:v>2022-12-21</c:v>
                </c:pt>
                <c:pt idx="2373">
                  <c:v>2022-12-22</c:v>
                </c:pt>
                <c:pt idx="2374">
                  <c:v>2022-12-23</c:v>
                </c:pt>
                <c:pt idx="2375">
                  <c:v>2022-12-26</c:v>
                </c:pt>
                <c:pt idx="2376">
                  <c:v>2022-12-27</c:v>
                </c:pt>
                <c:pt idx="2377">
                  <c:v>2022-12-28</c:v>
                </c:pt>
                <c:pt idx="2378">
                  <c:v>2022-12-29</c:v>
                </c:pt>
                <c:pt idx="2379">
                  <c:v>2022-12-30</c:v>
                </c:pt>
                <c:pt idx="2380">
                  <c:v>2023-01-03</c:v>
                </c:pt>
                <c:pt idx="2381">
                  <c:v>2023-01-04</c:v>
                </c:pt>
                <c:pt idx="2382">
                  <c:v>2023-01-05</c:v>
                </c:pt>
                <c:pt idx="2383">
                  <c:v>2023-01-06</c:v>
                </c:pt>
                <c:pt idx="2384">
                  <c:v>2023-01-09</c:v>
                </c:pt>
                <c:pt idx="2385">
                  <c:v>2023-01-10</c:v>
                </c:pt>
                <c:pt idx="2386">
                  <c:v>2023-01-11</c:v>
                </c:pt>
                <c:pt idx="2387">
                  <c:v>2023-01-12</c:v>
                </c:pt>
                <c:pt idx="2388">
                  <c:v>2023-01-13</c:v>
                </c:pt>
                <c:pt idx="2389">
                  <c:v>2023-01-16</c:v>
                </c:pt>
                <c:pt idx="2390">
                  <c:v>2023-01-17</c:v>
                </c:pt>
                <c:pt idx="2391">
                  <c:v>2023-01-18</c:v>
                </c:pt>
                <c:pt idx="2392">
                  <c:v>2023-01-19</c:v>
                </c:pt>
                <c:pt idx="2393">
                  <c:v>2023-01-20</c:v>
                </c:pt>
                <c:pt idx="2394">
                  <c:v>2023-01-30</c:v>
                </c:pt>
                <c:pt idx="2395">
                  <c:v>2023-01-31</c:v>
                </c:pt>
                <c:pt idx="2396">
                  <c:v>2023-02-01</c:v>
                </c:pt>
                <c:pt idx="2397">
                  <c:v>2023-02-02</c:v>
                </c:pt>
                <c:pt idx="2398">
                  <c:v>2023-02-03</c:v>
                </c:pt>
                <c:pt idx="2399">
                  <c:v>2023-02-06</c:v>
                </c:pt>
                <c:pt idx="2400">
                  <c:v>2023-02-07</c:v>
                </c:pt>
                <c:pt idx="2401">
                  <c:v>2023-02-08</c:v>
                </c:pt>
                <c:pt idx="2402">
                  <c:v>2023-02-09</c:v>
                </c:pt>
                <c:pt idx="2403">
                  <c:v>2023-02-10</c:v>
                </c:pt>
                <c:pt idx="2404">
                  <c:v>2023-02-13</c:v>
                </c:pt>
                <c:pt idx="2405">
                  <c:v>2023-02-14</c:v>
                </c:pt>
                <c:pt idx="2406">
                  <c:v>2023-02-15</c:v>
                </c:pt>
                <c:pt idx="2407">
                  <c:v>2023-02-16</c:v>
                </c:pt>
                <c:pt idx="2408">
                  <c:v>2023-02-17</c:v>
                </c:pt>
                <c:pt idx="2409">
                  <c:v>2023-02-20</c:v>
                </c:pt>
                <c:pt idx="2410">
                  <c:v>2023-02-21</c:v>
                </c:pt>
                <c:pt idx="2411">
                  <c:v>2023-02-22</c:v>
                </c:pt>
                <c:pt idx="2412">
                  <c:v>2023-02-23</c:v>
                </c:pt>
                <c:pt idx="2413">
                  <c:v>2023-02-24</c:v>
                </c:pt>
                <c:pt idx="2414">
                  <c:v>2023-02-27</c:v>
                </c:pt>
                <c:pt idx="2415">
                  <c:v>2023-02-28</c:v>
                </c:pt>
                <c:pt idx="2416">
                  <c:v>2023-03-01</c:v>
                </c:pt>
                <c:pt idx="2417">
                  <c:v>2023-03-02</c:v>
                </c:pt>
                <c:pt idx="2418">
                  <c:v>2023-03-03</c:v>
                </c:pt>
                <c:pt idx="2419">
                  <c:v>2023-03-06</c:v>
                </c:pt>
                <c:pt idx="2420">
                  <c:v>2023-03-07</c:v>
                </c:pt>
                <c:pt idx="2421">
                  <c:v>2023-03-08</c:v>
                </c:pt>
                <c:pt idx="2422">
                  <c:v>2023-03-09</c:v>
                </c:pt>
                <c:pt idx="2423">
                  <c:v>2023-03-10</c:v>
                </c:pt>
                <c:pt idx="2424">
                  <c:v>2023-03-13</c:v>
                </c:pt>
                <c:pt idx="2425">
                  <c:v>2023-03-14</c:v>
                </c:pt>
                <c:pt idx="2426">
                  <c:v>2023-03-15</c:v>
                </c:pt>
                <c:pt idx="2427">
                  <c:v>2023-03-16</c:v>
                </c:pt>
                <c:pt idx="2428">
                  <c:v>2023-03-17</c:v>
                </c:pt>
                <c:pt idx="2429">
                  <c:v>2023-03-20</c:v>
                </c:pt>
                <c:pt idx="2430">
                  <c:v>2023-03-21</c:v>
                </c:pt>
                <c:pt idx="2431">
                  <c:v>2023-03-22</c:v>
                </c:pt>
                <c:pt idx="2432">
                  <c:v>2023-03-23</c:v>
                </c:pt>
                <c:pt idx="2433">
                  <c:v>2023-03-24</c:v>
                </c:pt>
                <c:pt idx="2434">
                  <c:v>2023-03-27</c:v>
                </c:pt>
                <c:pt idx="2435">
                  <c:v>2023-03-28</c:v>
                </c:pt>
                <c:pt idx="2436">
                  <c:v>2023-03-29</c:v>
                </c:pt>
                <c:pt idx="2437">
                  <c:v>2023-03-30</c:v>
                </c:pt>
                <c:pt idx="2438">
                  <c:v>2023-03-31</c:v>
                </c:pt>
                <c:pt idx="2439">
                  <c:v>2023-04-03</c:v>
                </c:pt>
                <c:pt idx="2440">
                  <c:v>2023-04-04</c:v>
                </c:pt>
                <c:pt idx="2441">
                  <c:v>2023-04-06</c:v>
                </c:pt>
                <c:pt idx="2442">
                  <c:v>2023-04-07</c:v>
                </c:pt>
                <c:pt idx="2443">
                  <c:v>2023-04-10</c:v>
                </c:pt>
                <c:pt idx="2444">
                  <c:v>2023-04-11</c:v>
                </c:pt>
                <c:pt idx="2445">
                  <c:v>2023-04-12</c:v>
                </c:pt>
                <c:pt idx="2446">
                  <c:v>2023-04-13</c:v>
                </c:pt>
                <c:pt idx="2447">
                  <c:v>2023-04-14</c:v>
                </c:pt>
                <c:pt idx="2448">
                  <c:v>2023-04-17</c:v>
                </c:pt>
                <c:pt idx="2449">
                  <c:v>2023-04-18</c:v>
                </c:pt>
                <c:pt idx="2450">
                  <c:v>2023-04-19</c:v>
                </c:pt>
                <c:pt idx="2451">
                  <c:v>2023-04-20</c:v>
                </c:pt>
                <c:pt idx="2452">
                  <c:v>2023-04-21</c:v>
                </c:pt>
                <c:pt idx="2453">
                  <c:v>2023-04-24</c:v>
                </c:pt>
                <c:pt idx="2454">
                  <c:v>2023-04-25</c:v>
                </c:pt>
                <c:pt idx="2455">
                  <c:v>2023-04-26</c:v>
                </c:pt>
                <c:pt idx="2456">
                  <c:v>2023-04-27</c:v>
                </c:pt>
                <c:pt idx="2457">
                  <c:v>2023-04-28</c:v>
                </c:pt>
                <c:pt idx="2458">
                  <c:v>2023-05-04</c:v>
                </c:pt>
                <c:pt idx="2459">
                  <c:v>2023-05-05</c:v>
                </c:pt>
                <c:pt idx="2460">
                  <c:v>2023-05-08</c:v>
                </c:pt>
                <c:pt idx="2461">
                  <c:v>2023-05-09</c:v>
                </c:pt>
                <c:pt idx="2462">
                  <c:v>2023-05-10</c:v>
                </c:pt>
                <c:pt idx="2463">
                  <c:v>2023-05-11</c:v>
                </c:pt>
                <c:pt idx="2464">
                  <c:v>2023-05-12</c:v>
                </c:pt>
                <c:pt idx="2465">
                  <c:v>2023-05-15</c:v>
                </c:pt>
                <c:pt idx="2466">
                  <c:v>2023-05-16</c:v>
                </c:pt>
                <c:pt idx="2467">
                  <c:v>2023-05-17</c:v>
                </c:pt>
                <c:pt idx="2468">
                  <c:v>2023-05-18</c:v>
                </c:pt>
                <c:pt idx="2469">
                  <c:v>2023-05-19</c:v>
                </c:pt>
                <c:pt idx="2470">
                  <c:v>2023-05-22</c:v>
                </c:pt>
                <c:pt idx="2471">
                  <c:v>2023-05-23</c:v>
                </c:pt>
                <c:pt idx="2472">
                  <c:v>2023-05-24</c:v>
                </c:pt>
                <c:pt idx="2473">
                  <c:v>2023-05-25</c:v>
                </c:pt>
                <c:pt idx="2474">
                  <c:v>2023-05-26</c:v>
                </c:pt>
                <c:pt idx="2475">
                  <c:v>2023-05-29</c:v>
                </c:pt>
                <c:pt idx="2476">
                  <c:v>2023-05-30</c:v>
                </c:pt>
                <c:pt idx="2477">
                  <c:v>2023-05-31</c:v>
                </c:pt>
                <c:pt idx="2478">
                  <c:v>2023-06-01</c:v>
                </c:pt>
                <c:pt idx="2479">
                  <c:v>2023-06-02</c:v>
                </c:pt>
                <c:pt idx="2480">
                  <c:v>2023-06-05</c:v>
                </c:pt>
                <c:pt idx="2481">
                  <c:v>2023-06-06</c:v>
                </c:pt>
                <c:pt idx="2482">
                  <c:v>2023-06-07</c:v>
                </c:pt>
                <c:pt idx="2483">
                  <c:v>2023-06-08</c:v>
                </c:pt>
                <c:pt idx="2484">
                  <c:v>2023-06-09</c:v>
                </c:pt>
                <c:pt idx="2485">
                  <c:v>2023-06-12</c:v>
                </c:pt>
                <c:pt idx="2486">
                  <c:v>2023-06-13</c:v>
                </c:pt>
                <c:pt idx="2487">
                  <c:v>2023-06-14</c:v>
                </c:pt>
                <c:pt idx="2488">
                  <c:v>2023-06-15</c:v>
                </c:pt>
                <c:pt idx="2489">
                  <c:v>2023-06-16</c:v>
                </c:pt>
                <c:pt idx="2490">
                  <c:v>2023-06-19</c:v>
                </c:pt>
                <c:pt idx="2491">
                  <c:v>2023-06-20</c:v>
                </c:pt>
                <c:pt idx="2492">
                  <c:v>2023-06-21</c:v>
                </c:pt>
                <c:pt idx="2493">
                  <c:v>2023-06-26</c:v>
                </c:pt>
                <c:pt idx="2494">
                  <c:v>2023-06-27</c:v>
                </c:pt>
                <c:pt idx="2495">
                  <c:v>2023-06-28</c:v>
                </c:pt>
                <c:pt idx="2496">
                  <c:v>2023-06-29</c:v>
                </c:pt>
                <c:pt idx="2497">
                  <c:v>2023-06-30</c:v>
                </c:pt>
                <c:pt idx="2498">
                  <c:v>2023-07-03</c:v>
                </c:pt>
                <c:pt idx="2499">
                  <c:v>2023-07-04</c:v>
                </c:pt>
                <c:pt idx="2500">
                  <c:v>2023-07-05</c:v>
                </c:pt>
                <c:pt idx="2501">
                  <c:v>2023-07-06</c:v>
                </c:pt>
                <c:pt idx="2502">
                  <c:v>2023-07-07</c:v>
                </c:pt>
                <c:pt idx="2503">
                  <c:v>2023-07-10</c:v>
                </c:pt>
                <c:pt idx="2504">
                  <c:v>2023-07-11</c:v>
                </c:pt>
                <c:pt idx="2505">
                  <c:v>2023-07-12</c:v>
                </c:pt>
                <c:pt idx="2506">
                  <c:v>2023-07-13</c:v>
                </c:pt>
                <c:pt idx="2507">
                  <c:v>2023-07-14</c:v>
                </c:pt>
                <c:pt idx="2508">
                  <c:v>2023-07-17</c:v>
                </c:pt>
                <c:pt idx="2509">
                  <c:v>2023-07-18</c:v>
                </c:pt>
                <c:pt idx="2510">
                  <c:v>2023-07-19</c:v>
                </c:pt>
                <c:pt idx="2511">
                  <c:v>2023-07-20</c:v>
                </c:pt>
                <c:pt idx="2512">
                  <c:v>2023-07-21</c:v>
                </c:pt>
                <c:pt idx="2513">
                  <c:v>2023-07-24</c:v>
                </c:pt>
                <c:pt idx="2514">
                  <c:v>2023-07-25</c:v>
                </c:pt>
                <c:pt idx="2515">
                  <c:v>2023-07-26</c:v>
                </c:pt>
                <c:pt idx="2516">
                  <c:v>2023-07-27</c:v>
                </c:pt>
                <c:pt idx="2517">
                  <c:v>2023-07-28</c:v>
                </c:pt>
                <c:pt idx="2518">
                  <c:v>2023-07-31</c:v>
                </c:pt>
                <c:pt idx="2519">
                  <c:v>2023-08-01</c:v>
                </c:pt>
                <c:pt idx="2520">
                  <c:v>2023-08-02</c:v>
                </c:pt>
                <c:pt idx="2521">
                  <c:v>2023-08-03</c:v>
                </c:pt>
                <c:pt idx="2522">
                  <c:v>2023-08-04</c:v>
                </c:pt>
                <c:pt idx="2523">
                  <c:v>2023-08-07</c:v>
                </c:pt>
                <c:pt idx="2524">
                  <c:v>2023-08-08</c:v>
                </c:pt>
                <c:pt idx="2525">
                  <c:v>2023-08-09</c:v>
                </c:pt>
                <c:pt idx="2526">
                  <c:v>2023-08-10</c:v>
                </c:pt>
                <c:pt idx="2527">
                  <c:v>2023-08-11</c:v>
                </c:pt>
                <c:pt idx="2528">
                  <c:v>2023-08-14</c:v>
                </c:pt>
                <c:pt idx="2529">
                  <c:v>2023-08-15</c:v>
                </c:pt>
                <c:pt idx="2530">
                  <c:v>2023-08-16</c:v>
                </c:pt>
                <c:pt idx="2531">
                  <c:v>2023-08-17</c:v>
                </c:pt>
                <c:pt idx="2532">
                  <c:v>2023-08-18</c:v>
                </c:pt>
                <c:pt idx="2533">
                  <c:v>2023-08-21</c:v>
                </c:pt>
                <c:pt idx="2534">
                  <c:v>2023-08-22</c:v>
                </c:pt>
                <c:pt idx="2535">
                  <c:v>2023-08-23</c:v>
                </c:pt>
                <c:pt idx="2536">
                  <c:v>2023-08-24</c:v>
                </c:pt>
                <c:pt idx="2537">
                  <c:v>2023-08-25</c:v>
                </c:pt>
                <c:pt idx="2538">
                  <c:v>2023-08-28</c:v>
                </c:pt>
                <c:pt idx="2539">
                  <c:v>2023-08-29</c:v>
                </c:pt>
                <c:pt idx="2540">
                  <c:v>2023-08-30</c:v>
                </c:pt>
                <c:pt idx="2541">
                  <c:v>2023-08-31</c:v>
                </c:pt>
                <c:pt idx="2542">
                  <c:v>2023-09-01</c:v>
                </c:pt>
                <c:pt idx="2543">
                  <c:v>2023-09-04</c:v>
                </c:pt>
                <c:pt idx="2544">
                  <c:v>2023-09-05</c:v>
                </c:pt>
                <c:pt idx="2545">
                  <c:v>2023-09-06</c:v>
                </c:pt>
                <c:pt idx="2546">
                  <c:v>2023-09-07</c:v>
                </c:pt>
                <c:pt idx="2547">
                  <c:v>2023-09-08</c:v>
                </c:pt>
                <c:pt idx="2548">
                  <c:v>2023-09-11</c:v>
                </c:pt>
                <c:pt idx="2549">
                  <c:v>2023-09-12</c:v>
                </c:pt>
                <c:pt idx="2550">
                  <c:v>2023-09-13</c:v>
                </c:pt>
                <c:pt idx="2551">
                  <c:v>2023-09-14</c:v>
                </c:pt>
                <c:pt idx="2552">
                  <c:v>2023-09-15</c:v>
                </c:pt>
                <c:pt idx="2553">
                  <c:v>2023-09-18</c:v>
                </c:pt>
                <c:pt idx="2554">
                  <c:v>2023-09-19</c:v>
                </c:pt>
                <c:pt idx="2555">
                  <c:v>2023-09-20</c:v>
                </c:pt>
                <c:pt idx="2556">
                  <c:v>2023-09-21</c:v>
                </c:pt>
                <c:pt idx="2557">
                  <c:v>2023-09-22</c:v>
                </c:pt>
                <c:pt idx="2558">
                  <c:v>2023-09-25</c:v>
                </c:pt>
                <c:pt idx="2559">
                  <c:v>2023-09-26</c:v>
                </c:pt>
                <c:pt idx="2560">
                  <c:v>2023-09-27</c:v>
                </c:pt>
                <c:pt idx="2561">
                  <c:v>2023-09-28</c:v>
                </c:pt>
                <c:pt idx="2562">
                  <c:v>2023-10-09</c:v>
                </c:pt>
                <c:pt idx="2563">
                  <c:v>2023-10-10</c:v>
                </c:pt>
                <c:pt idx="2564">
                  <c:v>2023-10-11</c:v>
                </c:pt>
                <c:pt idx="2565">
                  <c:v>2023-10-12</c:v>
                </c:pt>
                <c:pt idx="2566">
                  <c:v>2023-10-13</c:v>
                </c:pt>
                <c:pt idx="2567">
                  <c:v>2023-10-16</c:v>
                </c:pt>
                <c:pt idx="2568">
                  <c:v>2023-10-17</c:v>
                </c:pt>
                <c:pt idx="2569">
                  <c:v>2023-10-18</c:v>
                </c:pt>
                <c:pt idx="2570">
                  <c:v>2023-10-19</c:v>
                </c:pt>
                <c:pt idx="2571">
                  <c:v>2023-10-20</c:v>
                </c:pt>
                <c:pt idx="2572">
                  <c:v>2023-10-23</c:v>
                </c:pt>
                <c:pt idx="2573">
                  <c:v>2023-10-24</c:v>
                </c:pt>
                <c:pt idx="2574">
                  <c:v>2023-10-25</c:v>
                </c:pt>
                <c:pt idx="2575">
                  <c:v>2023-10-26</c:v>
                </c:pt>
                <c:pt idx="2576">
                  <c:v>2023-10-27</c:v>
                </c:pt>
                <c:pt idx="2577">
                  <c:v>2023-10-30</c:v>
                </c:pt>
                <c:pt idx="2578">
                  <c:v>2023-10-31</c:v>
                </c:pt>
                <c:pt idx="2579">
                  <c:v>2023-11-01</c:v>
                </c:pt>
                <c:pt idx="2580">
                  <c:v>2023-11-02</c:v>
                </c:pt>
                <c:pt idx="2581">
                  <c:v>2023-11-03</c:v>
                </c:pt>
                <c:pt idx="2582">
                  <c:v>2023-11-06</c:v>
                </c:pt>
                <c:pt idx="2583">
                  <c:v>2023-11-07</c:v>
                </c:pt>
                <c:pt idx="2584">
                  <c:v>2023-11-08</c:v>
                </c:pt>
                <c:pt idx="2585">
                  <c:v>2023-11-09</c:v>
                </c:pt>
                <c:pt idx="2586">
                  <c:v>2023-11-10</c:v>
                </c:pt>
                <c:pt idx="2587">
                  <c:v>2023-11-13</c:v>
                </c:pt>
                <c:pt idx="2588">
                  <c:v>2023-11-14</c:v>
                </c:pt>
                <c:pt idx="2589">
                  <c:v>2023-11-15</c:v>
                </c:pt>
                <c:pt idx="2590">
                  <c:v>2023-11-16</c:v>
                </c:pt>
                <c:pt idx="2591">
                  <c:v>2023-11-17</c:v>
                </c:pt>
                <c:pt idx="2592">
                  <c:v>2023-11-20</c:v>
                </c:pt>
                <c:pt idx="2593">
                  <c:v>2023-11-21</c:v>
                </c:pt>
                <c:pt idx="2594">
                  <c:v>2023-11-22</c:v>
                </c:pt>
                <c:pt idx="2595">
                  <c:v>2023-11-23</c:v>
                </c:pt>
                <c:pt idx="2596">
                  <c:v>2023-11-24</c:v>
                </c:pt>
                <c:pt idx="2597">
                  <c:v>2023-11-27</c:v>
                </c:pt>
                <c:pt idx="2598">
                  <c:v>2023-11-28</c:v>
                </c:pt>
                <c:pt idx="2599">
                  <c:v>2023-11-29</c:v>
                </c:pt>
                <c:pt idx="2600">
                  <c:v>2023-11-30</c:v>
                </c:pt>
                <c:pt idx="2601">
                  <c:v>2023-12-01</c:v>
                </c:pt>
                <c:pt idx="2602">
                  <c:v>2023-12-04</c:v>
                </c:pt>
                <c:pt idx="2603">
                  <c:v>2023-12-05</c:v>
                </c:pt>
                <c:pt idx="2604">
                  <c:v>2023-12-06</c:v>
                </c:pt>
                <c:pt idx="2605">
                  <c:v>2023-12-07</c:v>
                </c:pt>
                <c:pt idx="2606">
                  <c:v>2023-12-08</c:v>
                </c:pt>
                <c:pt idx="2607">
                  <c:v>2023-12-11</c:v>
                </c:pt>
                <c:pt idx="2608">
                  <c:v>2023-12-12</c:v>
                </c:pt>
                <c:pt idx="2609">
                  <c:v>2023-12-13</c:v>
                </c:pt>
                <c:pt idx="2610">
                  <c:v>2023-12-14</c:v>
                </c:pt>
                <c:pt idx="2611">
                  <c:v>2023-12-15</c:v>
                </c:pt>
                <c:pt idx="2612">
                  <c:v>2023-12-18</c:v>
                </c:pt>
                <c:pt idx="2613">
                  <c:v>2023-12-19</c:v>
                </c:pt>
                <c:pt idx="2614">
                  <c:v>2023-12-20</c:v>
                </c:pt>
                <c:pt idx="2615">
                  <c:v>2023-12-21</c:v>
                </c:pt>
                <c:pt idx="2616">
                  <c:v>2023-12-22</c:v>
                </c:pt>
                <c:pt idx="2617">
                  <c:v>2023-12-25</c:v>
                </c:pt>
                <c:pt idx="2618">
                  <c:v>2023-12-26</c:v>
                </c:pt>
                <c:pt idx="2619">
                  <c:v>2023-12-27</c:v>
                </c:pt>
                <c:pt idx="2620">
                  <c:v>2023-12-28</c:v>
                </c:pt>
                <c:pt idx="2621">
                  <c:v>2023-12-29</c:v>
                </c:pt>
                <c:pt idx="2622">
                  <c:v>2024-01-02</c:v>
                </c:pt>
                <c:pt idx="2623">
                  <c:v>2024-01-03</c:v>
                </c:pt>
                <c:pt idx="2624">
                  <c:v>2024-01-04</c:v>
                </c:pt>
                <c:pt idx="2625">
                  <c:v>2024-01-05</c:v>
                </c:pt>
                <c:pt idx="2626">
                  <c:v>2024-01-08</c:v>
                </c:pt>
                <c:pt idx="2627">
                  <c:v>2024-01-09</c:v>
                </c:pt>
                <c:pt idx="2628">
                  <c:v>2024-01-10</c:v>
                </c:pt>
                <c:pt idx="2629">
                  <c:v>2024-01-11</c:v>
                </c:pt>
                <c:pt idx="2630">
                  <c:v>2024-01-12</c:v>
                </c:pt>
                <c:pt idx="2631">
                  <c:v>2024-01-15</c:v>
                </c:pt>
                <c:pt idx="2632">
                  <c:v>2024-01-16</c:v>
                </c:pt>
                <c:pt idx="2633">
                  <c:v>2024-01-17</c:v>
                </c:pt>
                <c:pt idx="2634">
                  <c:v>2024-01-18</c:v>
                </c:pt>
                <c:pt idx="2635">
                  <c:v>2024-01-19</c:v>
                </c:pt>
                <c:pt idx="2636">
                  <c:v>2024-01-22</c:v>
                </c:pt>
                <c:pt idx="2637">
                  <c:v>2024-01-23</c:v>
                </c:pt>
                <c:pt idx="2638">
                  <c:v>2024-01-24</c:v>
                </c:pt>
                <c:pt idx="2639">
                  <c:v>2024-01-25</c:v>
                </c:pt>
                <c:pt idx="2640">
                  <c:v>2024-01-26</c:v>
                </c:pt>
                <c:pt idx="2641">
                  <c:v>2024-01-29</c:v>
                </c:pt>
                <c:pt idx="2642">
                  <c:v>2024-01-30</c:v>
                </c:pt>
                <c:pt idx="2643">
                  <c:v>2024-01-31</c:v>
                </c:pt>
                <c:pt idx="2644">
                  <c:v>2024-02-01</c:v>
                </c:pt>
                <c:pt idx="2645">
                  <c:v>2024-02-02</c:v>
                </c:pt>
                <c:pt idx="2646">
                  <c:v>2024-02-05</c:v>
                </c:pt>
                <c:pt idx="2647">
                  <c:v>2024-02-06</c:v>
                </c:pt>
                <c:pt idx="2648">
                  <c:v>2024-02-07</c:v>
                </c:pt>
                <c:pt idx="2649">
                  <c:v>2024-02-08</c:v>
                </c:pt>
                <c:pt idx="2650">
                  <c:v>2024-02-19</c:v>
                </c:pt>
                <c:pt idx="2651">
                  <c:v>2024-02-20</c:v>
                </c:pt>
                <c:pt idx="2652">
                  <c:v>2024-02-21</c:v>
                </c:pt>
                <c:pt idx="2653">
                  <c:v>2024-02-22</c:v>
                </c:pt>
                <c:pt idx="2654">
                  <c:v>2024-02-23</c:v>
                </c:pt>
                <c:pt idx="2655">
                  <c:v>2024-02-26</c:v>
                </c:pt>
                <c:pt idx="2656">
                  <c:v>2024-02-27</c:v>
                </c:pt>
                <c:pt idx="2657">
                  <c:v>2024-02-28</c:v>
                </c:pt>
                <c:pt idx="2658">
                  <c:v>2024-02-29</c:v>
                </c:pt>
                <c:pt idx="2659">
                  <c:v>2024-03-01</c:v>
                </c:pt>
                <c:pt idx="2660">
                  <c:v>2024-03-04</c:v>
                </c:pt>
                <c:pt idx="2661">
                  <c:v>2024-03-05</c:v>
                </c:pt>
                <c:pt idx="2662">
                  <c:v>2024-03-06</c:v>
                </c:pt>
                <c:pt idx="2663">
                  <c:v>2024-03-07</c:v>
                </c:pt>
                <c:pt idx="2664">
                  <c:v>2024-03-08</c:v>
                </c:pt>
                <c:pt idx="2665">
                  <c:v>2024-03-11</c:v>
                </c:pt>
                <c:pt idx="2666">
                  <c:v>2024-03-12</c:v>
                </c:pt>
                <c:pt idx="2667">
                  <c:v>2024-03-13</c:v>
                </c:pt>
                <c:pt idx="2668">
                  <c:v>2024-03-14</c:v>
                </c:pt>
                <c:pt idx="2669">
                  <c:v>2024-03-15</c:v>
                </c:pt>
                <c:pt idx="2670">
                  <c:v>2024-03-18</c:v>
                </c:pt>
                <c:pt idx="2671">
                  <c:v>2024-03-19</c:v>
                </c:pt>
                <c:pt idx="2672">
                  <c:v>2024-03-20</c:v>
                </c:pt>
                <c:pt idx="2673">
                  <c:v>2024-03-21</c:v>
                </c:pt>
                <c:pt idx="2674">
                  <c:v>2024-03-22</c:v>
                </c:pt>
                <c:pt idx="2675">
                  <c:v>2024-03-25</c:v>
                </c:pt>
                <c:pt idx="2676">
                  <c:v>2024-03-26</c:v>
                </c:pt>
                <c:pt idx="2677">
                  <c:v>2024-03-27</c:v>
                </c:pt>
                <c:pt idx="2678">
                  <c:v>2024-03-28</c:v>
                </c:pt>
                <c:pt idx="2679">
                  <c:v>2024-03-29</c:v>
                </c:pt>
                <c:pt idx="2680">
                  <c:v>2024-04-01</c:v>
                </c:pt>
                <c:pt idx="2681">
                  <c:v>2024-04-02</c:v>
                </c:pt>
                <c:pt idx="2682">
                  <c:v>2024-04-03</c:v>
                </c:pt>
                <c:pt idx="2683">
                  <c:v>2024-04-08</c:v>
                </c:pt>
                <c:pt idx="2684">
                  <c:v>2024-04-09</c:v>
                </c:pt>
                <c:pt idx="2685">
                  <c:v>2024-04-10</c:v>
                </c:pt>
                <c:pt idx="2686">
                  <c:v>2024-04-11</c:v>
                </c:pt>
                <c:pt idx="2687">
                  <c:v>2024-04-12</c:v>
                </c:pt>
                <c:pt idx="2688">
                  <c:v>2024-04-15</c:v>
                </c:pt>
                <c:pt idx="2689">
                  <c:v>2024-04-16</c:v>
                </c:pt>
                <c:pt idx="2690">
                  <c:v>2024-04-17</c:v>
                </c:pt>
                <c:pt idx="2691">
                  <c:v>2024-04-18</c:v>
                </c:pt>
                <c:pt idx="2692">
                  <c:v>2024-04-19</c:v>
                </c:pt>
                <c:pt idx="2693">
                  <c:v>2024-04-22</c:v>
                </c:pt>
                <c:pt idx="2694">
                  <c:v>2024-04-23</c:v>
                </c:pt>
                <c:pt idx="2695">
                  <c:v>2024-04-24</c:v>
                </c:pt>
                <c:pt idx="2696">
                  <c:v>2024-04-25</c:v>
                </c:pt>
                <c:pt idx="2697">
                  <c:v>2024-04-26</c:v>
                </c:pt>
                <c:pt idx="2698">
                  <c:v>2024-04-29</c:v>
                </c:pt>
                <c:pt idx="2699">
                  <c:v>2024-04-30</c:v>
                </c:pt>
                <c:pt idx="2700">
                  <c:v>2024-05-06</c:v>
                </c:pt>
                <c:pt idx="2701">
                  <c:v>2024-05-07</c:v>
                </c:pt>
                <c:pt idx="2702">
                  <c:v>2024-05-08</c:v>
                </c:pt>
                <c:pt idx="2703">
                  <c:v>2024-05-09</c:v>
                </c:pt>
                <c:pt idx="2704">
                  <c:v>2024-05-10</c:v>
                </c:pt>
                <c:pt idx="2705">
                  <c:v>2024-05-13</c:v>
                </c:pt>
                <c:pt idx="2706">
                  <c:v>2024-05-14</c:v>
                </c:pt>
                <c:pt idx="2707">
                  <c:v>2024-05-15</c:v>
                </c:pt>
                <c:pt idx="2708">
                  <c:v>2024-05-16</c:v>
                </c:pt>
                <c:pt idx="2709">
                  <c:v>2024-05-17</c:v>
                </c:pt>
                <c:pt idx="2710">
                  <c:v>2024-05-20</c:v>
                </c:pt>
                <c:pt idx="2711">
                  <c:v>2024-05-21</c:v>
                </c:pt>
                <c:pt idx="2712">
                  <c:v>2024-05-22</c:v>
                </c:pt>
                <c:pt idx="2713">
                  <c:v>2024-05-23</c:v>
                </c:pt>
                <c:pt idx="2714">
                  <c:v>2024-05-24</c:v>
                </c:pt>
                <c:pt idx="2715">
                  <c:v>2024-05-27</c:v>
                </c:pt>
                <c:pt idx="2716">
                  <c:v>2024-05-28</c:v>
                </c:pt>
                <c:pt idx="2717">
                  <c:v>2024-05-29</c:v>
                </c:pt>
                <c:pt idx="2718">
                  <c:v>2024-05-30</c:v>
                </c:pt>
                <c:pt idx="2719">
                  <c:v>2024-05-31</c:v>
                </c:pt>
                <c:pt idx="2720">
                  <c:v>2024-06-03</c:v>
                </c:pt>
                <c:pt idx="2721">
                  <c:v>2024-06-04</c:v>
                </c:pt>
                <c:pt idx="2722">
                  <c:v>2024-06-05</c:v>
                </c:pt>
                <c:pt idx="2723">
                  <c:v>2024-06-06</c:v>
                </c:pt>
                <c:pt idx="2724">
                  <c:v>2024-06-07</c:v>
                </c:pt>
                <c:pt idx="2725">
                  <c:v>2024-06-11</c:v>
                </c:pt>
                <c:pt idx="2726">
                  <c:v>2024-06-12</c:v>
                </c:pt>
                <c:pt idx="2727">
                  <c:v>2024-06-13</c:v>
                </c:pt>
                <c:pt idx="2728">
                  <c:v>2024-06-14</c:v>
                </c:pt>
                <c:pt idx="2729">
                  <c:v>2024-06-17</c:v>
                </c:pt>
                <c:pt idx="2730">
                  <c:v>2024-06-18</c:v>
                </c:pt>
                <c:pt idx="2731">
                  <c:v>2024-06-19</c:v>
                </c:pt>
                <c:pt idx="2732">
                  <c:v>2024-06-20</c:v>
                </c:pt>
                <c:pt idx="2733">
                  <c:v>2024-06-21</c:v>
                </c:pt>
                <c:pt idx="2734">
                  <c:v>2024-06-24</c:v>
                </c:pt>
                <c:pt idx="2735">
                  <c:v>2024-06-25</c:v>
                </c:pt>
                <c:pt idx="2736">
                  <c:v>2024-06-26</c:v>
                </c:pt>
                <c:pt idx="2737">
                  <c:v>2024-06-27</c:v>
                </c:pt>
                <c:pt idx="2738">
                  <c:v>2024-06-28</c:v>
                </c:pt>
                <c:pt idx="2739">
                  <c:v>2024-07-01</c:v>
                </c:pt>
                <c:pt idx="2740">
                  <c:v>2024-07-02</c:v>
                </c:pt>
                <c:pt idx="2741">
                  <c:v>2024-07-03</c:v>
                </c:pt>
                <c:pt idx="2742">
                  <c:v>2024-07-04</c:v>
                </c:pt>
                <c:pt idx="2743">
                  <c:v>2024-07-05</c:v>
                </c:pt>
                <c:pt idx="2744">
                  <c:v>2024-07-08</c:v>
                </c:pt>
                <c:pt idx="2745">
                  <c:v>2024-07-09</c:v>
                </c:pt>
                <c:pt idx="2746">
                  <c:v>2024-07-10</c:v>
                </c:pt>
                <c:pt idx="2747">
                  <c:v>2024-07-11</c:v>
                </c:pt>
                <c:pt idx="2748">
                  <c:v>2024-07-12</c:v>
                </c:pt>
                <c:pt idx="2749">
                  <c:v>2024-07-15</c:v>
                </c:pt>
                <c:pt idx="2750">
                  <c:v>2024-07-16</c:v>
                </c:pt>
                <c:pt idx="2751">
                  <c:v>2024-07-17</c:v>
                </c:pt>
                <c:pt idx="2752">
                  <c:v>2024-07-18</c:v>
                </c:pt>
                <c:pt idx="2753">
                  <c:v>2024-07-19</c:v>
                </c:pt>
                <c:pt idx="2754">
                  <c:v>2024-07-22</c:v>
                </c:pt>
                <c:pt idx="2755">
                  <c:v>2024-07-23</c:v>
                </c:pt>
                <c:pt idx="2756">
                  <c:v>2024-07-24</c:v>
                </c:pt>
                <c:pt idx="2757">
                  <c:v>2024-07-25</c:v>
                </c:pt>
                <c:pt idx="2758">
                  <c:v>2024-07-26</c:v>
                </c:pt>
                <c:pt idx="2759">
                  <c:v>2024-07-29</c:v>
                </c:pt>
                <c:pt idx="2760">
                  <c:v>2024-07-30</c:v>
                </c:pt>
                <c:pt idx="2761">
                  <c:v>2024-07-31</c:v>
                </c:pt>
                <c:pt idx="2762">
                  <c:v>2024-08-01</c:v>
                </c:pt>
                <c:pt idx="2763">
                  <c:v>2024-08-02</c:v>
                </c:pt>
                <c:pt idx="2764">
                  <c:v>2024-08-05</c:v>
                </c:pt>
                <c:pt idx="2765">
                  <c:v>2024-08-06</c:v>
                </c:pt>
                <c:pt idx="2766">
                  <c:v>2024-08-07</c:v>
                </c:pt>
                <c:pt idx="2767">
                  <c:v>2024-08-08</c:v>
                </c:pt>
                <c:pt idx="2768">
                  <c:v>2024-08-09</c:v>
                </c:pt>
                <c:pt idx="2769">
                  <c:v>2024-08-12</c:v>
                </c:pt>
                <c:pt idx="2770">
                  <c:v>2024-08-13</c:v>
                </c:pt>
                <c:pt idx="2771">
                  <c:v>2024-08-14</c:v>
                </c:pt>
                <c:pt idx="2772">
                  <c:v>2024-08-15</c:v>
                </c:pt>
                <c:pt idx="2773">
                  <c:v>2024-08-16</c:v>
                </c:pt>
                <c:pt idx="2774">
                  <c:v>2024-08-19</c:v>
                </c:pt>
                <c:pt idx="2775">
                  <c:v>2024-08-20</c:v>
                </c:pt>
                <c:pt idx="2776">
                  <c:v>2024-08-21</c:v>
                </c:pt>
                <c:pt idx="2777">
                  <c:v>2024-08-22</c:v>
                </c:pt>
                <c:pt idx="2778">
                  <c:v>2024-08-23</c:v>
                </c:pt>
                <c:pt idx="2779">
                  <c:v>2024-08-26</c:v>
                </c:pt>
                <c:pt idx="2780">
                  <c:v>2024-08-27</c:v>
                </c:pt>
                <c:pt idx="2781">
                  <c:v>2024-08-28</c:v>
                </c:pt>
                <c:pt idx="2782">
                  <c:v>2024-08-29</c:v>
                </c:pt>
                <c:pt idx="2783">
                  <c:v>2024-08-30</c:v>
                </c:pt>
                <c:pt idx="2784">
                  <c:v>2024-09-02</c:v>
                </c:pt>
                <c:pt idx="2785">
                  <c:v>2024-09-03</c:v>
                </c:pt>
                <c:pt idx="2786">
                  <c:v>2024-09-04</c:v>
                </c:pt>
                <c:pt idx="2787">
                  <c:v>2024-09-05</c:v>
                </c:pt>
                <c:pt idx="2788">
                  <c:v>2024-09-06</c:v>
                </c:pt>
                <c:pt idx="2789">
                  <c:v>2024-09-09</c:v>
                </c:pt>
                <c:pt idx="2790">
                  <c:v>2024-09-10</c:v>
                </c:pt>
                <c:pt idx="2791">
                  <c:v>2024-09-11</c:v>
                </c:pt>
                <c:pt idx="2792">
                  <c:v>2024-09-12</c:v>
                </c:pt>
                <c:pt idx="2793">
                  <c:v>2024-09-13</c:v>
                </c:pt>
                <c:pt idx="2794">
                  <c:v>2024-09-18</c:v>
                </c:pt>
                <c:pt idx="2795">
                  <c:v>2024-09-19</c:v>
                </c:pt>
                <c:pt idx="2796">
                  <c:v>2024-09-20</c:v>
                </c:pt>
                <c:pt idx="2797">
                  <c:v>2024-09-23</c:v>
                </c:pt>
                <c:pt idx="2798">
                  <c:v>2024-09-24</c:v>
                </c:pt>
                <c:pt idx="2799">
                  <c:v>2024-09-25</c:v>
                </c:pt>
                <c:pt idx="2800">
                  <c:v>2024-09-26</c:v>
                </c:pt>
                <c:pt idx="2801">
                  <c:v>2024-09-27</c:v>
                </c:pt>
                <c:pt idx="2802">
                  <c:v>2024-09-30</c:v>
                </c:pt>
                <c:pt idx="2803">
                  <c:v>2024-10-08</c:v>
                </c:pt>
                <c:pt idx="2804">
                  <c:v>2024-10-09</c:v>
                </c:pt>
                <c:pt idx="2805">
                  <c:v>2024-10-10</c:v>
                </c:pt>
                <c:pt idx="2806">
                  <c:v>2024-10-11</c:v>
                </c:pt>
                <c:pt idx="2807">
                  <c:v>2024-10-14</c:v>
                </c:pt>
                <c:pt idx="2808">
                  <c:v>2024-10-15</c:v>
                </c:pt>
                <c:pt idx="2809">
                  <c:v>2024-10-16</c:v>
                </c:pt>
                <c:pt idx="2810">
                  <c:v>2024-10-17</c:v>
                </c:pt>
                <c:pt idx="2811">
                  <c:v>2024-10-18</c:v>
                </c:pt>
                <c:pt idx="2812">
                  <c:v>2024-10-21</c:v>
                </c:pt>
                <c:pt idx="2813">
                  <c:v>2024-10-22</c:v>
                </c:pt>
                <c:pt idx="2814">
                  <c:v>2024-10-23</c:v>
                </c:pt>
                <c:pt idx="2815">
                  <c:v>2024-10-24</c:v>
                </c:pt>
                <c:pt idx="2816">
                  <c:v>2024-10-25</c:v>
                </c:pt>
                <c:pt idx="2817">
                  <c:v>2024-10-28</c:v>
                </c:pt>
                <c:pt idx="2818">
                  <c:v>2024-10-29</c:v>
                </c:pt>
                <c:pt idx="2819">
                  <c:v>2024-10-30</c:v>
                </c:pt>
                <c:pt idx="2820">
                  <c:v>2024-10-31</c:v>
                </c:pt>
                <c:pt idx="2821">
                  <c:v>2024-11-01</c:v>
                </c:pt>
                <c:pt idx="2822">
                  <c:v>2024-11-04</c:v>
                </c:pt>
                <c:pt idx="2823">
                  <c:v>2024-11-05</c:v>
                </c:pt>
                <c:pt idx="2824">
                  <c:v>2024-11-06</c:v>
                </c:pt>
                <c:pt idx="2825">
                  <c:v>2024-11-07</c:v>
                </c:pt>
                <c:pt idx="2826">
                  <c:v>2024-11-08</c:v>
                </c:pt>
                <c:pt idx="2827">
                  <c:v>2024-11-11</c:v>
                </c:pt>
                <c:pt idx="2828">
                  <c:v>2024-11-12</c:v>
                </c:pt>
                <c:pt idx="2829">
                  <c:v>2024-11-13</c:v>
                </c:pt>
                <c:pt idx="2830">
                  <c:v>2024-11-14</c:v>
                </c:pt>
                <c:pt idx="2831">
                  <c:v>2024-11-15</c:v>
                </c:pt>
                <c:pt idx="2832">
                  <c:v>2024-11-18</c:v>
                </c:pt>
                <c:pt idx="2833">
                  <c:v>2024-11-19</c:v>
                </c:pt>
                <c:pt idx="2834">
                  <c:v>2024-11-20</c:v>
                </c:pt>
                <c:pt idx="2835">
                  <c:v>2024-11-21</c:v>
                </c:pt>
                <c:pt idx="2836">
                  <c:v>2024-11-22</c:v>
                </c:pt>
                <c:pt idx="2837">
                  <c:v>2024-11-25</c:v>
                </c:pt>
                <c:pt idx="2838">
                  <c:v>2024-11-26</c:v>
                </c:pt>
                <c:pt idx="2839">
                  <c:v>2024-11-27</c:v>
                </c:pt>
                <c:pt idx="2840">
                  <c:v>2024-11-28</c:v>
                </c:pt>
                <c:pt idx="2841">
                  <c:v>2024-11-29</c:v>
                </c:pt>
                <c:pt idx="2842">
                  <c:v>2024-12-02</c:v>
                </c:pt>
                <c:pt idx="2843">
                  <c:v>2024-12-03</c:v>
                </c:pt>
                <c:pt idx="2844">
                  <c:v>2024-12-04</c:v>
                </c:pt>
                <c:pt idx="2845">
                  <c:v>2024-12-05</c:v>
                </c:pt>
                <c:pt idx="2846">
                  <c:v>2024-12-06</c:v>
                </c:pt>
                <c:pt idx="2847">
                  <c:v>2024-12-09</c:v>
                </c:pt>
                <c:pt idx="2848">
                  <c:v>2024-12-10</c:v>
                </c:pt>
                <c:pt idx="2849">
                  <c:v>2024-12-11</c:v>
                </c:pt>
                <c:pt idx="2850">
                  <c:v>2024-12-12</c:v>
                </c:pt>
                <c:pt idx="2851">
                  <c:v>2024-12-13</c:v>
                </c:pt>
                <c:pt idx="2852">
                  <c:v>2024-12-16</c:v>
                </c:pt>
                <c:pt idx="2853">
                  <c:v>2024-12-17</c:v>
                </c:pt>
                <c:pt idx="2854">
                  <c:v>2024-12-18</c:v>
                </c:pt>
                <c:pt idx="2855">
                  <c:v>2024-12-19</c:v>
                </c:pt>
                <c:pt idx="2856">
                  <c:v>2024-12-20</c:v>
                </c:pt>
                <c:pt idx="2857">
                  <c:v>2024-12-23</c:v>
                </c:pt>
                <c:pt idx="2858">
                  <c:v>2024-12-24</c:v>
                </c:pt>
                <c:pt idx="2859">
                  <c:v>2024-12-25</c:v>
                </c:pt>
                <c:pt idx="2860">
                  <c:v>2024-12-26</c:v>
                </c:pt>
                <c:pt idx="2861">
                  <c:v>2024-12-27</c:v>
                </c:pt>
                <c:pt idx="2862">
                  <c:v>2024-12-30</c:v>
                </c:pt>
                <c:pt idx="2863">
                  <c:v>2024-12-31</c:v>
                </c:pt>
                <c:pt idx="2864">
                  <c:v>2025-01-02</c:v>
                </c:pt>
                <c:pt idx="2865">
                  <c:v>2025-01-03</c:v>
                </c:pt>
                <c:pt idx="2866">
                  <c:v>2025-01-06</c:v>
                </c:pt>
                <c:pt idx="2867">
                  <c:v>2025-01-07</c:v>
                </c:pt>
                <c:pt idx="2868">
                  <c:v>2025-01-08</c:v>
                </c:pt>
                <c:pt idx="2869">
                  <c:v>2025-01-09</c:v>
                </c:pt>
                <c:pt idx="2870">
                  <c:v>2025-01-10</c:v>
                </c:pt>
                <c:pt idx="2871">
                  <c:v>2025-01-13</c:v>
                </c:pt>
                <c:pt idx="2872">
                  <c:v>2025-01-14</c:v>
                </c:pt>
                <c:pt idx="2873">
                  <c:v>2025-01-15</c:v>
                </c:pt>
                <c:pt idx="2874">
                  <c:v>2025-01-16</c:v>
                </c:pt>
                <c:pt idx="2875">
                  <c:v>2025-01-17</c:v>
                </c:pt>
                <c:pt idx="2876">
                  <c:v>2025-01-20</c:v>
                </c:pt>
                <c:pt idx="2877">
                  <c:v>2025-01-21</c:v>
                </c:pt>
                <c:pt idx="2878">
                  <c:v>2025-01-22</c:v>
                </c:pt>
                <c:pt idx="2879">
                  <c:v>2025-01-23</c:v>
                </c:pt>
                <c:pt idx="2880">
                  <c:v>2025-01-24</c:v>
                </c:pt>
                <c:pt idx="2881">
                  <c:v>2025-01-27</c:v>
                </c:pt>
                <c:pt idx="2882">
                  <c:v>2025-02-05</c:v>
                </c:pt>
                <c:pt idx="2883">
                  <c:v>2025-02-06</c:v>
                </c:pt>
                <c:pt idx="2884">
                  <c:v>2025-02-07</c:v>
                </c:pt>
                <c:pt idx="2885">
                  <c:v>2025-02-10</c:v>
                </c:pt>
                <c:pt idx="2886">
                  <c:v>2025-02-11</c:v>
                </c:pt>
                <c:pt idx="2887">
                  <c:v>2025-02-12</c:v>
                </c:pt>
                <c:pt idx="2888">
                  <c:v>2025-02-13</c:v>
                </c:pt>
                <c:pt idx="2889">
                  <c:v>2025-02-14</c:v>
                </c:pt>
                <c:pt idx="2890">
                  <c:v>2025-02-17</c:v>
                </c:pt>
                <c:pt idx="2891">
                  <c:v>2025-02-18</c:v>
                </c:pt>
                <c:pt idx="2892">
                  <c:v>2025-02-19</c:v>
                </c:pt>
                <c:pt idx="2893">
                  <c:v>2025-02-20</c:v>
                </c:pt>
                <c:pt idx="2894">
                  <c:v>2025-02-21</c:v>
                </c:pt>
                <c:pt idx="2895">
                  <c:v>2025-02-24</c:v>
                </c:pt>
                <c:pt idx="2896">
                  <c:v>2025-02-25</c:v>
                </c:pt>
                <c:pt idx="2897">
                  <c:v>2025-02-26</c:v>
                </c:pt>
                <c:pt idx="2898">
                  <c:v>2025-02-27</c:v>
                </c:pt>
                <c:pt idx="2899">
                  <c:v>2025-02-28</c:v>
                </c:pt>
                <c:pt idx="2900">
                  <c:v>2025-03-03</c:v>
                </c:pt>
                <c:pt idx="2901">
                  <c:v>2025-03-04</c:v>
                </c:pt>
                <c:pt idx="2902">
                  <c:v>2025-03-05</c:v>
                </c:pt>
                <c:pt idx="2903">
                  <c:v>2025-03-06</c:v>
                </c:pt>
                <c:pt idx="2904">
                  <c:v>2025-03-07</c:v>
                </c:pt>
                <c:pt idx="2905">
                  <c:v>2025-03-10</c:v>
                </c:pt>
                <c:pt idx="2906">
                  <c:v>2025-03-11</c:v>
                </c:pt>
                <c:pt idx="2907">
                  <c:v>2025-03-12</c:v>
                </c:pt>
                <c:pt idx="2908">
                  <c:v>2025-03-13</c:v>
                </c:pt>
                <c:pt idx="2909">
                  <c:v>2025-03-14</c:v>
                </c:pt>
                <c:pt idx="2910">
                  <c:v>2025-03-17</c:v>
                </c:pt>
                <c:pt idx="2911">
                  <c:v>2025-03-18</c:v>
                </c:pt>
                <c:pt idx="2912">
                  <c:v>2025-03-19</c:v>
                </c:pt>
                <c:pt idx="2913">
                  <c:v>2025-03-20</c:v>
                </c:pt>
                <c:pt idx="2914">
                  <c:v>2025-03-21</c:v>
                </c:pt>
                <c:pt idx="2915">
                  <c:v>2025-03-24</c:v>
                </c:pt>
                <c:pt idx="2916">
                  <c:v>2025-03-25</c:v>
                </c:pt>
                <c:pt idx="2917">
                  <c:v>2025-03-26</c:v>
                </c:pt>
                <c:pt idx="2918">
                  <c:v>2025-03-27</c:v>
                </c:pt>
                <c:pt idx="2919">
                  <c:v>2025-03-28</c:v>
                </c:pt>
                <c:pt idx="2920">
                  <c:v>2025-03-31</c:v>
                </c:pt>
                <c:pt idx="2921">
                  <c:v>2025-04-01</c:v>
                </c:pt>
                <c:pt idx="2922">
                  <c:v>2025-04-02</c:v>
                </c:pt>
                <c:pt idx="2923">
                  <c:v>2025-04-03</c:v>
                </c:pt>
                <c:pt idx="2924">
                  <c:v>2025-04-07</c:v>
                </c:pt>
                <c:pt idx="2925">
                  <c:v>2025-04-08</c:v>
                </c:pt>
                <c:pt idx="2926">
                  <c:v>2025-04-09</c:v>
                </c:pt>
                <c:pt idx="2927">
                  <c:v>2025-04-10</c:v>
                </c:pt>
                <c:pt idx="2928">
                  <c:v>2025-04-11</c:v>
                </c:pt>
                <c:pt idx="2929">
                  <c:v>2025-04-14</c:v>
                </c:pt>
                <c:pt idx="2930">
                  <c:v>2025-04-15</c:v>
                </c:pt>
                <c:pt idx="2931">
                  <c:v>2025-04-16</c:v>
                </c:pt>
                <c:pt idx="2932">
                  <c:v>2025-04-17</c:v>
                </c:pt>
                <c:pt idx="2933">
                  <c:v>2025-04-18</c:v>
                </c:pt>
                <c:pt idx="2934">
                  <c:v>2025-04-21</c:v>
                </c:pt>
                <c:pt idx="2935">
                  <c:v>2025-04-22</c:v>
                </c:pt>
                <c:pt idx="2936">
                  <c:v>2025-04-23</c:v>
                </c:pt>
                <c:pt idx="2937">
                  <c:v>2025-04-24</c:v>
                </c:pt>
                <c:pt idx="2938">
                  <c:v>2025-04-25</c:v>
                </c:pt>
                <c:pt idx="2939">
                  <c:v>2025-04-28</c:v>
                </c:pt>
                <c:pt idx="2940">
                  <c:v>2025-04-29</c:v>
                </c:pt>
                <c:pt idx="2941">
                  <c:v>2025-04-30</c:v>
                </c:pt>
                <c:pt idx="2942">
                  <c:v>2025-05-06</c:v>
                </c:pt>
                <c:pt idx="2943">
                  <c:v>2025-05-07</c:v>
                </c:pt>
                <c:pt idx="2944">
                  <c:v>2025-05-08</c:v>
                </c:pt>
                <c:pt idx="2945">
                  <c:v>2025-05-09</c:v>
                </c:pt>
                <c:pt idx="2946">
                  <c:v>2025-05-12</c:v>
                </c:pt>
                <c:pt idx="2947">
                  <c:v>2025-05-13</c:v>
                </c:pt>
                <c:pt idx="2948">
                  <c:v>2025-05-14</c:v>
                </c:pt>
                <c:pt idx="2949">
                  <c:v>2025-05-15</c:v>
                </c:pt>
                <c:pt idx="2950">
                  <c:v>2025-05-16</c:v>
                </c:pt>
                <c:pt idx="2951">
                  <c:v>2025-05-19</c:v>
                </c:pt>
                <c:pt idx="2952">
                  <c:v>2025-05-20</c:v>
                </c:pt>
                <c:pt idx="2953">
                  <c:v>2025-05-21</c:v>
                </c:pt>
                <c:pt idx="2954">
                  <c:v>2025-05-22</c:v>
                </c:pt>
                <c:pt idx="2955">
                  <c:v>2025-05-23</c:v>
                </c:pt>
                <c:pt idx="2956">
                  <c:v>2025-05-26</c:v>
                </c:pt>
                <c:pt idx="2957">
                  <c:v>2025-05-27</c:v>
                </c:pt>
                <c:pt idx="2958">
                  <c:v>2025-05-28</c:v>
                </c:pt>
                <c:pt idx="2959">
                  <c:v>2025-05-29</c:v>
                </c:pt>
                <c:pt idx="2960">
                  <c:v>2025-05-30</c:v>
                </c:pt>
                <c:pt idx="2961">
                  <c:v>2025-06-03</c:v>
                </c:pt>
                <c:pt idx="2962">
                  <c:v>2025-06-04</c:v>
                </c:pt>
                <c:pt idx="2963">
                  <c:v>2025-06-05</c:v>
                </c:pt>
                <c:pt idx="2964">
                  <c:v>2025-06-06</c:v>
                </c:pt>
                <c:pt idx="2965">
                  <c:v>2025-06-09</c:v>
                </c:pt>
                <c:pt idx="2966">
                  <c:v>2025-06-10</c:v>
                </c:pt>
                <c:pt idx="2967">
                  <c:v>2025-06-11</c:v>
                </c:pt>
                <c:pt idx="2968">
                  <c:v>2025-06-12</c:v>
                </c:pt>
                <c:pt idx="2969">
                  <c:v>2025-06-13</c:v>
                </c:pt>
                <c:pt idx="2970">
                  <c:v>2025-06-16</c:v>
                </c:pt>
                <c:pt idx="2971">
                  <c:v>2025-06-17</c:v>
                </c:pt>
                <c:pt idx="2972">
                  <c:v>2025-06-18</c:v>
                </c:pt>
                <c:pt idx="2973">
                  <c:v>2025-06-19</c:v>
                </c:pt>
                <c:pt idx="2974">
                  <c:v>2025-06-20</c:v>
                </c:pt>
                <c:pt idx="2975">
                  <c:v>2025-06-23</c:v>
                </c:pt>
                <c:pt idx="2976">
                  <c:v>2025-06-24</c:v>
                </c:pt>
                <c:pt idx="2977">
                  <c:v>2025-06-25</c:v>
                </c:pt>
                <c:pt idx="2978">
                  <c:v>2025-06-26</c:v>
                </c:pt>
                <c:pt idx="2979">
                  <c:v>2025-06-27</c:v>
                </c:pt>
                <c:pt idx="2980">
                  <c:v>2025-06-30</c:v>
                </c:pt>
                <c:pt idx="2981">
                  <c:v>2025-07-01</c:v>
                </c:pt>
                <c:pt idx="2982">
                  <c:v>2025-07-02</c:v>
                </c:pt>
                <c:pt idx="2983">
                  <c:v>2025-07-03</c:v>
                </c:pt>
                <c:pt idx="2984">
                  <c:v>2025-07-04</c:v>
                </c:pt>
                <c:pt idx="2985">
                  <c:v>2025-07-07</c:v>
                </c:pt>
                <c:pt idx="2986">
                  <c:v>2025-07-08</c:v>
                </c:pt>
                <c:pt idx="2987">
                  <c:v>2025-07-09</c:v>
                </c:pt>
                <c:pt idx="2988">
                  <c:v>2025-07-10</c:v>
                </c:pt>
                <c:pt idx="2989">
                  <c:v>2025-07-11</c:v>
                </c:pt>
                <c:pt idx="2990">
                  <c:v>2025-07-14</c:v>
                </c:pt>
                <c:pt idx="2991">
                  <c:v>2025-07-15</c:v>
                </c:pt>
                <c:pt idx="2992">
                  <c:v>2025-07-16</c:v>
                </c:pt>
                <c:pt idx="2993">
                  <c:v>2025-07-17</c:v>
                </c:pt>
                <c:pt idx="2994">
                  <c:v>2025-07-18</c:v>
                </c:pt>
                <c:pt idx="2995">
                  <c:v>2025-07-21</c:v>
                </c:pt>
                <c:pt idx="2996">
                  <c:v>2025-07-22</c:v>
                </c:pt>
                <c:pt idx="2997">
                  <c:v>2025-07-23</c:v>
                </c:pt>
                <c:pt idx="2998">
                  <c:v>2025-07-24</c:v>
                </c:pt>
                <c:pt idx="2999">
                  <c:v>2025-07-25</c:v>
                </c:pt>
                <c:pt idx="3000">
                  <c:v>2025-07-28</c:v>
                </c:pt>
                <c:pt idx="3001">
                  <c:v>2025-07-29</c:v>
                </c:pt>
                <c:pt idx="3002">
                  <c:v>2025-07-30</c:v>
                </c:pt>
                <c:pt idx="3003">
                  <c:v>2025-07-31</c:v>
                </c:pt>
                <c:pt idx="3004">
                  <c:v>2025-08-01</c:v>
                </c:pt>
                <c:pt idx="3005">
                  <c:v>2025-08-04</c:v>
                </c:pt>
                <c:pt idx="3006">
                  <c:v>2025-08-05</c:v>
                </c:pt>
                <c:pt idx="3007">
                  <c:v>2025-08-06</c:v>
                </c:pt>
                <c:pt idx="3008">
                  <c:v>2025-08-07</c:v>
                </c:pt>
                <c:pt idx="3009">
                  <c:v>2025-08-08</c:v>
                </c:pt>
                <c:pt idx="3010">
                  <c:v>2025-08-11</c:v>
                </c:pt>
                <c:pt idx="3011">
                  <c:v>2025-08-12</c:v>
                </c:pt>
                <c:pt idx="3012">
                  <c:v>2025-08-13</c:v>
                </c:pt>
                <c:pt idx="3013">
                  <c:v>2025-08-14</c:v>
                </c:pt>
                <c:pt idx="3014">
                  <c:v>2025-08-15</c:v>
                </c:pt>
                <c:pt idx="3015">
                  <c:v>2025-08-18</c:v>
                </c:pt>
                <c:pt idx="3016">
                  <c:v>2025-08-19</c:v>
                </c:pt>
                <c:pt idx="3017">
                  <c:v>2025-08-20</c:v>
                </c:pt>
                <c:pt idx="3018">
                  <c:v>2025-08-21</c:v>
                </c:pt>
                <c:pt idx="3019">
                  <c:v>2025-08-22</c:v>
                </c:pt>
                <c:pt idx="3020">
                  <c:v>2025-08-25</c:v>
                </c:pt>
                <c:pt idx="3021">
                  <c:v>2025-08-26</c:v>
                </c:pt>
                <c:pt idx="3022">
                  <c:v>2025-08-27</c:v>
                </c:pt>
                <c:pt idx="3023">
                  <c:v>2025-08-28</c:v>
                </c:pt>
                <c:pt idx="3024">
                  <c:v>2025-08-29</c:v>
                </c:pt>
                <c:pt idx="3025">
                  <c:v>2025-09-01</c:v>
                </c:pt>
                <c:pt idx="3026">
                  <c:v>2025-09-02</c:v>
                </c:pt>
                <c:pt idx="3027">
                  <c:v>2025-09-03</c:v>
                </c:pt>
                <c:pt idx="3028">
                  <c:v>2025-09-04</c:v>
                </c:pt>
                <c:pt idx="3029">
                  <c:v>2025-09-05</c:v>
                </c:pt>
                <c:pt idx="3030">
                  <c:v>2025-09-08</c:v>
                </c:pt>
                <c:pt idx="3031">
                  <c:v>2025-09-09</c:v>
                </c:pt>
                <c:pt idx="3032">
                  <c:v>2025-09-10</c:v>
                </c:pt>
                <c:pt idx="3033">
                  <c:v>2025-09-11</c:v>
                </c:pt>
                <c:pt idx="3034">
                  <c:v>2025-09-12</c:v>
                </c:pt>
                <c:pt idx="3035">
                  <c:v>2025-09-15</c:v>
                </c:pt>
                <c:pt idx="3036">
                  <c:v>2025-09-16</c:v>
                </c:pt>
                <c:pt idx="3037">
                  <c:v>2025-09-17</c:v>
                </c:pt>
                <c:pt idx="3038">
                  <c:v>2025-09-18</c:v>
                </c:pt>
                <c:pt idx="3039">
                  <c:v>2025-09-19</c:v>
                </c:pt>
                <c:pt idx="3040">
                  <c:v>2025-09-22</c:v>
                </c:pt>
                <c:pt idx="3041">
                  <c:v>2025-09-23</c:v>
                </c:pt>
                <c:pt idx="3042">
                  <c:v>2025-09-24</c:v>
                </c:pt>
                <c:pt idx="3043">
                  <c:v>2025-09-25</c:v>
                </c:pt>
                <c:pt idx="3044">
                  <c:v>2025-09-26</c:v>
                </c:pt>
                <c:pt idx="3045">
                  <c:v>2025-09-29</c:v>
                </c:pt>
                <c:pt idx="3046">
                  <c:v>2025-09-30</c:v>
                </c:pt>
                <c:pt idx="3047">
                  <c:v>2025-10-09</c:v>
                </c:pt>
                <c:pt idx="3048">
                  <c:v>2025-10-10</c:v>
                </c:pt>
                <c:pt idx="3049">
                  <c:v>2025-10-13</c:v>
                </c:pt>
                <c:pt idx="3050">
                  <c:v>2025-10-14</c:v>
                </c:pt>
                <c:pt idx="3051">
                  <c:v>2025-10-15</c:v>
                </c:pt>
                <c:pt idx="3052">
                  <c:v>2025-10-16</c:v>
                </c:pt>
                <c:pt idx="3053">
                  <c:v>2025-10-17</c:v>
                </c:pt>
                <c:pt idx="3054">
                  <c:v>2025-10-20</c:v>
                </c:pt>
                <c:pt idx="3055">
                  <c:v>2025-10-21</c:v>
                </c:pt>
                <c:pt idx="3056">
                  <c:v>2025-10-22</c:v>
                </c:pt>
                <c:pt idx="3057">
                  <c:v>2025-10-23</c:v>
                </c:pt>
                <c:pt idx="3058">
                  <c:v>2025-10-24</c:v>
                </c:pt>
                <c:pt idx="3059">
                  <c:v>2025-10-27</c:v>
                </c:pt>
                <c:pt idx="3060">
                  <c:v>2025-10-28</c:v>
                </c:pt>
                <c:pt idx="3061">
                  <c:v>2025-10-29</c:v>
                </c:pt>
                <c:pt idx="3062">
                  <c:v>2025-10-30</c:v>
                </c:pt>
                <c:pt idx="3063">
                  <c:v>2025-10-31</c:v>
                </c:pt>
                <c:pt idx="3064">
                  <c:v>2025-11-03</c:v>
                </c:pt>
                <c:pt idx="3065">
                  <c:v>2025-11-04</c:v>
                </c:pt>
                <c:pt idx="3066">
                  <c:v>2025-11-05</c:v>
                </c:pt>
                <c:pt idx="3067">
                  <c:v>2025-11-06</c:v>
                </c:pt>
                <c:pt idx="3068">
                  <c:v>2025-11-07</c:v>
                </c:pt>
                <c:pt idx="3069">
                  <c:v>2025-11-10</c:v>
                </c:pt>
                <c:pt idx="3070">
                  <c:v>2025-11-11</c:v>
                </c:pt>
                <c:pt idx="3071">
                  <c:v>2025-11-12</c:v>
                </c:pt>
                <c:pt idx="3072">
                  <c:v>2025-11-13</c:v>
                </c:pt>
                <c:pt idx="3073">
                  <c:v>2025-11-14</c:v>
                </c:pt>
                <c:pt idx="3074">
                  <c:v>2025-11-17</c:v>
                </c:pt>
                <c:pt idx="3075">
                  <c:v>2025-11-18</c:v>
                </c:pt>
                <c:pt idx="3076">
                  <c:v>2025-11-19</c:v>
                </c:pt>
                <c:pt idx="3077">
                  <c:v>2025-11-20</c:v>
                </c:pt>
                <c:pt idx="3078">
                  <c:v>2025-11-21</c:v>
                </c:pt>
                <c:pt idx="3079">
                  <c:v>2025-11-24</c:v>
                </c:pt>
                <c:pt idx="3080">
                  <c:v>2025-11-25</c:v>
                </c:pt>
                <c:pt idx="3081">
                  <c:v>2025-11-26</c:v>
                </c:pt>
                <c:pt idx="3082">
                  <c:v>2025-11-27</c:v>
                </c:pt>
                <c:pt idx="3083">
                  <c:v>2025-11-28</c:v>
                </c:pt>
                <c:pt idx="3084">
                  <c:v>2025-12-01</c:v>
                </c:pt>
                <c:pt idx="3085">
                  <c:v>2025-12-02</c:v>
                </c:pt>
                <c:pt idx="3086">
                  <c:v>2025-12-03</c:v>
                </c:pt>
                <c:pt idx="3087">
                  <c:v>2025-12-04</c:v>
                </c:pt>
                <c:pt idx="3088">
                  <c:v>2025-12-05</c:v>
                </c:pt>
                <c:pt idx="3089">
                  <c:v>2025-12-08</c:v>
                </c:pt>
                <c:pt idx="3090">
                  <c:v>2025-12-09</c:v>
                </c:pt>
                <c:pt idx="3091">
                  <c:v>2025-12-10</c:v>
                </c:pt>
                <c:pt idx="3092">
                  <c:v>2025-12-11</c:v>
                </c:pt>
                <c:pt idx="3093">
                  <c:v>2025-12-12</c:v>
                </c:pt>
                <c:pt idx="3094">
                  <c:v>2025-12-15</c:v>
                </c:pt>
                <c:pt idx="3095">
                  <c:v>2025-12-16</c:v>
                </c:pt>
                <c:pt idx="3096">
                  <c:v>2025-12-17</c:v>
                </c:pt>
                <c:pt idx="3097">
                  <c:v>2025-12-18</c:v>
                </c:pt>
                <c:pt idx="3098">
                  <c:v>2025-12-19</c:v>
                </c:pt>
                <c:pt idx="3099">
                  <c:v>2025-12-22</c:v>
                </c:pt>
                <c:pt idx="3100">
                  <c:v>2025-12-23</c:v>
                </c:pt>
                <c:pt idx="3101">
                  <c:v>2025-12-24</c:v>
                </c:pt>
                <c:pt idx="3102">
                  <c:v>2025-12-25</c:v>
                </c:pt>
                <c:pt idx="3103">
                  <c:v>2025-12-26</c:v>
                </c:pt>
                <c:pt idx="3104">
                  <c:v>2025-12-29</c:v>
                </c:pt>
                <c:pt idx="3105">
                  <c:v>2025-12-30</c:v>
                </c:pt>
                <c:pt idx="3106">
                  <c:v>2025-12-31</c:v>
                </c:pt>
                <c:pt idx="3107">
                  <c:v>2026-01-05</c:v>
                </c:pt>
                <c:pt idx="3108">
                  <c:v>2026-01-06</c:v>
                </c:pt>
                <c:pt idx="3109">
                  <c:v>2026-01-07</c:v>
                </c:pt>
                <c:pt idx="3110">
                  <c:v>2026-01-08</c:v>
                </c:pt>
                <c:pt idx="3111">
                  <c:v>2026-01-09</c:v>
                </c:pt>
                <c:pt idx="3112">
                  <c:v>2026-01-12</c:v>
                </c:pt>
                <c:pt idx="3113">
                  <c:v>2026-01-13</c:v>
                </c:pt>
                <c:pt idx="3114">
                  <c:v>2026-01-14</c:v>
                </c:pt>
                <c:pt idx="3115">
                  <c:v>2026-01-15</c:v>
                </c:pt>
                <c:pt idx="3116">
                  <c:v>2026-01-16</c:v>
                </c:pt>
                <c:pt idx="3117">
                  <c:v>2026-01-19</c:v>
                </c:pt>
                <c:pt idx="3118">
                  <c:v>2026-01-20</c:v>
                </c:pt>
                <c:pt idx="3119">
                  <c:v>2026-01-21</c:v>
                </c:pt>
                <c:pt idx="3120">
                  <c:v>2026-01-22</c:v>
                </c:pt>
                <c:pt idx="3121">
                  <c:v>2026-01-23</c:v>
                </c:pt>
                <c:pt idx="3122">
                  <c:v>2026-01-26</c:v>
                </c:pt>
                <c:pt idx="3123">
                  <c:v>2026-01-27</c:v>
                </c:pt>
                <c:pt idx="3124">
                  <c:v>2026-01-28</c:v>
                </c:pt>
                <c:pt idx="3125">
                  <c:v>2026-01-29</c:v>
                </c:pt>
                <c:pt idx="3126">
                  <c:v>2026-01-30</c:v>
                </c:pt>
                <c:pt idx="3127">
                  <c:v>2026-02-02</c:v>
                </c:pt>
                <c:pt idx="3128">
                  <c:v>2026-02-03</c:v>
                </c:pt>
                <c:pt idx="3129">
                  <c:v>2026-02-04</c:v>
                </c:pt>
                <c:pt idx="3130">
                  <c:v>2026-02-05</c:v>
                </c:pt>
                <c:pt idx="3131">
                  <c:v>2026-02-06</c:v>
                </c:pt>
                <c:pt idx="3132">
                  <c:v>2026-02-09</c:v>
                </c:pt>
                <c:pt idx="3133">
                  <c:v>2026-02-10</c:v>
                </c:pt>
                <c:pt idx="3134">
                  <c:v>2026-02-11</c:v>
                </c:pt>
                <c:pt idx="3135">
                  <c:v>2026-02-12</c:v>
                </c:pt>
                <c:pt idx="3136">
                  <c:v>2026-02-13</c:v>
                </c:pt>
                <c:pt idx="3137">
                  <c:v>2026-02-24</c:v>
                </c:pt>
                <c:pt idx="3138">
                  <c:v>2026-02-25</c:v>
                </c:pt>
                <c:pt idx="3139">
                  <c:v>2026-02-26</c:v>
                </c:pt>
                <c:pt idx="3140">
                  <c:v>2026-02-27</c:v>
                </c:pt>
                <c:pt idx="3141">
                  <c:v>2026-03-02</c:v>
                </c:pt>
                <c:pt idx="3142">
                  <c:v>2026-03-03</c:v>
                </c:pt>
                <c:pt idx="3143">
                  <c:v>2026-03-04</c:v>
                </c:pt>
                <c:pt idx="3144">
                  <c:v>2026-03-05</c:v>
                </c:pt>
                <c:pt idx="3145">
                  <c:v>2026-03-06</c:v>
                </c:pt>
                <c:pt idx="3146">
                  <c:v>2026-03-09</c:v>
                </c:pt>
                <c:pt idx="3147">
                  <c:v>2026-03-10</c:v>
                </c:pt>
                <c:pt idx="3148">
                  <c:v>2026-03-11</c:v>
                </c:pt>
                <c:pt idx="3149">
                  <c:v>2026-03-12</c:v>
                </c:pt>
                <c:pt idx="3150">
                  <c:v>2026-03-13</c:v>
                </c:pt>
                <c:pt idx="3151">
                  <c:v>2026-03-16</c:v>
                </c:pt>
                <c:pt idx="3152">
                  <c:v>2026-03-17</c:v>
                </c:pt>
                <c:pt idx="3153">
                  <c:v>2026-03-18</c:v>
                </c:pt>
                <c:pt idx="3154">
                  <c:v>2026-03-19</c:v>
                </c:pt>
                <c:pt idx="3155">
                  <c:v>2026-03-20</c:v>
                </c:pt>
                <c:pt idx="3156">
                  <c:v>2026-03-23</c:v>
                </c:pt>
                <c:pt idx="3157">
                  <c:v>2026-03-24</c:v>
                </c:pt>
                <c:pt idx="3158">
                  <c:v>2026-03-25</c:v>
                </c:pt>
                <c:pt idx="3159">
                  <c:v>2026-03-26</c:v>
                </c:pt>
                <c:pt idx="3160">
                  <c:v>2026-03-27</c:v>
                </c:pt>
                <c:pt idx="3161">
                  <c:v>2026-03-30</c:v>
                </c:pt>
                <c:pt idx="3162">
                  <c:v>2026-03-31</c:v>
                </c:pt>
                <c:pt idx="3163">
                  <c:v>2026-04-01</c:v>
                </c:pt>
                <c:pt idx="3164">
                  <c:v>2026-04-02</c:v>
                </c:pt>
                <c:pt idx="3165">
                  <c:v>2026-04-03</c:v>
                </c:pt>
                <c:pt idx="3166">
                  <c:v>2026-04-07</c:v>
                </c:pt>
                <c:pt idx="3167">
                  <c:v>2026-04-08</c:v>
                </c:pt>
                <c:pt idx="3168">
                  <c:v>2026-04-09</c:v>
                </c:pt>
                <c:pt idx="3169">
                  <c:v>2026-04-10</c:v>
                </c:pt>
                <c:pt idx="3170">
                  <c:v>2026-04-13</c:v>
                </c:pt>
                <c:pt idx="3171">
                  <c:v>2026-04-14</c:v>
                </c:pt>
                <c:pt idx="3172">
                  <c:v>2026-04-15</c:v>
                </c:pt>
                <c:pt idx="3173">
                  <c:v>2026-04-16</c:v>
                </c:pt>
                <c:pt idx="3174">
                  <c:v>2026-04-17</c:v>
                </c:pt>
                <c:pt idx="3175">
                  <c:v>2026-04-20</c:v>
                </c:pt>
                <c:pt idx="3176">
                  <c:v>2026-04-21</c:v>
                </c:pt>
                <c:pt idx="3177">
                  <c:v>2026-04-22</c:v>
                </c:pt>
                <c:pt idx="3178">
                  <c:v>2026-04-23</c:v>
                </c:pt>
                <c:pt idx="3179">
                  <c:v>2026-04-24</c:v>
                </c:pt>
                <c:pt idx="3180">
                  <c:v>2026-04-27</c:v>
                </c:pt>
                <c:pt idx="3181">
                  <c:v>2026-04-28</c:v>
                </c:pt>
                <c:pt idx="3182">
                  <c:v>2026-04-29</c:v>
                </c:pt>
                <c:pt idx="3183">
                  <c:v>2026-04-30</c:v>
                </c:pt>
                <c:pt idx="3184">
                  <c:v>2026-05-06</c:v>
                </c:pt>
                <c:pt idx="3185">
                  <c:v>2026-05-07</c:v>
                </c:pt>
                <c:pt idx="3186">
                  <c:v>2026-05-08</c:v>
                </c:pt>
                <c:pt idx="3187">
                  <c:v>2026-05-11</c:v>
                </c:pt>
                <c:pt idx="3188">
                  <c:v>2026-05-12</c:v>
                </c:pt>
                <c:pt idx="3189">
                  <c:v>2026-05-13</c:v>
                </c:pt>
                <c:pt idx="3190">
                  <c:v>2026-05-14</c:v>
                </c:pt>
                <c:pt idx="3191">
                  <c:v>2026-05-15</c:v>
                </c:pt>
                <c:pt idx="3192">
                  <c:v>2026-05-18</c:v>
                </c:pt>
                <c:pt idx="3193">
                  <c:v>2026-05-19</c:v>
                </c:pt>
                <c:pt idx="3194">
                  <c:v>2026-05-20</c:v>
                </c:pt>
                <c:pt idx="3195">
                  <c:v>2026-05-21</c:v>
                </c:pt>
                <c:pt idx="3196">
                  <c:v>2026-05-22</c:v>
                </c:pt>
                <c:pt idx="3197">
                  <c:v>2026-05-25</c:v>
                </c:pt>
                <c:pt idx="3198">
                  <c:v>2026-05-26</c:v>
                </c:pt>
                <c:pt idx="3199">
                  <c:v>2026-05-27</c:v>
                </c:pt>
                <c:pt idx="3200">
                  <c:v>2026-05-28</c:v>
                </c:pt>
                <c:pt idx="3201">
                  <c:v>2026-05-29</c:v>
                </c:pt>
                <c:pt idx="3202">
                  <c:v>2026-06-01</c:v>
                </c:pt>
                <c:pt idx="3203">
                  <c:v>2026-06-02</c:v>
                </c:pt>
                <c:pt idx="3204">
                  <c:v>2026-06-03</c:v>
                </c:pt>
                <c:pt idx="3205">
                  <c:v>2026-06-04</c:v>
                </c:pt>
                <c:pt idx="3206">
                  <c:v>2026-06-05</c:v>
                </c:pt>
                <c:pt idx="3207">
                  <c:v>2026-06-08</c:v>
                </c:pt>
                <c:pt idx="3208">
                  <c:v>2026-06-09</c:v>
                </c:pt>
                <c:pt idx="3209">
                  <c:v>2026-06-10</c:v>
                </c:pt>
                <c:pt idx="3210">
                  <c:v>2026-06-11</c:v>
                </c:pt>
                <c:pt idx="3211">
                  <c:v>2026-06-12</c:v>
                </c:pt>
                <c:pt idx="3212">
                  <c:v>2026-06-15</c:v>
                </c:pt>
                <c:pt idx="3213">
                  <c:v>2026-06-16</c:v>
                </c:pt>
                <c:pt idx="3214">
                  <c:v>2026-06-17</c:v>
                </c:pt>
                <c:pt idx="3215">
                  <c:v>2026-06-18</c:v>
                </c:pt>
                <c:pt idx="3216">
                  <c:v>2026-06-22</c:v>
                </c:pt>
                <c:pt idx="3217">
                  <c:v>2026-06-23</c:v>
                </c:pt>
                <c:pt idx="3218">
                  <c:v>2026-06-24</c:v>
                </c:pt>
                <c:pt idx="3219">
                  <c:v>2026-06-25</c:v>
                </c:pt>
                <c:pt idx="3220">
                  <c:v>2026-06-26</c:v>
                </c:pt>
                <c:pt idx="3221">
                  <c:v>2026-06-29</c:v>
                </c:pt>
                <c:pt idx="3222">
                  <c:v>2026-06-30</c:v>
                </c:pt>
                <c:pt idx="3223">
                  <c:v>2026-07-01</c:v>
                </c:pt>
                <c:pt idx="3224">
                  <c:v>2026-07-02</c:v>
                </c:pt>
                <c:pt idx="3225">
                  <c:v>2026-07-03</c:v>
                </c:pt>
                <c:pt idx="3226">
                  <c:v>2026-07-06</c:v>
                </c:pt>
                <c:pt idx="3227">
                  <c:v>2026-07-07</c:v>
                </c:pt>
                <c:pt idx="3228">
                  <c:v>2026-07-08</c:v>
                </c:pt>
                <c:pt idx="3229">
                  <c:v>2026-07-09</c:v>
                </c:pt>
                <c:pt idx="3230">
                  <c:v>2026-07-10</c:v>
                </c:pt>
                <c:pt idx="3231">
                  <c:v>2026-07-13</c:v>
                </c:pt>
                <c:pt idx="3232">
                  <c:v>2026-07-14</c:v>
                </c:pt>
                <c:pt idx="3233">
                  <c:v>2026-07-15</c:v>
                </c:pt>
                <c:pt idx="3234">
                  <c:v>2026-07-16</c:v>
                </c:pt>
                <c:pt idx="3235">
                  <c:v>2026-07-17</c:v>
                </c:pt>
                <c:pt idx="3236">
                  <c:v>2026-07-20</c:v>
                </c:pt>
                <c:pt idx="3237">
                  <c:v>2026-07-21</c:v>
                </c:pt>
                <c:pt idx="3238">
                  <c:v>2026-07-22</c:v>
                </c:pt>
                <c:pt idx="3239">
                  <c:v>2026-07-23</c:v>
                </c:pt>
                <c:pt idx="3240">
                  <c:v>2026-07-24</c:v>
                </c:pt>
                <c:pt idx="3241">
                  <c:v>2026-07-27</c:v>
                </c:pt>
                <c:pt idx="3242">
                  <c:v>2026-07-28</c:v>
                </c:pt>
                <c:pt idx="3243">
                  <c:v>2026-07-29</c:v>
                </c:pt>
                <c:pt idx="3244">
                  <c:v>2026-07-30</c:v>
                </c:pt>
                <c:pt idx="3245">
                  <c:v>2026-07-31</c:v>
                </c:pt>
                <c:pt idx="3246">
                  <c:v>2026-08-03</c:v>
                </c:pt>
                <c:pt idx="3247">
                  <c:v>2026-08-04</c:v>
                </c:pt>
                <c:pt idx="3248">
                  <c:v>2026-08-05</c:v>
                </c:pt>
                <c:pt idx="3249">
                  <c:v>2026-08-06</c:v>
                </c:pt>
                <c:pt idx="3250">
                  <c:v>2026-08-07</c:v>
                </c:pt>
                <c:pt idx="3251">
                  <c:v>2026-08-10</c:v>
                </c:pt>
                <c:pt idx="3252">
                  <c:v>2026-08-11</c:v>
                </c:pt>
                <c:pt idx="3253">
                  <c:v>2026-08-12</c:v>
                </c:pt>
                <c:pt idx="3254">
                  <c:v>2026-08-13</c:v>
                </c:pt>
                <c:pt idx="3255">
                  <c:v>2026-08-14</c:v>
                </c:pt>
                <c:pt idx="3256">
                  <c:v>2026-08-17</c:v>
                </c:pt>
                <c:pt idx="3257">
                  <c:v>2026-08-18</c:v>
                </c:pt>
                <c:pt idx="3258">
                  <c:v>2026-08-19</c:v>
                </c:pt>
                <c:pt idx="3259">
                  <c:v>2026-08-20</c:v>
                </c:pt>
                <c:pt idx="3260">
                  <c:v>2026-08-21</c:v>
                </c:pt>
                <c:pt idx="3261">
                  <c:v>2026-08-24</c:v>
                </c:pt>
                <c:pt idx="3262">
                  <c:v>2026-08-25</c:v>
                </c:pt>
                <c:pt idx="3263">
                  <c:v>2026-08-26</c:v>
                </c:pt>
                <c:pt idx="3264">
                  <c:v>2026-08-27</c:v>
                </c:pt>
                <c:pt idx="3265">
                  <c:v>2026-08-28</c:v>
                </c:pt>
                <c:pt idx="3266">
                  <c:v>2026-08-31</c:v>
                </c:pt>
                <c:pt idx="3267">
                  <c:v>2026-09-01</c:v>
                </c:pt>
                <c:pt idx="3268">
                  <c:v>2026-09-02</c:v>
                </c:pt>
                <c:pt idx="3269">
                  <c:v>2026-09-03</c:v>
                </c:pt>
                <c:pt idx="3270">
                  <c:v>2026-09-04</c:v>
                </c:pt>
                <c:pt idx="3271">
                  <c:v>2026-09-07</c:v>
                </c:pt>
                <c:pt idx="3272">
                  <c:v>2026-09-08</c:v>
                </c:pt>
                <c:pt idx="3273">
                  <c:v>2026-09-09</c:v>
                </c:pt>
                <c:pt idx="3274">
                  <c:v>2026-09-10</c:v>
                </c:pt>
                <c:pt idx="3275">
                  <c:v>2026-09-11</c:v>
                </c:pt>
                <c:pt idx="3276">
                  <c:v>2026-09-14</c:v>
                </c:pt>
                <c:pt idx="3277">
                  <c:v>2026-09-15</c:v>
                </c:pt>
                <c:pt idx="3278">
                  <c:v>2026-09-16</c:v>
                </c:pt>
                <c:pt idx="3279">
                  <c:v>2026-09-17</c:v>
                </c:pt>
                <c:pt idx="3280">
                  <c:v>2026-09-18</c:v>
                </c:pt>
                <c:pt idx="3281">
                  <c:v>2026-09-21</c:v>
                </c:pt>
                <c:pt idx="3282">
                  <c:v>2026-09-22</c:v>
                </c:pt>
                <c:pt idx="3283">
                  <c:v>2026-09-23</c:v>
                </c:pt>
                <c:pt idx="3284">
                  <c:v>2026-09-24</c:v>
                </c:pt>
                <c:pt idx="3285">
                  <c:v>2026-09-28</c:v>
                </c:pt>
                <c:pt idx="3286">
                  <c:v>2026-09-29</c:v>
                </c:pt>
                <c:pt idx="3287">
                  <c:v>2026-09-30</c:v>
                </c:pt>
                <c:pt idx="3288">
                  <c:v>2026-10-08</c:v>
                </c:pt>
                <c:pt idx="3289">
                  <c:v>2026-10-09</c:v>
                </c:pt>
                <c:pt idx="3290">
                  <c:v>2026-10-12</c:v>
                </c:pt>
                <c:pt idx="3291">
                  <c:v>2026-10-13</c:v>
                </c:pt>
                <c:pt idx="3292">
                  <c:v>2026-10-14</c:v>
                </c:pt>
                <c:pt idx="3293">
                  <c:v>2026-10-15</c:v>
                </c:pt>
                <c:pt idx="3294">
                  <c:v>2026-10-16</c:v>
                </c:pt>
                <c:pt idx="3295">
                  <c:v>2026-10-19</c:v>
                </c:pt>
                <c:pt idx="3296">
                  <c:v>2026-10-20</c:v>
                </c:pt>
                <c:pt idx="3297">
                  <c:v>2026-10-21</c:v>
                </c:pt>
                <c:pt idx="3298">
                  <c:v>2026-10-22</c:v>
                </c:pt>
                <c:pt idx="3299">
                  <c:v>2026-10-23</c:v>
                </c:pt>
                <c:pt idx="3300">
                  <c:v>2026-10-26</c:v>
                </c:pt>
                <c:pt idx="3301">
                  <c:v>2026-10-27</c:v>
                </c:pt>
                <c:pt idx="3302">
                  <c:v>2026-10-28</c:v>
                </c:pt>
                <c:pt idx="3303">
                  <c:v>2026-10-29</c:v>
                </c:pt>
              </c:strCache>
            </c:strRef>
          </c:cat>
          <c:val>
            <c:numRef>
              <c:f>资金曲线!$E$2:$E$3305</c:f>
              <c:numCache>
                <c:formatCode>0.0%</c:formatCode>
                <c:ptCount val="33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-0.06376864</c:v>
                </c:pt>
                <c:pt idx="73">
                  <c:v>-0.10600864</c:v>
                </c:pt>
                <c:pt idx="74">
                  <c:v>-0.0906486400000001</c:v>
                </c:pt>
                <c:pt idx="75">
                  <c:v>-0.02152864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-0.0221557345041408</c:v>
                </c:pt>
                <c:pt idx="81">
                  <c:v>-0.0295409793388545</c:v>
                </c:pt>
                <c:pt idx="82">
                  <c:v>-0.0480040914256384</c:v>
                </c:pt>
                <c:pt idx="83">
                  <c:v>-0.0997008052686337</c:v>
                </c:pt>
                <c:pt idx="84">
                  <c:v>-0.0960081828512769</c:v>
                </c:pt>
                <c:pt idx="85">
                  <c:v>-0.0775450707644929</c:v>
                </c:pt>
                <c:pt idx="86">
                  <c:v>-0.0332336017562113</c:v>
                </c:pt>
                <c:pt idx="87">
                  <c:v>0</c:v>
                </c:pt>
                <c:pt idx="88">
                  <c:v>0</c:v>
                </c:pt>
                <c:pt idx="89">
                  <c:v>-0.00725136212305377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-0.0217503454566587</c:v>
                </c:pt>
                <c:pt idx="96">
                  <c:v>-0.00271879318208235</c:v>
                </c:pt>
                <c:pt idx="97">
                  <c:v>-0.0516570704595644</c:v>
                </c:pt>
                <c:pt idx="98">
                  <c:v>-0.0271879318208234</c:v>
                </c:pt>
                <c:pt idx="99">
                  <c:v>0</c:v>
                </c:pt>
                <c:pt idx="100">
                  <c:v>0</c:v>
                </c:pt>
                <c:pt idx="101">
                  <c:v>-0.00806863178193717</c:v>
                </c:pt>
                <c:pt idx="102">
                  <c:v>0</c:v>
                </c:pt>
                <c:pt idx="103">
                  <c:v>0</c:v>
                </c:pt>
                <c:pt idx="104">
                  <c:v>-0.0327612504969315</c:v>
                </c:pt>
                <c:pt idx="105">
                  <c:v>-0.138605290563941</c:v>
                </c:pt>
                <c:pt idx="106">
                  <c:v>-0.151205771524299</c:v>
                </c:pt>
                <c:pt idx="107">
                  <c:v>-0.153725867716371</c:v>
                </c:pt>
                <c:pt idx="108">
                  <c:v>-0.0705626933780063</c:v>
                </c:pt>
                <c:pt idx="109">
                  <c:v>-0.0856832705304361</c:v>
                </c:pt>
                <c:pt idx="110">
                  <c:v>-0.0982837514907944</c:v>
                </c:pt>
                <c:pt idx="111">
                  <c:v>-0.0730827895700779</c:v>
                </c:pt>
                <c:pt idx="112">
                  <c:v>-0.0932435591066511</c:v>
                </c:pt>
                <c:pt idx="113">
                  <c:v>-0.0655225009938629</c:v>
                </c:pt>
                <c:pt idx="114">
                  <c:v>-0.0907234629145794</c:v>
                </c:pt>
                <c:pt idx="115">
                  <c:v>-0.0882033667225078</c:v>
                </c:pt>
                <c:pt idx="116">
                  <c:v>-0.118444521027368</c:v>
                </c:pt>
                <c:pt idx="117">
                  <c:v>-0.148685675332227</c:v>
                </c:pt>
                <c:pt idx="118">
                  <c:v>-0.140153929050472</c:v>
                </c:pt>
                <c:pt idx="119">
                  <c:v>-0.140153929050472</c:v>
                </c:pt>
                <c:pt idx="120">
                  <c:v>-0.140153929050472</c:v>
                </c:pt>
                <c:pt idx="121">
                  <c:v>-0.140153929050472</c:v>
                </c:pt>
                <c:pt idx="122">
                  <c:v>-0.140153929050472</c:v>
                </c:pt>
                <c:pt idx="123">
                  <c:v>-0.140153929050472</c:v>
                </c:pt>
                <c:pt idx="124">
                  <c:v>-0.140153929050472</c:v>
                </c:pt>
                <c:pt idx="125">
                  <c:v>-0.140153929050472</c:v>
                </c:pt>
                <c:pt idx="126">
                  <c:v>-0.140153929050472</c:v>
                </c:pt>
                <c:pt idx="127">
                  <c:v>-0.138971820179376</c:v>
                </c:pt>
                <c:pt idx="128">
                  <c:v>-0.105186780604416</c:v>
                </c:pt>
                <c:pt idx="129">
                  <c:v>-0.117472249540765</c:v>
                </c:pt>
                <c:pt idx="130">
                  <c:v>-0.102115413370328</c:v>
                </c:pt>
                <c:pt idx="131">
                  <c:v>-0.178899594222511</c:v>
                </c:pt>
                <c:pt idx="132">
                  <c:v>-0.1574000235839</c:v>
                </c:pt>
                <c:pt idx="133">
                  <c:v>-0.129757718477114</c:v>
                </c:pt>
                <c:pt idx="134">
                  <c:v>-0.126686351243027</c:v>
                </c:pt>
                <c:pt idx="135">
                  <c:v>-0.129757718477114</c:v>
                </c:pt>
                <c:pt idx="136">
                  <c:v>-0.185042328690686</c:v>
                </c:pt>
                <c:pt idx="137">
                  <c:v>-0.142043187413464</c:v>
                </c:pt>
                <c:pt idx="138">
                  <c:v>-0.11132951507259</c:v>
                </c:pt>
                <c:pt idx="139">
                  <c:v>-0.0529735376249312</c:v>
                </c:pt>
                <c:pt idx="140">
                  <c:v>-0.0284025997522326</c:v>
                </c:pt>
                <c:pt idx="141">
                  <c:v>-0.0437594359226692</c:v>
                </c:pt>
                <c:pt idx="142">
                  <c:v>-0.0161171308158833</c:v>
                </c:pt>
                <c:pt idx="143">
                  <c:v>-0.0253312325181452</c:v>
                </c:pt>
                <c:pt idx="144">
                  <c:v>0</c:v>
                </c:pt>
                <c:pt idx="145">
                  <c:v>-0.0303637251167813</c:v>
                </c:pt>
                <c:pt idx="146">
                  <c:v>0</c:v>
                </c:pt>
                <c:pt idx="147">
                  <c:v>0</c:v>
                </c:pt>
                <c:pt idx="148">
                  <c:v>-0.00603608939154321</c:v>
                </c:pt>
                <c:pt idx="149">
                  <c:v>-0.0301804469577162</c:v>
                </c:pt>
                <c:pt idx="150">
                  <c:v>0</c:v>
                </c:pt>
                <c:pt idx="151">
                  <c:v>-0.00599987361804677</c:v>
                </c:pt>
                <c:pt idx="152">
                  <c:v>-0.0269994312812103</c:v>
                </c:pt>
                <c:pt idx="153">
                  <c:v>-0.0299993680902337</c:v>
                </c:pt>
                <c:pt idx="154">
                  <c:v>-0.0359992417082804</c:v>
                </c:pt>
                <c:pt idx="155">
                  <c:v>-0.0209995576631635</c:v>
                </c:pt>
                <c:pt idx="156">
                  <c:v>-0.023999494472187</c:v>
                </c:pt>
                <c:pt idx="157">
                  <c:v>-0.0479989889443739</c:v>
                </c:pt>
                <c:pt idx="158">
                  <c:v>-0.0839982306526543</c:v>
                </c:pt>
                <c:pt idx="159">
                  <c:v>-0.0419991153263272</c:v>
                </c:pt>
                <c:pt idx="160">
                  <c:v>-0.0419991153263272</c:v>
                </c:pt>
                <c:pt idx="161">
                  <c:v>-0.0269994312812103</c:v>
                </c:pt>
                <c:pt idx="162">
                  <c:v>-0.0299993680902337</c:v>
                </c:pt>
                <c:pt idx="163">
                  <c:v>-0.00599987361804677</c:v>
                </c:pt>
                <c:pt idx="164">
                  <c:v>-0.0209995576631635</c:v>
                </c:pt>
                <c:pt idx="165">
                  <c:v>-0.0209995576631635</c:v>
                </c:pt>
                <c:pt idx="166">
                  <c:v>-0.0359992417082804</c:v>
                </c:pt>
                <c:pt idx="167">
                  <c:v>-0.0269994312812103</c:v>
                </c:pt>
                <c:pt idx="168">
                  <c:v>-0.0599987361804674</c:v>
                </c:pt>
                <c:pt idx="169">
                  <c:v>-0.060490456592049</c:v>
                </c:pt>
                <c:pt idx="170">
                  <c:v>-0.0951051120807802</c:v>
                </c:pt>
                <c:pt idx="171">
                  <c:v>-0.0985665776296533</c:v>
                </c:pt>
                <c:pt idx="172">
                  <c:v>-0.088182180983034</c:v>
                </c:pt>
                <c:pt idx="173">
                  <c:v>-0.119335370922892</c:v>
                </c:pt>
                <c:pt idx="174">
                  <c:v>-0.129719767569511</c:v>
                </c:pt>
                <c:pt idx="175">
                  <c:v>-0.157047358604998</c:v>
                </c:pt>
                <c:pt idx="176">
                  <c:v>-0.157047358604998</c:v>
                </c:pt>
                <c:pt idx="177">
                  <c:v>-0.157047358604998</c:v>
                </c:pt>
                <c:pt idx="178">
                  <c:v>-0.157047358604998</c:v>
                </c:pt>
                <c:pt idx="179">
                  <c:v>-0.157047358604998</c:v>
                </c:pt>
                <c:pt idx="180">
                  <c:v>-0.157047358604998</c:v>
                </c:pt>
                <c:pt idx="181">
                  <c:v>-0.157047358604998</c:v>
                </c:pt>
                <c:pt idx="182">
                  <c:v>-0.157047358604998</c:v>
                </c:pt>
                <c:pt idx="183">
                  <c:v>-0.157047358604998</c:v>
                </c:pt>
                <c:pt idx="184">
                  <c:v>-0.157047358604998</c:v>
                </c:pt>
                <c:pt idx="185">
                  <c:v>-0.157047358604998</c:v>
                </c:pt>
                <c:pt idx="186">
                  <c:v>-0.157047358604998</c:v>
                </c:pt>
                <c:pt idx="187">
                  <c:v>-0.157047358604998</c:v>
                </c:pt>
                <c:pt idx="188">
                  <c:v>-0.157047358604998</c:v>
                </c:pt>
                <c:pt idx="189">
                  <c:v>-0.157047358604998</c:v>
                </c:pt>
                <c:pt idx="190">
                  <c:v>-0.157047358604998</c:v>
                </c:pt>
                <c:pt idx="191">
                  <c:v>-0.157047358604998</c:v>
                </c:pt>
                <c:pt idx="192">
                  <c:v>-0.157047358604998</c:v>
                </c:pt>
                <c:pt idx="193">
                  <c:v>-0.157047358604998</c:v>
                </c:pt>
                <c:pt idx="194">
                  <c:v>-0.157047358604998</c:v>
                </c:pt>
                <c:pt idx="195">
                  <c:v>-0.152091193771393</c:v>
                </c:pt>
                <c:pt idx="196">
                  <c:v>-0.176859902809996</c:v>
                </c:pt>
                <c:pt idx="197">
                  <c:v>-0.162706354787937</c:v>
                </c:pt>
                <c:pt idx="198">
                  <c:v>-0.106092162699701</c:v>
                </c:pt>
                <c:pt idx="199">
                  <c:v>-0.0884002276721274</c:v>
                </c:pt>
                <c:pt idx="200">
                  <c:v>0</c:v>
                </c:pt>
                <c:pt idx="201">
                  <c:v>0</c:v>
                </c:pt>
                <c:pt idx="202">
                  <c:v>-0.0102168892582982</c:v>
                </c:pt>
                <c:pt idx="203">
                  <c:v>-0.0544900760442574</c:v>
                </c:pt>
                <c:pt idx="204">
                  <c:v>-0.0851407438191522</c:v>
                </c:pt>
                <c:pt idx="205">
                  <c:v>-0.0544900760442574</c:v>
                </c:pt>
                <c:pt idx="206">
                  <c:v>0</c:v>
                </c:pt>
                <c:pt idx="207">
                  <c:v>-0.0395215977417321</c:v>
                </c:pt>
                <c:pt idx="208">
                  <c:v>-0.0395215977417321</c:v>
                </c:pt>
                <c:pt idx="209">
                  <c:v>0</c:v>
                </c:pt>
                <c:pt idx="210">
                  <c:v>-0.0550818785315443</c:v>
                </c:pt>
                <c:pt idx="211">
                  <c:v>-0.0194406630111333</c:v>
                </c:pt>
                <c:pt idx="212">
                  <c:v>-0.0453615470259777</c:v>
                </c:pt>
                <c:pt idx="213">
                  <c:v>-0.0259208840148444</c:v>
                </c:pt>
                <c:pt idx="214">
                  <c:v>-0.0421214365241222</c:v>
                </c:pt>
                <c:pt idx="215">
                  <c:v>-0.1166439780668</c:v>
                </c:pt>
                <c:pt idx="216">
                  <c:v>-0.0874829835500999</c:v>
                </c:pt>
                <c:pt idx="217">
                  <c:v>-0.103683536059378</c:v>
                </c:pt>
                <c:pt idx="218">
                  <c:v>-0.0712824310408221</c:v>
                </c:pt>
                <c:pt idx="219">
                  <c:v>-0.0680423205389665</c:v>
                </c:pt>
                <c:pt idx="220">
                  <c:v>0</c:v>
                </c:pt>
                <c:pt idx="221">
                  <c:v>-0.0190095125621196</c:v>
                </c:pt>
                <c:pt idx="222">
                  <c:v>-0.0475237814052989</c:v>
                </c:pt>
                <c:pt idx="223">
                  <c:v>-0.0411872772179257</c:v>
                </c:pt>
                <c:pt idx="224">
                  <c:v>-0.0285142688431793</c:v>
                </c:pt>
                <c:pt idx="225">
                  <c:v>0</c:v>
                </c:pt>
                <c:pt idx="226">
                  <c:v>0</c:v>
                </c:pt>
                <c:pt idx="227">
                  <c:v>-0.00302451567203199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-0.0371626146251226</c:v>
                </c:pt>
                <c:pt idx="233">
                  <c:v>-0.0322075993417729</c:v>
                </c:pt>
                <c:pt idx="234">
                  <c:v>-0.00991003056669937</c:v>
                </c:pt>
                <c:pt idx="235">
                  <c:v>-0.0074325229250245</c:v>
                </c:pt>
                <c:pt idx="236">
                  <c:v>-0.0297300917000981</c:v>
                </c:pt>
                <c:pt idx="237">
                  <c:v>-0.0222975687750735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-0.0667231974316404</c:v>
                </c:pt>
                <c:pt idx="242">
                  <c:v>-0.0667231974316404</c:v>
                </c:pt>
                <c:pt idx="243">
                  <c:v>-0.0552191978744611</c:v>
                </c:pt>
                <c:pt idx="244">
                  <c:v>-0.103535996014614</c:v>
                </c:pt>
                <c:pt idx="245">
                  <c:v>-0.0897311965459992</c:v>
                </c:pt>
                <c:pt idx="246">
                  <c:v>-0.0874303966345633</c:v>
                </c:pt>
                <c:pt idx="247">
                  <c:v>-0.0736255971659481</c:v>
                </c:pt>
                <c:pt idx="248">
                  <c:v>-0.138047994686153</c:v>
                </c:pt>
                <c:pt idx="249">
                  <c:v>-0.116385313293922</c:v>
                </c:pt>
                <c:pt idx="250">
                  <c:v>-0.116385313293922</c:v>
                </c:pt>
                <c:pt idx="251">
                  <c:v>-0.116385313293922</c:v>
                </c:pt>
                <c:pt idx="252">
                  <c:v>-0.116385313293922</c:v>
                </c:pt>
                <c:pt idx="253">
                  <c:v>-0.116385313293922</c:v>
                </c:pt>
                <c:pt idx="254">
                  <c:v>-0.116385313293922</c:v>
                </c:pt>
                <c:pt idx="255">
                  <c:v>-0.116385313293922</c:v>
                </c:pt>
                <c:pt idx="256">
                  <c:v>-0.116385313293922</c:v>
                </c:pt>
                <c:pt idx="257">
                  <c:v>-0.116385313293922</c:v>
                </c:pt>
                <c:pt idx="258">
                  <c:v>-0.116385313293922</c:v>
                </c:pt>
                <c:pt idx="259">
                  <c:v>-0.116385313293922</c:v>
                </c:pt>
                <c:pt idx="260">
                  <c:v>-0.116385313293922</c:v>
                </c:pt>
                <c:pt idx="261">
                  <c:v>-0.116385313293922</c:v>
                </c:pt>
                <c:pt idx="262">
                  <c:v>-0.116385313293922</c:v>
                </c:pt>
                <c:pt idx="263">
                  <c:v>-0.116385313293922</c:v>
                </c:pt>
                <c:pt idx="264">
                  <c:v>-0.116385313293922</c:v>
                </c:pt>
                <c:pt idx="265">
                  <c:v>-0.116385313293922</c:v>
                </c:pt>
                <c:pt idx="266">
                  <c:v>-0.116385313293922</c:v>
                </c:pt>
                <c:pt idx="267">
                  <c:v>-0.116385313293922</c:v>
                </c:pt>
                <c:pt idx="268">
                  <c:v>-0.116385313293922</c:v>
                </c:pt>
                <c:pt idx="269">
                  <c:v>-0.116385313293922</c:v>
                </c:pt>
                <c:pt idx="270">
                  <c:v>-0.116385313293922</c:v>
                </c:pt>
                <c:pt idx="271">
                  <c:v>-0.116385313293922</c:v>
                </c:pt>
                <c:pt idx="272">
                  <c:v>-0.116385313293922</c:v>
                </c:pt>
                <c:pt idx="273">
                  <c:v>-0.116385313293922</c:v>
                </c:pt>
                <c:pt idx="274">
                  <c:v>-0.116385313293922</c:v>
                </c:pt>
                <c:pt idx="275">
                  <c:v>-0.116385313293922</c:v>
                </c:pt>
                <c:pt idx="276">
                  <c:v>-0.116385313293922</c:v>
                </c:pt>
                <c:pt idx="277">
                  <c:v>-0.118976630875334</c:v>
                </c:pt>
                <c:pt idx="278">
                  <c:v>-0.1145250832206</c:v>
                </c:pt>
                <c:pt idx="279">
                  <c:v>-0.0744611543279881</c:v>
                </c:pt>
                <c:pt idx="280">
                  <c:v>-0.136782821494273</c:v>
                </c:pt>
                <c:pt idx="281">
                  <c:v>-0.123428178530069</c:v>
                </c:pt>
                <c:pt idx="282">
                  <c:v>-0.256974608172108</c:v>
                </c:pt>
                <c:pt idx="283">
                  <c:v>-0.239168417553169</c:v>
                </c:pt>
                <c:pt idx="284">
                  <c:v>-0.163492107422681</c:v>
                </c:pt>
                <c:pt idx="285">
                  <c:v>-0.136782821494273</c:v>
                </c:pt>
                <c:pt idx="286">
                  <c:v>-0.145685916803742</c:v>
                </c:pt>
                <c:pt idx="287">
                  <c:v>-0.110073535565865</c:v>
                </c:pt>
                <c:pt idx="288">
                  <c:v>-0.159040559767946</c:v>
                </c:pt>
                <c:pt idx="289">
                  <c:v>-0.225813774588965</c:v>
                </c:pt>
                <c:pt idx="290">
                  <c:v>-0.212459131624762</c:v>
                </c:pt>
                <c:pt idx="291">
                  <c:v>-0.181298298041619</c:v>
                </c:pt>
                <c:pt idx="292">
                  <c:v>-0.185749845696354</c:v>
                </c:pt>
                <c:pt idx="293">
                  <c:v>-0.163492107422681</c:v>
                </c:pt>
                <c:pt idx="294">
                  <c:v>-0.101170440256396</c:v>
                </c:pt>
                <c:pt idx="295">
                  <c:v>-0.1145250832206</c:v>
                </c:pt>
                <c:pt idx="296">
                  <c:v>-0.0522034160543149</c:v>
                </c:pt>
                <c:pt idx="297">
                  <c:v>-0.0967188926016612</c:v>
                </c:pt>
                <c:pt idx="298">
                  <c:v>-0.0833642496374574</c:v>
                </c:pt>
                <c:pt idx="299">
                  <c:v>-0.0477518683995803</c:v>
                </c:pt>
                <c:pt idx="300">
                  <c:v>-0.0967188926016612</c:v>
                </c:pt>
                <c:pt idx="301">
                  <c:v>-0.101170440256396</c:v>
                </c:pt>
                <c:pt idx="302">
                  <c:v>-0.0833642496374574</c:v>
                </c:pt>
                <c:pt idx="303">
                  <c:v>-0.1145250832206</c:v>
                </c:pt>
                <c:pt idx="304">
                  <c:v>-0.154589012113211</c:v>
                </c:pt>
                <c:pt idx="305">
                  <c:v>-0.1145250832206</c:v>
                </c:pt>
                <c:pt idx="306">
                  <c:v>-0.0833642496374574</c:v>
                </c:pt>
                <c:pt idx="307">
                  <c:v>-0.0789127019827227</c:v>
                </c:pt>
                <c:pt idx="308">
                  <c:v>-0.1145250832206</c:v>
                </c:pt>
                <c:pt idx="309">
                  <c:v>-0.0700096066732534</c:v>
                </c:pt>
                <c:pt idx="310">
                  <c:v>-0.0121394871617033</c:v>
                </c:pt>
                <c:pt idx="311">
                  <c:v>0</c:v>
                </c:pt>
                <c:pt idx="312">
                  <c:v>-0.0400153040636898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-0.0292992521840092</c:v>
                </c:pt>
                <c:pt idx="318">
                  <c:v>-0.00418560745485841</c:v>
                </c:pt>
                <c:pt idx="319">
                  <c:v>0</c:v>
                </c:pt>
                <c:pt idx="320">
                  <c:v>0</c:v>
                </c:pt>
                <c:pt idx="321">
                  <c:v>-0.0244984006000487</c:v>
                </c:pt>
                <c:pt idx="322">
                  <c:v>-0.00816613353334961</c:v>
                </c:pt>
                <c:pt idx="323">
                  <c:v>0</c:v>
                </c:pt>
                <c:pt idx="324">
                  <c:v>0</c:v>
                </c:pt>
                <c:pt idx="325">
                  <c:v>-0.0158784380089129</c:v>
                </c:pt>
                <c:pt idx="326">
                  <c:v>-0.055574533031195</c:v>
                </c:pt>
                <c:pt idx="327">
                  <c:v>-0.0754225805423361</c:v>
                </c:pt>
                <c:pt idx="328">
                  <c:v>-0.0595441425334232</c:v>
                </c:pt>
                <c:pt idx="329">
                  <c:v>-0.0238176570133692</c:v>
                </c:pt>
                <c:pt idx="330">
                  <c:v>-0.0158784380089129</c:v>
                </c:pt>
                <c:pt idx="331">
                  <c:v>-0.091301018551249</c:v>
                </c:pt>
                <c:pt idx="332">
                  <c:v>-0.115118675564618</c:v>
                </c:pt>
                <c:pt idx="333">
                  <c:v>-0.113449923093648</c:v>
                </c:pt>
                <c:pt idx="334">
                  <c:v>-0.113449923093648</c:v>
                </c:pt>
                <c:pt idx="335">
                  <c:v>-0.113449923093648</c:v>
                </c:pt>
                <c:pt idx="336">
                  <c:v>-0.113449923093648</c:v>
                </c:pt>
                <c:pt idx="337">
                  <c:v>-0.113449923093648</c:v>
                </c:pt>
                <c:pt idx="338">
                  <c:v>-0.113449923093648</c:v>
                </c:pt>
                <c:pt idx="339">
                  <c:v>-0.113449923093648</c:v>
                </c:pt>
                <c:pt idx="340">
                  <c:v>-0.113449923093648</c:v>
                </c:pt>
                <c:pt idx="341">
                  <c:v>-0.113449923093648</c:v>
                </c:pt>
                <c:pt idx="342">
                  <c:v>-0.113449923093648</c:v>
                </c:pt>
                <c:pt idx="343">
                  <c:v>-0.113449923093648</c:v>
                </c:pt>
                <c:pt idx="344">
                  <c:v>-0.113449923093648</c:v>
                </c:pt>
                <c:pt idx="345">
                  <c:v>-0.113449923093648</c:v>
                </c:pt>
                <c:pt idx="346">
                  <c:v>-0.088306684120658</c:v>
                </c:pt>
                <c:pt idx="347">
                  <c:v>-0.0651134600626955</c:v>
                </c:pt>
                <c:pt idx="348">
                  <c:v>-0.0975839737438431</c:v>
                </c:pt>
                <c:pt idx="349">
                  <c:v>-0.111499908178621</c:v>
                </c:pt>
                <c:pt idx="350">
                  <c:v>-0.111499908178621</c:v>
                </c:pt>
                <c:pt idx="351">
                  <c:v>-0.116138552990213</c:v>
                </c:pt>
                <c:pt idx="352">
                  <c:v>-0.0604748152511029</c:v>
                </c:pt>
                <c:pt idx="353">
                  <c:v>-0.106861263367028</c:v>
                </c:pt>
                <c:pt idx="354">
                  <c:v>-0.120777197801806</c:v>
                </c:pt>
                <c:pt idx="355">
                  <c:v>-0.148609066671361</c:v>
                </c:pt>
                <c:pt idx="356">
                  <c:v>-0.199634159598879</c:v>
                </c:pt>
                <c:pt idx="357">
                  <c:v>-0.230143069186696</c:v>
                </c:pt>
                <c:pt idx="358">
                  <c:v>-0.230143069186696</c:v>
                </c:pt>
                <c:pt idx="359">
                  <c:v>-0.230143069186696</c:v>
                </c:pt>
                <c:pt idx="360">
                  <c:v>-0.230143069186696</c:v>
                </c:pt>
                <c:pt idx="361">
                  <c:v>-0.230143069186696</c:v>
                </c:pt>
                <c:pt idx="362">
                  <c:v>-0.230143069186696</c:v>
                </c:pt>
                <c:pt idx="363">
                  <c:v>-0.230143069186696</c:v>
                </c:pt>
                <c:pt idx="364">
                  <c:v>-0.230143069186696</c:v>
                </c:pt>
                <c:pt idx="365">
                  <c:v>-0.230143069186696</c:v>
                </c:pt>
                <c:pt idx="366">
                  <c:v>-0.269445251086276</c:v>
                </c:pt>
                <c:pt idx="367">
                  <c:v>-0.281755500778579</c:v>
                </c:pt>
                <c:pt idx="368">
                  <c:v>-0.224307668881164</c:v>
                </c:pt>
                <c:pt idx="369">
                  <c:v>-0.24892816826577</c:v>
                </c:pt>
                <c:pt idx="370">
                  <c:v>-0.240721335137568</c:v>
                </c:pt>
                <c:pt idx="371">
                  <c:v>-0.240721335137568</c:v>
                </c:pt>
                <c:pt idx="372">
                  <c:v>-0.240721335137568</c:v>
                </c:pt>
                <c:pt idx="373">
                  <c:v>-0.392590551401656</c:v>
                </c:pt>
                <c:pt idx="374">
                  <c:v>-0.406690455679057</c:v>
                </c:pt>
                <c:pt idx="375">
                  <c:v>-0.378992393871375</c:v>
                </c:pt>
                <c:pt idx="376">
                  <c:v>-0.400535330832906</c:v>
                </c:pt>
                <c:pt idx="377">
                  <c:v>-0.437466079909815</c:v>
                </c:pt>
                <c:pt idx="378">
                  <c:v>-0.45593145444827</c:v>
                </c:pt>
                <c:pt idx="379">
                  <c:v>-0.489784641102104</c:v>
                </c:pt>
                <c:pt idx="380">
                  <c:v>-0.49286220352518</c:v>
                </c:pt>
                <c:pt idx="381">
                  <c:v>-0.508250015640559</c:v>
                </c:pt>
                <c:pt idx="382">
                  <c:v>-0.525414250309362</c:v>
                </c:pt>
                <c:pt idx="383">
                  <c:v>-0.525414250309362</c:v>
                </c:pt>
                <c:pt idx="384">
                  <c:v>-0.525414250309362</c:v>
                </c:pt>
                <c:pt idx="385">
                  <c:v>-0.525414250309362</c:v>
                </c:pt>
                <c:pt idx="386">
                  <c:v>-0.525414250309362</c:v>
                </c:pt>
                <c:pt idx="387">
                  <c:v>-0.525414250309362</c:v>
                </c:pt>
                <c:pt idx="388">
                  <c:v>-0.525414250309362</c:v>
                </c:pt>
                <c:pt idx="389">
                  <c:v>-0.525414250309362</c:v>
                </c:pt>
                <c:pt idx="390">
                  <c:v>-0.525414250309362</c:v>
                </c:pt>
                <c:pt idx="391">
                  <c:v>-0.525414250309362</c:v>
                </c:pt>
                <c:pt idx="392">
                  <c:v>-0.525414250309362</c:v>
                </c:pt>
                <c:pt idx="393">
                  <c:v>-0.525414250309362</c:v>
                </c:pt>
                <c:pt idx="394">
                  <c:v>-0.525414250309362</c:v>
                </c:pt>
                <c:pt idx="395">
                  <c:v>-0.525414250309362</c:v>
                </c:pt>
                <c:pt idx="396">
                  <c:v>-0.525414250309362</c:v>
                </c:pt>
                <c:pt idx="397">
                  <c:v>-0.525414250309362</c:v>
                </c:pt>
                <c:pt idx="398">
                  <c:v>-0.525414250309362</c:v>
                </c:pt>
                <c:pt idx="399">
                  <c:v>-0.525414250309362</c:v>
                </c:pt>
                <c:pt idx="400">
                  <c:v>-0.525414250309362</c:v>
                </c:pt>
                <c:pt idx="401">
                  <c:v>-0.525414250309362</c:v>
                </c:pt>
                <c:pt idx="402">
                  <c:v>-0.525414250309362</c:v>
                </c:pt>
                <c:pt idx="403">
                  <c:v>-0.525414250309362</c:v>
                </c:pt>
                <c:pt idx="404">
                  <c:v>-0.525414250309362</c:v>
                </c:pt>
                <c:pt idx="405">
                  <c:v>-0.525414250309362</c:v>
                </c:pt>
                <c:pt idx="406">
                  <c:v>-0.525414250309362</c:v>
                </c:pt>
                <c:pt idx="407">
                  <c:v>-0.525414250309362</c:v>
                </c:pt>
                <c:pt idx="408">
                  <c:v>-0.525414250309362</c:v>
                </c:pt>
                <c:pt idx="409">
                  <c:v>-0.525414250309362</c:v>
                </c:pt>
                <c:pt idx="410">
                  <c:v>-0.525414250309362</c:v>
                </c:pt>
                <c:pt idx="411">
                  <c:v>-0.525414250309362</c:v>
                </c:pt>
                <c:pt idx="412">
                  <c:v>-0.516710866608275</c:v>
                </c:pt>
                <c:pt idx="413">
                  <c:v>-0.503999195730354</c:v>
                </c:pt>
                <c:pt idx="414">
                  <c:v>-0.506541529905938</c:v>
                </c:pt>
                <c:pt idx="415">
                  <c:v>-0.514168532432691</c:v>
                </c:pt>
                <c:pt idx="416">
                  <c:v>-0.514168532432691</c:v>
                </c:pt>
                <c:pt idx="417">
                  <c:v>-0.509083864081522</c:v>
                </c:pt>
                <c:pt idx="418">
                  <c:v>-0.501456861554769</c:v>
                </c:pt>
                <c:pt idx="419">
                  <c:v>-0.481118188150094</c:v>
                </c:pt>
                <c:pt idx="420">
                  <c:v>-0.514168532432691</c:v>
                </c:pt>
                <c:pt idx="421">
                  <c:v>-0.51925320078386</c:v>
                </c:pt>
                <c:pt idx="422">
                  <c:v>-0.529422537486197</c:v>
                </c:pt>
                <c:pt idx="423">
                  <c:v>-0.529422537486197</c:v>
                </c:pt>
                <c:pt idx="424">
                  <c:v>-0.521795534959444</c:v>
                </c:pt>
                <c:pt idx="425">
                  <c:v>-0.590438557700222</c:v>
                </c:pt>
                <c:pt idx="426">
                  <c:v>-0.594439976114547</c:v>
                </c:pt>
                <c:pt idx="427">
                  <c:v>-0.594439976114547</c:v>
                </c:pt>
                <c:pt idx="428">
                  <c:v>-0.594439976114547</c:v>
                </c:pt>
                <c:pt idx="429">
                  <c:v>-0.594439976114547</c:v>
                </c:pt>
                <c:pt idx="430">
                  <c:v>-0.594439976114547</c:v>
                </c:pt>
                <c:pt idx="431">
                  <c:v>-0.594439976114547</c:v>
                </c:pt>
                <c:pt idx="432">
                  <c:v>-0.594439976114547</c:v>
                </c:pt>
                <c:pt idx="433">
                  <c:v>-0.594439976114547</c:v>
                </c:pt>
                <c:pt idx="434">
                  <c:v>-0.594439976114547</c:v>
                </c:pt>
                <c:pt idx="435">
                  <c:v>-0.594439976114547</c:v>
                </c:pt>
                <c:pt idx="436">
                  <c:v>-0.594439976114547</c:v>
                </c:pt>
                <c:pt idx="437">
                  <c:v>-0.594439976114547</c:v>
                </c:pt>
                <c:pt idx="438">
                  <c:v>-0.594439976114547</c:v>
                </c:pt>
                <c:pt idx="439">
                  <c:v>-0.605046044199387</c:v>
                </c:pt>
                <c:pt idx="440">
                  <c:v>-0.595768754576202</c:v>
                </c:pt>
                <c:pt idx="441">
                  <c:v>-0.60272672179359</c:v>
                </c:pt>
                <c:pt idx="442">
                  <c:v>-0.588810787358813</c:v>
                </c:pt>
                <c:pt idx="443">
                  <c:v>-0.605046044199387</c:v>
                </c:pt>
                <c:pt idx="444">
                  <c:v>-0.593449432170405</c:v>
                </c:pt>
                <c:pt idx="445">
                  <c:v>-0.588810787358813</c:v>
                </c:pt>
                <c:pt idx="446">
                  <c:v>-0.58417214254722</c:v>
                </c:pt>
                <c:pt idx="447">
                  <c:v>-0.588810787358813</c:v>
                </c:pt>
                <c:pt idx="448">
                  <c:v>-0.574894852924035</c:v>
                </c:pt>
                <c:pt idx="449">
                  <c:v>-0.593449432170405</c:v>
                </c:pt>
                <c:pt idx="450">
                  <c:v>-0.600407399387794</c:v>
                </c:pt>
                <c:pt idx="451">
                  <c:v>-0.593449432170405</c:v>
                </c:pt>
                <c:pt idx="452">
                  <c:v>-0.595768754576202</c:v>
                </c:pt>
                <c:pt idx="453">
                  <c:v>-0.607365366605183</c:v>
                </c:pt>
                <c:pt idx="454">
                  <c:v>-0.616642656228368</c:v>
                </c:pt>
                <c:pt idx="455">
                  <c:v>-0.609684689010979</c:v>
                </c:pt>
                <c:pt idx="456">
                  <c:v>-0.607365366605183</c:v>
                </c:pt>
                <c:pt idx="457">
                  <c:v>-0.623600623445757</c:v>
                </c:pt>
                <c:pt idx="458">
                  <c:v>-0.600407399387794</c:v>
                </c:pt>
                <c:pt idx="459">
                  <c:v>-0.609684689010979</c:v>
                </c:pt>
                <c:pt idx="460">
                  <c:v>-0.609684689010979</c:v>
                </c:pt>
                <c:pt idx="461">
                  <c:v>-0.607365366605183</c:v>
                </c:pt>
                <c:pt idx="462">
                  <c:v>-0.623600623445757</c:v>
                </c:pt>
                <c:pt idx="463">
                  <c:v>-0.630558590663146</c:v>
                </c:pt>
                <c:pt idx="464">
                  <c:v>-0.609684689010979</c:v>
                </c:pt>
                <c:pt idx="465">
                  <c:v>-0.593449432170405</c:v>
                </c:pt>
                <c:pt idx="466">
                  <c:v>-0.614323333822572</c:v>
                </c:pt>
                <c:pt idx="467">
                  <c:v>-0.595768754576202</c:v>
                </c:pt>
                <c:pt idx="468">
                  <c:v>-0.605046044199387</c:v>
                </c:pt>
                <c:pt idx="469">
                  <c:v>-0.607365366605183</c:v>
                </c:pt>
                <c:pt idx="470">
                  <c:v>-0.591130109764609</c:v>
                </c:pt>
                <c:pt idx="471">
                  <c:v>-0.56561756330085</c:v>
                </c:pt>
                <c:pt idx="472">
                  <c:v>-0.56561756330085</c:v>
                </c:pt>
                <c:pt idx="473">
                  <c:v>-0.577214175329831</c:v>
                </c:pt>
                <c:pt idx="474">
                  <c:v>-0.572575530518239</c:v>
                </c:pt>
                <c:pt idx="475">
                  <c:v>-0.579533497735628</c:v>
                </c:pt>
                <c:pt idx="476">
                  <c:v>-0.58417214254722</c:v>
                </c:pt>
                <c:pt idx="477">
                  <c:v>-0.58417214254722</c:v>
                </c:pt>
                <c:pt idx="478">
                  <c:v>-0.58417214254722</c:v>
                </c:pt>
                <c:pt idx="479">
                  <c:v>-0.570256208112443</c:v>
                </c:pt>
                <c:pt idx="480">
                  <c:v>-0.549382306460276</c:v>
                </c:pt>
                <c:pt idx="481">
                  <c:v>-0.542424339242888</c:v>
                </c:pt>
                <c:pt idx="482">
                  <c:v>-0.54706298405448</c:v>
                </c:pt>
                <c:pt idx="483">
                  <c:v>-0.544743661648684</c:v>
                </c:pt>
                <c:pt idx="484">
                  <c:v>-0.549382306460276</c:v>
                </c:pt>
                <c:pt idx="485">
                  <c:v>-0.521550437590721</c:v>
                </c:pt>
                <c:pt idx="486">
                  <c:v>-0.542424339242888</c:v>
                </c:pt>
                <c:pt idx="487">
                  <c:v>-0.523869759996517</c:v>
                </c:pt>
                <c:pt idx="488">
                  <c:v>-0.507634503155944</c:v>
                </c:pt>
                <c:pt idx="489">
                  <c:v>-0.507634503155944</c:v>
                </c:pt>
                <c:pt idx="490">
                  <c:v>-0.516911792779129</c:v>
                </c:pt>
                <c:pt idx="491">
                  <c:v>-0.498357213532759</c:v>
                </c:pt>
                <c:pt idx="492">
                  <c:v>-0.498357213532759</c:v>
                </c:pt>
                <c:pt idx="493">
                  <c:v>-0.489079923909574</c:v>
                </c:pt>
                <c:pt idx="494">
                  <c:v>-0.486760601503777</c:v>
                </c:pt>
                <c:pt idx="495">
                  <c:v>-0.479802634286389</c:v>
                </c:pt>
                <c:pt idx="496">
                  <c:v>-0.456609410228426</c:v>
                </c:pt>
                <c:pt idx="497">
                  <c:v>-0.486760601503777</c:v>
                </c:pt>
                <c:pt idx="498">
                  <c:v>-0.484441279097981</c:v>
                </c:pt>
                <c:pt idx="499">
                  <c:v>-0.477483311880592</c:v>
                </c:pt>
                <c:pt idx="500">
                  <c:v>-0.486760601503777</c:v>
                </c:pt>
                <c:pt idx="501">
                  <c:v>-0.479802634286389</c:v>
                </c:pt>
                <c:pt idx="502">
                  <c:v>-0.436895169779158</c:v>
                </c:pt>
                <c:pt idx="503">
                  <c:v>-0.442693475793648</c:v>
                </c:pt>
                <c:pt idx="504">
                  <c:v>-0.456609410228426</c:v>
                </c:pt>
                <c:pt idx="505">
                  <c:v>-0.446172459402343</c:v>
                </c:pt>
                <c:pt idx="506">
                  <c:v>-0.475163989474796</c:v>
                </c:pt>
                <c:pt idx="507">
                  <c:v>-0.492558907518268</c:v>
                </c:pt>
                <c:pt idx="508">
                  <c:v>-0.506398861843079</c:v>
                </c:pt>
                <c:pt idx="509">
                  <c:v>-0.54948473576614</c:v>
                </c:pt>
                <c:pt idx="510">
                  <c:v>-0.534096923650761</c:v>
                </c:pt>
                <c:pt idx="511">
                  <c:v>-0.524864236381534</c:v>
                </c:pt>
                <c:pt idx="512">
                  <c:v>-0.521994922349086</c:v>
                </c:pt>
                <c:pt idx="513">
                  <c:v>-0.526543016948419</c:v>
                </c:pt>
                <c:pt idx="514">
                  <c:v>-0.5381396289774</c:v>
                </c:pt>
                <c:pt idx="515">
                  <c:v>-0.512047251912192</c:v>
                </c:pt>
                <c:pt idx="516">
                  <c:v>-0.522194287437551</c:v>
                </c:pt>
                <c:pt idx="517">
                  <c:v>-0.546837087999136</c:v>
                </c:pt>
                <c:pt idx="518">
                  <c:v>-0.541038781984645</c:v>
                </c:pt>
                <c:pt idx="519">
                  <c:v>-0.551185817510004</c:v>
                </c:pt>
                <c:pt idx="520">
                  <c:v>-0.556984123524495</c:v>
                </c:pt>
                <c:pt idx="521">
                  <c:v>-0.564232006042608</c:v>
                </c:pt>
                <c:pt idx="522">
                  <c:v>-0.570030312057099</c:v>
                </c:pt>
                <c:pt idx="523">
                  <c:v>-0.583076500589703</c:v>
                </c:pt>
                <c:pt idx="524">
                  <c:v>-0.548286664502759</c:v>
                </c:pt>
                <c:pt idx="525">
                  <c:v>-0.535240475970155</c:v>
                </c:pt>
                <c:pt idx="526">
                  <c:v>-0.5381396289774</c:v>
                </c:pt>
                <c:pt idx="527">
                  <c:v>-0.545387511495513</c:v>
                </c:pt>
                <c:pt idx="528">
                  <c:v>-0.533790899466532</c:v>
                </c:pt>
                <c:pt idx="529">
                  <c:v>-0.532341322962909</c:v>
                </c:pt>
                <c:pt idx="530">
                  <c:v>-0.514946404919437</c:v>
                </c:pt>
                <c:pt idx="531">
                  <c:v>-0.499001063379588</c:v>
                </c:pt>
                <c:pt idx="532">
                  <c:v>-0.496101910372343</c:v>
                </c:pt>
                <c:pt idx="533">
                  <c:v>-0.514946404919437</c:v>
                </c:pt>
                <c:pt idx="534">
                  <c:v>-0.503349792890456</c:v>
                </c:pt>
                <c:pt idx="535">
                  <c:v>-0.530891746459287</c:v>
                </c:pt>
                <c:pt idx="536">
                  <c:v>-0.525093440444796</c:v>
                </c:pt>
                <c:pt idx="537">
                  <c:v>-0.529442169955664</c:v>
                </c:pt>
                <c:pt idx="538">
                  <c:v>-0.490303604357852</c:v>
                </c:pt>
                <c:pt idx="539">
                  <c:v>-0.503349792890456</c:v>
                </c:pt>
                <c:pt idx="540">
                  <c:v>-0.512047251912192</c:v>
                </c:pt>
                <c:pt idx="541">
                  <c:v>-0.51059767540857</c:v>
                </c:pt>
                <c:pt idx="542">
                  <c:v>-0.512047251912192</c:v>
                </c:pt>
                <c:pt idx="543">
                  <c:v>-0.552635394013627</c:v>
                </c:pt>
                <c:pt idx="544">
                  <c:v>-0.561332853035363</c:v>
                </c:pt>
                <c:pt idx="545">
                  <c:v>-0.539589205481023</c:v>
                </c:pt>
                <c:pt idx="546">
                  <c:v>-0.546837087999136</c:v>
                </c:pt>
                <c:pt idx="547">
                  <c:v>-0.533790899466532</c:v>
                </c:pt>
                <c:pt idx="548">
                  <c:v>-0.554084970517249</c:v>
                </c:pt>
                <c:pt idx="549">
                  <c:v>-0.555534547020872</c:v>
                </c:pt>
                <c:pt idx="550">
                  <c:v>-0.555534547020872</c:v>
                </c:pt>
                <c:pt idx="551">
                  <c:v>-0.545387511495513</c:v>
                </c:pt>
                <c:pt idx="552">
                  <c:v>-0.530891746459287</c:v>
                </c:pt>
                <c:pt idx="553">
                  <c:v>-0.522194287437551</c:v>
                </c:pt>
                <c:pt idx="554">
                  <c:v>-0.555534547020872</c:v>
                </c:pt>
                <c:pt idx="555">
                  <c:v>-0.616416760173024</c:v>
                </c:pt>
                <c:pt idx="556">
                  <c:v>-0.620954997652132</c:v>
                </c:pt>
                <c:pt idx="557">
                  <c:v>-0.620954997652132</c:v>
                </c:pt>
                <c:pt idx="558">
                  <c:v>-0.620954997652132</c:v>
                </c:pt>
                <c:pt idx="559">
                  <c:v>-0.620954997652132</c:v>
                </c:pt>
                <c:pt idx="560">
                  <c:v>-0.620954997652132</c:v>
                </c:pt>
                <c:pt idx="561">
                  <c:v>-0.620954997652132</c:v>
                </c:pt>
                <c:pt idx="562">
                  <c:v>-0.620954997652132</c:v>
                </c:pt>
                <c:pt idx="563">
                  <c:v>-0.620954997652132</c:v>
                </c:pt>
                <c:pt idx="564">
                  <c:v>-0.620954997652132</c:v>
                </c:pt>
                <c:pt idx="565">
                  <c:v>-0.620954997652132</c:v>
                </c:pt>
                <c:pt idx="566">
                  <c:v>-0.620954997652132</c:v>
                </c:pt>
                <c:pt idx="567">
                  <c:v>-0.620954997652132</c:v>
                </c:pt>
                <c:pt idx="568">
                  <c:v>-0.620954997652132</c:v>
                </c:pt>
                <c:pt idx="569">
                  <c:v>-0.620954997652132</c:v>
                </c:pt>
                <c:pt idx="570">
                  <c:v>-0.620954997652132</c:v>
                </c:pt>
                <c:pt idx="571">
                  <c:v>-0.620954997652132</c:v>
                </c:pt>
                <c:pt idx="572">
                  <c:v>-0.620954997652132</c:v>
                </c:pt>
                <c:pt idx="573">
                  <c:v>-0.620954997652132</c:v>
                </c:pt>
                <c:pt idx="574">
                  <c:v>-0.620954997652132</c:v>
                </c:pt>
                <c:pt idx="575">
                  <c:v>-0.620954997652132</c:v>
                </c:pt>
                <c:pt idx="576">
                  <c:v>-0.620954997652132</c:v>
                </c:pt>
                <c:pt idx="577">
                  <c:v>-0.619840481465165</c:v>
                </c:pt>
                <c:pt idx="578">
                  <c:v>-0.608399977675035</c:v>
                </c:pt>
                <c:pt idx="579">
                  <c:v>-0.59950180806049</c:v>
                </c:pt>
                <c:pt idx="580">
                  <c:v>-0.586790137182568</c:v>
                </c:pt>
                <c:pt idx="581">
                  <c:v>-0.608399977675035</c:v>
                </c:pt>
                <c:pt idx="582">
                  <c:v>-0.636365653606463</c:v>
                </c:pt>
                <c:pt idx="583">
                  <c:v>-0.643992656133216</c:v>
                </c:pt>
                <c:pt idx="584">
                  <c:v>-0.641450321957632</c:v>
                </c:pt>
                <c:pt idx="585">
                  <c:v>-0.61729814728958</c:v>
                </c:pt>
                <c:pt idx="586">
                  <c:v>-0.605857643499451</c:v>
                </c:pt>
                <c:pt idx="587">
                  <c:v>-0.608399977675035</c:v>
                </c:pt>
                <c:pt idx="588">
                  <c:v>-0.585518970094776</c:v>
                </c:pt>
                <c:pt idx="589">
                  <c:v>-0.590603638445945</c:v>
                </c:pt>
                <c:pt idx="590">
                  <c:v>-0.530858785319712</c:v>
                </c:pt>
                <c:pt idx="591">
                  <c:v>-0.520689448617375</c:v>
                </c:pt>
                <c:pt idx="592">
                  <c:v>-0.491452605598154</c:v>
                </c:pt>
                <c:pt idx="593">
                  <c:v>-0.510520111915037</c:v>
                </c:pt>
                <c:pt idx="594">
                  <c:v>-0.514333613178414</c:v>
                </c:pt>
                <c:pt idx="595">
                  <c:v>-0.501621942300492</c:v>
                </c:pt>
                <c:pt idx="596">
                  <c:v>-0.515604780266206</c:v>
                </c:pt>
                <c:pt idx="597">
                  <c:v>-0.520689448617375</c:v>
                </c:pt>
                <c:pt idx="598">
                  <c:v>-0.525774116968543</c:v>
                </c:pt>
                <c:pt idx="599">
                  <c:v>-0.546112790373218</c:v>
                </c:pt>
                <c:pt idx="600">
                  <c:v>-0.557553294163348</c:v>
                </c:pt>
                <c:pt idx="601">
                  <c:v>-0.55882446125114</c:v>
                </c:pt>
                <c:pt idx="602">
                  <c:v>-0.543570456197634</c:v>
                </c:pt>
                <c:pt idx="603">
                  <c:v>-0.515604780266206</c:v>
                </c:pt>
                <c:pt idx="604">
                  <c:v>-0.515604780266206</c:v>
                </c:pt>
                <c:pt idx="605">
                  <c:v>-0.551197458724387</c:v>
                </c:pt>
                <c:pt idx="606">
                  <c:v>-0.543570456197634</c:v>
                </c:pt>
                <c:pt idx="607">
                  <c:v>-0.548655124548803</c:v>
                </c:pt>
                <c:pt idx="608">
                  <c:v>-0.576620800480231</c:v>
                </c:pt>
                <c:pt idx="609">
                  <c:v>-0.562637962514517</c:v>
                </c:pt>
                <c:pt idx="610">
                  <c:v>-0.542299289109842</c:v>
                </c:pt>
                <c:pt idx="611">
                  <c:v>-0.538485787846465</c:v>
                </c:pt>
                <c:pt idx="612">
                  <c:v>-0.543570456197634</c:v>
                </c:pt>
                <c:pt idx="613">
                  <c:v>-0.516875947353998</c:v>
                </c:pt>
                <c:pt idx="614">
                  <c:v>-0.509248944827245</c:v>
                </c:pt>
                <c:pt idx="615">
                  <c:v>-0.510520111915037</c:v>
                </c:pt>
                <c:pt idx="616">
                  <c:v>-0.507977777739453</c:v>
                </c:pt>
                <c:pt idx="617">
                  <c:v>-0.535943453670881</c:v>
                </c:pt>
                <c:pt idx="618">
                  <c:v>-0.499079608124908</c:v>
                </c:pt>
                <c:pt idx="619">
                  <c:v>-0.499079608124908</c:v>
                </c:pt>
                <c:pt idx="620">
                  <c:v>-0.492723772685947</c:v>
                </c:pt>
                <c:pt idx="621">
                  <c:v>-0.490181438510362</c:v>
                </c:pt>
                <c:pt idx="622">
                  <c:v>-0.493994939773739</c:v>
                </c:pt>
                <c:pt idx="623">
                  <c:v>-0.493994939773739</c:v>
                </c:pt>
                <c:pt idx="624">
                  <c:v>-0.504164276476076</c:v>
                </c:pt>
                <c:pt idx="625">
                  <c:v>-0.499079608124908</c:v>
                </c:pt>
                <c:pt idx="626">
                  <c:v>-0.507977777739453</c:v>
                </c:pt>
                <c:pt idx="627">
                  <c:v>-0.505435443563868</c:v>
                </c:pt>
                <c:pt idx="628">
                  <c:v>-0.490181438510362</c:v>
                </c:pt>
                <c:pt idx="629">
                  <c:v>-0.487639104334778</c:v>
                </c:pt>
                <c:pt idx="630">
                  <c:v>-0.467300430930103</c:v>
                </c:pt>
                <c:pt idx="631">
                  <c:v>-0.464758096754519</c:v>
                </c:pt>
                <c:pt idx="632">
                  <c:v>-0.464758096754519</c:v>
                </c:pt>
                <c:pt idx="633">
                  <c:v>-0.464758096754519</c:v>
                </c:pt>
                <c:pt idx="634">
                  <c:v>-0.468571598017895</c:v>
                </c:pt>
                <c:pt idx="635">
                  <c:v>-0.478740934720233</c:v>
                </c:pt>
                <c:pt idx="636">
                  <c:v>-0.481283268895817</c:v>
                </c:pt>
                <c:pt idx="637">
                  <c:v>-0.480012101808025</c:v>
                </c:pt>
                <c:pt idx="638">
                  <c:v>-0.469842765105687</c:v>
                </c:pt>
                <c:pt idx="639">
                  <c:v>-0.476198600544648</c:v>
                </c:pt>
                <c:pt idx="640">
                  <c:v>-0.473656266369064</c:v>
                </c:pt>
                <c:pt idx="641">
                  <c:v>-0.47111393219348</c:v>
                </c:pt>
                <c:pt idx="642">
                  <c:v>-0.483825603071401</c:v>
                </c:pt>
                <c:pt idx="643">
                  <c:v>-0.478740934720233</c:v>
                </c:pt>
                <c:pt idx="644">
                  <c:v>-0.486367937246986</c:v>
                </c:pt>
                <c:pt idx="645">
                  <c:v>-0.468571598017895</c:v>
                </c:pt>
                <c:pt idx="646">
                  <c:v>-0.406284410716078</c:v>
                </c:pt>
                <c:pt idx="647">
                  <c:v>-0.388488071486988</c:v>
                </c:pt>
                <c:pt idx="648">
                  <c:v>-0.373234066433482</c:v>
                </c:pt>
                <c:pt idx="649">
                  <c:v>-0.393572739838156</c:v>
                </c:pt>
                <c:pt idx="650">
                  <c:v>-0.416453747418416</c:v>
                </c:pt>
                <c:pt idx="651">
                  <c:v>-0.432978919559714</c:v>
                </c:pt>
                <c:pt idx="652">
                  <c:v>-0.426623084120753</c:v>
                </c:pt>
                <c:pt idx="653">
                  <c:v>-0.416453747418416</c:v>
                </c:pt>
                <c:pt idx="654">
                  <c:v>-0.426623084120753</c:v>
                </c:pt>
                <c:pt idx="655">
                  <c:v>-0.432978919559714</c:v>
                </c:pt>
                <c:pt idx="656">
                  <c:v>-0.420267248681792</c:v>
                </c:pt>
                <c:pt idx="657">
                  <c:v>-0.417724914506208</c:v>
                </c:pt>
                <c:pt idx="658">
                  <c:v>-0.434250086647506</c:v>
                </c:pt>
                <c:pt idx="659">
                  <c:v>-0.421538415769585</c:v>
                </c:pt>
                <c:pt idx="660">
                  <c:v>-0.385945737311403</c:v>
                </c:pt>
                <c:pt idx="661">
                  <c:v>-0.394843906925949</c:v>
                </c:pt>
                <c:pt idx="662">
                  <c:v>-0.40119974236491</c:v>
                </c:pt>
                <c:pt idx="663">
                  <c:v>-0.412640246155039</c:v>
                </c:pt>
                <c:pt idx="664">
                  <c:v>-0.405013243628286</c:v>
                </c:pt>
                <c:pt idx="665">
                  <c:v>-0.407555577803871</c:v>
                </c:pt>
                <c:pt idx="666">
                  <c:v>-0.411369079067247</c:v>
                </c:pt>
                <c:pt idx="667">
                  <c:v>-0.412776052889114</c:v>
                </c:pt>
                <c:pt idx="668">
                  <c:v>-0.379568336634304</c:v>
                </c:pt>
                <c:pt idx="669">
                  <c:v>-0.381798454332185</c:v>
                </c:pt>
                <c:pt idx="670">
                  <c:v>-0.39294904282159</c:v>
                </c:pt>
                <c:pt idx="671">
                  <c:v>-0.386258689727947</c:v>
                </c:pt>
                <c:pt idx="672">
                  <c:v>-0.397409278217352</c:v>
                </c:pt>
                <c:pt idx="673">
                  <c:v>-0.404099631310995</c:v>
                </c:pt>
                <c:pt idx="674">
                  <c:v>-0.352806924259732</c:v>
                </c:pt>
                <c:pt idx="675">
                  <c:v>-0.343886453468208</c:v>
                </c:pt>
                <c:pt idx="676">
                  <c:v>-0.321585276489398</c:v>
                </c:pt>
                <c:pt idx="677">
                  <c:v>-0.363957512749137</c:v>
                </c:pt>
                <c:pt idx="678">
                  <c:v>-0.339426218072446</c:v>
                </c:pt>
                <c:pt idx="679">
                  <c:v>-0.386258689727947</c:v>
                </c:pt>
                <c:pt idx="680">
                  <c:v>-0.388488807425828</c:v>
                </c:pt>
                <c:pt idx="681">
                  <c:v>-0.386258689727947</c:v>
                </c:pt>
                <c:pt idx="682">
                  <c:v>-0.388488807425828</c:v>
                </c:pt>
                <c:pt idx="683">
                  <c:v>-0.448701985268616</c:v>
                </c:pt>
                <c:pt idx="684">
                  <c:v>-0.473233279945307</c:v>
                </c:pt>
                <c:pt idx="685">
                  <c:v>-0.475701202527039</c:v>
                </c:pt>
                <c:pt idx="686">
                  <c:v>-0.475701202527039</c:v>
                </c:pt>
                <c:pt idx="687">
                  <c:v>-0.475701202527039</c:v>
                </c:pt>
                <c:pt idx="688">
                  <c:v>-0.475701202527039</c:v>
                </c:pt>
                <c:pt idx="689">
                  <c:v>-0.475701202527039</c:v>
                </c:pt>
                <c:pt idx="690">
                  <c:v>-0.475701202527039</c:v>
                </c:pt>
                <c:pt idx="691">
                  <c:v>-0.475701202527039</c:v>
                </c:pt>
                <c:pt idx="692">
                  <c:v>-0.475701202527039</c:v>
                </c:pt>
                <c:pt idx="693">
                  <c:v>-0.475701202527039</c:v>
                </c:pt>
                <c:pt idx="694">
                  <c:v>-0.475701202527039</c:v>
                </c:pt>
                <c:pt idx="695">
                  <c:v>-0.475701202527039</c:v>
                </c:pt>
                <c:pt idx="696">
                  <c:v>-0.475701202527039</c:v>
                </c:pt>
                <c:pt idx="697">
                  <c:v>-0.475701202527039</c:v>
                </c:pt>
                <c:pt idx="698">
                  <c:v>-0.475701202527039</c:v>
                </c:pt>
                <c:pt idx="699">
                  <c:v>-0.475701202527039</c:v>
                </c:pt>
                <c:pt idx="700">
                  <c:v>-0.475701202527039</c:v>
                </c:pt>
                <c:pt idx="701">
                  <c:v>-0.475701202527039</c:v>
                </c:pt>
                <c:pt idx="702">
                  <c:v>-0.475701202527039</c:v>
                </c:pt>
                <c:pt idx="703">
                  <c:v>-0.475701202527039</c:v>
                </c:pt>
                <c:pt idx="704">
                  <c:v>-0.493179675646924</c:v>
                </c:pt>
                <c:pt idx="705">
                  <c:v>-0.474000663445148</c:v>
                </c:pt>
                <c:pt idx="706">
                  <c:v>-0.462493256124082</c:v>
                </c:pt>
                <c:pt idx="707">
                  <c:v>-0.374269799995909</c:v>
                </c:pt>
                <c:pt idx="708">
                  <c:v>-0.351254985353776</c:v>
                </c:pt>
                <c:pt idx="709">
                  <c:v>-0.30714325728969</c:v>
                </c:pt>
                <c:pt idx="710">
                  <c:v>-0.324404368271289</c:v>
                </c:pt>
                <c:pt idx="711">
                  <c:v>-0.326322269491467</c:v>
                </c:pt>
                <c:pt idx="712">
                  <c:v>-0.30714325728969</c:v>
                </c:pt>
                <c:pt idx="713">
                  <c:v>-0.303307454849334</c:v>
                </c:pt>
                <c:pt idx="714">
                  <c:v>-0.316732763390578</c:v>
                </c:pt>
                <c:pt idx="715">
                  <c:v>-0.333993874372177</c:v>
                </c:pt>
                <c:pt idx="716">
                  <c:v>-0.374269799995909</c:v>
                </c:pt>
                <c:pt idx="717">
                  <c:v>-0.278374738987025</c:v>
                </c:pt>
                <c:pt idx="718">
                  <c:v>-0.24960622068436</c:v>
                </c:pt>
                <c:pt idx="719">
                  <c:v>-0.335911775592355</c:v>
                </c:pt>
                <c:pt idx="720">
                  <c:v>-0.351254985353776</c:v>
                </c:pt>
                <c:pt idx="721">
                  <c:v>-0.316732763390578</c:v>
                </c:pt>
                <c:pt idx="722">
                  <c:v>-0.312896960950223</c:v>
                </c:pt>
                <c:pt idx="723">
                  <c:v>-0.318650664610756</c:v>
                </c:pt>
                <c:pt idx="724">
                  <c:v>-0.30714325728969</c:v>
                </c:pt>
                <c:pt idx="725">
                  <c:v>-0.276456837766847</c:v>
                </c:pt>
                <c:pt idx="726">
                  <c:v>-0.23234510970276</c:v>
                </c:pt>
                <c:pt idx="727">
                  <c:v>-0.263031529225603</c:v>
                </c:pt>
                <c:pt idx="728">
                  <c:v>-0.255359924344893</c:v>
                </c:pt>
                <c:pt idx="729">
                  <c:v>-0.266867331665959</c:v>
                </c:pt>
                <c:pt idx="730">
                  <c:v>-0.316732763390578</c:v>
                </c:pt>
                <c:pt idx="731">
                  <c:v>-0.287964245087913</c:v>
                </c:pt>
                <c:pt idx="732">
                  <c:v>-0.293717948748446</c:v>
                </c:pt>
                <c:pt idx="733">
                  <c:v>-0.286046343867735</c:v>
                </c:pt>
                <c:pt idx="734">
                  <c:v>-0.287964245087913</c:v>
                </c:pt>
                <c:pt idx="735">
                  <c:v>-0.211248196280806</c:v>
                </c:pt>
                <c:pt idx="736">
                  <c:v>-0.161382764556186</c:v>
                </c:pt>
                <c:pt idx="737">
                  <c:v>-0.161382764556186</c:v>
                </c:pt>
                <c:pt idx="738">
                  <c:v>-0.170972270657075</c:v>
                </c:pt>
                <c:pt idx="739">
                  <c:v>-0.167136468216719</c:v>
                </c:pt>
                <c:pt idx="740">
                  <c:v>-0.157546962115831</c:v>
                </c:pt>
                <c:pt idx="741">
                  <c:v>-0.0904204194096122</c:v>
                </c:pt>
                <c:pt idx="742">
                  <c:v>-0.00986856816214987</c:v>
                </c:pt>
                <c:pt idx="743">
                  <c:v>0</c:v>
                </c:pt>
                <c:pt idx="744">
                  <c:v>0</c:v>
                </c:pt>
                <c:pt idx="745">
                  <c:v>-0.0822281590181825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-0.0237297965328606</c:v>
                </c:pt>
                <c:pt idx="751">
                  <c:v>0</c:v>
                </c:pt>
                <c:pt idx="752">
                  <c:v>-0.0509632190212764</c:v>
                </c:pt>
                <c:pt idx="753">
                  <c:v>-0.142435663418439</c:v>
                </c:pt>
                <c:pt idx="754">
                  <c:v>-0.220840615758865</c:v>
                </c:pt>
                <c:pt idx="755">
                  <c:v>-0.108460184070922</c:v>
                </c:pt>
                <c:pt idx="756">
                  <c:v>-0.227374361787233</c:v>
                </c:pt>
                <c:pt idx="757">
                  <c:v>-0.223454114170212</c:v>
                </c:pt>
                <c:pt idx="758">
                  <c:v>-0.282257828425531</c:v>
                </c:pt>
                <c:pt idx="759">
                  <c:v>-0.270682426170139</c:v>
                </c:pt>
                <c:pt idx="760">
                  <c:v>-0.270682426170139</c:v>
                </c:pt>
                <c:pt idx="761">
                  <c:v>-0.270682426170139</c:v>
                </c:pt>
                <c:pt idx="762">
                  <c:v>-0.270682426170139</c:v>
                </c:pt>
                <c:pt idx="763">
                  <c:v>-0.270682426170139</c:v>
                </c:pt>
                <c:pt idx="764">
                  <c:v>-0.270682426170139</c:v>
                </c:pt>
                <c:pt idx="765">
                  <c:v>-0.270682426170139</c:v>
                </c:pt>
                <c:pt idx="766">
                  <c:v>-0.270682426170139</c:v>
                </c:pt>
                <c:pt idx="767">
                  <c:v>-0.270682426170139</c:v>
                </c:pt>
                <c:pt idx="768">
                  <c:v>-0.270682426170139</c:v>
                </c:pt>
                <c:pt idx="769">
                  <c:v>-0.270682426170139</c:v>
                </c:pt>
                <c:pt idx="770">
                  <c:v>-0.270682426170139</c:v>
                </c:pt>
                <c:pt idx="771">
                  <c:v>-0.270682426170139</c:v>
                </c:pt>
                <c:pt idx="772">
                  <c:v>-0.232239459988828</c:v>
                </c:pt>
                <c:pt idx="773">
                  <c:v>-0.355317001453449</c:v>
                </c:pt>
                <c:pt idx="774">
                  <c:v>-0.362154642645928</c:v>
                </c:pt>
                <c:pt idx="775">
                  <c:v>-0.378109138761713</c:v>
                </c:pt>
                <c:pt idx="776">
                  <c:v>-0.353037787722623</c:v>
                </c:pt>
                <c:pt idx="777">
                  <c:v>-0.364433856376755</c:v>
                </c:pt>
                <c:pt idx="778">
                  <c:v>-0.378109138761713</c:v>
                </c:pt>
                <c:pt idx="779">
                  <c:v>-0.421414199647413</c:v>
                </c:pt>
                <c:pt idx="780">
                  <c:v>-0.455602405609807</c:v>
                </c:pt>
                <c:pt idx="781">
                  <c:v>-0.410018130993281</c:v>
                </c:pt>
                <c:pt idx="782">
                  <c:v>-0.346200146530144</c:v>
                </c:pt>
                <c:pt idx="783">
                  <c:v>-0.266427665951223</c:v>
                </c:pt>
                <c:pt idx="784">
                  <c:v>-0.184375971641476</c:v>
                </c:pt>
                <c:pt idx="785">
                  <c:v>-0.232239459988828</c:v>
                </c:pt>
                <c:pt idx="786">
                  <c:v>-0.245914742373786</c:v>
                </c:pt>
                <c:pt idx="787">
                  <c:v>-0.31201194056775</c:v>
                </c:pt>
                <c:pt idx="788">
                  <c:v>-0.28694058952866</c:v>
                </c:pt>
                <c:pt idx="789">
                  <c:v>-0.332524864145186</c:v>
                </c:pt>
                <c:pt idx="790">
                  <c:v>-0.439647909494023</c:v>
                </c:pt>
                <c:pt idx="791">
                  <c:v>-0.466998474263939</c:v>
                </c:pt>
                <c:pt idx="792">
                  <c:v>-0.457881619340634</c:v>
                </c:pt>
                <c:pt idx="793">
                  <c:v>-0.592355229459387</c:v>
                </c:pt>
                <c:pt idx="794">
                  <c:v>-0.58585270865913</c:v>
                </c:pt>
                <c:pt idx="795">
                  <c:v>-0.58585270865913</c:v>
                </c:pt>
                <c:pt idx="796">
                  <c:v>-0.58585270865913</c:v>
                </c:pt>
                <c:pt idx="797">
                  <c:v>-0.58585270865913</c:v>
                </c:pt>
                <c:pt idx="798">
                  <c:v>-0.58585270865913</c:v>
                </c:pt>
                <c:pt idx="799">
                  <c:v>-0.58585270865913</c:v>
                </c:pt>
                <c:pt idx="800">
                  <c:v>-0.58585270865913</c:v>
                </c:pt>
                <c:pt idx="801">
                  <c:v>-0.58585270865913</c:v>
                </c:pt>
                <c:pt idx="802">
                  <c:v>-0.58585270865913</c:v>
                </c:pt>
                <c:pt idx="803">
                  <c:v>-0.58585270865913</c:v>
                </c:pt>
                <c:pt idx="804">
                  <c:v>-0.58585270865913</c:v>
                </c:pt>
                <c:pt idx="805">
                  <c:v>-0.58585270865913</c:v>
                </c:pt>
                <c:pt idx="806">
                  <c:v>-0.58585270865913</c:v>
                </c:pt>
                <c:pt idx="807">
                  <c:v>-0.58585270865913</c:v>
                </c:pt>
                <c:pt idx="808">
                  <c:v>-0.58585270865913</c:v>
                </c:pt>
                <c:pt idx="809">
                  <c:v>-0.58585270865913</c:v>
                </c:pt>
                <c:pt idx="810">
                  <c:v>-0.58585270865913</c:v>
                </c:pt>
                <c:pt idx="811">
                  <c:v>-0.58585270865913</c:v>
                </c:pt>
                <c:pt idx="812">
                  <c:v>-0.58585270865913</c:v>
                </c:pt>
                <c:pt idx="813">
                  <c:v>-0.58585270865913</c:v>
                </c:pt>
                <c:pt idx="814">
                  <c:v>-0.58585270865913</c:v>
                </c:pt>
                <c:pt idx="815">
                  <c:v>-0.58585270865913</c:v>
                </c:pt>
                <c:pt idx="816">
                  <c:v>-0.560163974334473</c:v>
                </c:pt>
                <c:pt idx="817">
                  <c:v>-0.574781331728173</c:v>
                </c:pt>
                <c:pt idx="818">
                  <c:v>-0.53317808376149</c:v>
                </c:pt>
                <c:pt idx="819">
                  <c:v>-0.517436314260583</c:v>
                </c:pt>
                <c:pt idx="820">
                  <c:v>-0.526431611118244</c:v>
                </c:pt>
                <c:pt idx="821">
                  <c:v>-0.550044265369604</c:v>
                </c:pt>
                <c:pt idx="822">
                  <c:v>-0.512938665831752</c:v>
                </c:pt>
                <c:pt idx="823">
                  <c:v>-0.431980994112801</c:v>
                </c:pt>
                <c:pt idx="824">
                  <c:v>-0.460091296792992</c:v>
                </c:pt>
                <c:pt idx="825">
                  <c:v>-0.452220412042539</c:v>
                </c:pt>
                <c:pt idx="826">
                  <c:v>-0.439851878863255</c:v>
                </c:pt>
                <c:pt idx="827">
                  <c:v>-0.408368339861441</c:v>
                </c:pt>
                <c:pt idx="828">
                  <c:v>-0.444349527292085</c:v>
                </c:pt>
                <c:pt idx="829">
                  <c:v>-0.409492751968648</c:v>
                </c:pt>
                <c:pt idx="830">
                  <c:v>-0.419612460933517</c:v>
                </c:pt>
                <c:pt idx="831">
                  <c:v>-0.453344824149747</c:v>
                </c:pt>
                <c:pt idx="832">
                  <c:v>-0.443225115184878</c:v>
                </c:pt>
                <c:pt idx="833">
                  <c:v>-0.421861285147932</c:v>
                </c:pt>
                <c:pt idx="834">
                  <c:v>-0.393750982467741</c:v>
                </c:pt>
                <c:pt idx="835">
                  <c:v>-0.391502158253326</c:v>
                </c:pt>
                <c:pt idx="836">
                  <c:v>-0.400497455110987</c:v>
                </c:pt>
                <c:pt idx="837">
                  <c:v>-0.392626570360533</c:v>
                </c:pt>
                <c:pt idx="838">
                  <c:v>-0.358894207144304</c:v>
                </c:pt>
                <c:pt idx="839">
                  <c:v>-0.335281552892943</c:v>
                </c:pt>
                <c:pt idx="840">
                  <c:v>-0.38475568561008</c:v>
                </c:pt>
                <c:pt idx="841">
                  <c:v>-0.345401261857812</c:v>
                </c:pt>
                <c:pt idx="842">
                  <c:v>-0.28918065649743</c:v>
                </c:pt>
                <c:pt idx="843">
                  <c:v>-0.208222984778479</c:v>
                </c:pt>
                <c:pt idx="844">
                  <c:v>-0.187983566848741</c:v>
                </c:pt>
                <c:pt idx="845">
                  <c:v>-0.281309771746976</c:v>
                </c:pt>
                <c:pt idx="846">
                  <c:v>-0.268941238567692</c:v>
                </c:pt>
                <c:pt idx="847">
                  <c:v>-0.286931832283014</c:v>
                </c:pt>
                <c:pt idx="848">
                  <c:v>-0.369013916109173</c:v>
                </c:pt>
                <c:pt idx="849">
                  <c:v>-0.393750982467741</c:v>
                </c:pt>
                <c:pt idx="850">
                  <c:v>-0.363391855573134</c:v>
                </c:pt>
                <c:pt idx="851">
                  <c:v>-0.307171250212752</c:v>
                </c:pt>
                <c:pt idx="852">
                  <c:v>-0.228462402708217</c:v>
                </c:pt>
                <c:pt idx="853">
                  <c:v>-0.21721828163614</c:v>
                </c:pt>
                <c:pt idx="854">
                  <c:v>-0.239706523780293</c:v>
                </c:pt>
                <c:pt idx="855">
                  <c:v>-0.192481215277572</c:v>
                </c:pt>
                <c:pt idx="856">
                  <c:v>-0.148629143096473</c:v>
                </c:pt>
                <c:pt idx="857">
                  <c:v>-0.154251203632512</c:v>
                </c:pt>
                <c:pt idx="858">
                  <c:v>-0.132887373595566</c:v>
                </c:pt>
                <c:pt idx="859">
                  <c:v>-0.0699202955919379</c:v>
                </c:pt>
                <c:pt idx="860">
                  <c:v>-0.044058817126162</c:v>
                </c:pt>
                <c:pt idx="861">
                  <c:v>-0.0238193991964243</c:v>
                </c:pt>
                <c:pt idx="862">
                  <c:v>0</c:v>
                </c:pt>
                <c:pt idx="863">
                  <c:v>0</c:v>
                </c:pt>
                <c:pt idx="864">
                  <c:v>-0.00529565779104402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-0.0221139381601436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-0.0328062984777753</c:v>
                </c:pt>
                <c:pt idx="874">
                  <c:v>-0.079163024587675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-0.0118950179003472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-0.0970675790462608</c:v>
                </c:pt>
                <c:pt idx="883">
                  <c:v>0</c:v>
                </c:pt>
                <c:pt idx="884">
                  <c:v>-0.0634115485347311</c:v>
                </c:pt>
                <c:pt idx="885">
                  <c:v>0</c:v>
                </c:pt>
                <c:pt idx="886">
                  <c:v>0</c:v>
                </c:pt>
                <c:pt idx="887">
                  <c:v>-0.128567769536641</c:v>
                </c:pt>
                <c:pt idx="888">
                  <c:v>-0.0790813072998964</c:v>
                </c:pt>
                <c:pt idx="889">
                  <c:v>-0.0921806649507994</c:v>
                </c:pt>
                <c:pt idx="890">
                  <c:v>-0.168351003883828</c:v>
                </c:pt>
                <c:pt idx="891">
                  <c:v>-0.184846491296077</c:v>
                </c:pt>
                <c:pt idx="892">
                  <c:v>-0.0965471175011003</c:v>
                </c:pt>
                <c:pt idx="893">
                  <c:v>-0.132934222086942</c:v>
                </c:pt>
                <c:pt idx="894">
                  <c:v>-0.118864541647083</c:v>
                </c:pt>
                <c:pt idx="895">
                  <c:v>-0.0819922756667637</c:v>
                </c:pt>
                <c:pt idx="896">
                  <c:v>-0.0747148547495953</c:v>
                </c:pt>
                <c:pt idx="897">
                  <c:v>-0.191638750818767</c:v>
                </c:pt>
                <c:pt idx="898">
                  <c:v>-0.209589722414449</c:v>
                </c:pt>
                <c:pt idx="899">
                  <c:v>-0.148365549503225</c:v>
                </c:pt>
                <c:pt idx="900">
                  <c:v>-0.0692973546734501</c:v>
                </c:pt>
                <c:pt idx="901">
                  <c:v>-0.120042614041813</c:v>
                </c:pt>
                <c:pt idx="902">
                  <c:v>-0.0787383331605875</c:v>
                </c:pt>
                <c:pt idx="903">
                  <c:v>-0.163707139544824</c:v>
                </c:pt>
                <c:pt idx="904">
                  <c:v>-0.117682369420029</c:v>
                </c:pt>
                <c:pt idx="905">
                  <c:v>-0.0374340522793616</c:v>
                </c:pt>
                <c:pt idx="906">
                  <c:v>0</c:v>
                </c:pt>
                <c:pt idx="907">
                  <c:v>-0.0187710627349835</c:v>
                </c:pt>
                <c:pt idx="908">
                  <c:v>-0.0342295849873228</c:v>
                </c:pt>
                <c:pt idx="909">
                  <c:v>-0.0618340890093573</c:v>
                </c:pt>
                <c:pt idx="910">
                  <c:v>-0.0110418016088139</c:v>
                </c:pt>
                <c:pt idx="911">
                  <c:v>-0.0541048278831876</c:v>
                </c:pt>
                <c:pt idx="912">
                  <c:v>-0.112626376409901</c:v>
                </c:pt>
                <c:pt idx="913">
                  <c:v>-0.111522196249019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-0.00264632102317453</c:v>
                </c:pt>
                <c:pt idx="920">
                  <c:v>0</c:v>
                </c:pt>
                <c:pt idx="921">
                  <c:v>0</c:v>
                </c:pt>
                <c:pt idx="922">
                  <c:v>-0.0184051636163697</c:v>
                </c:pt>
                <c:pt idx="923">
                  <c:v>-0.0312087556973225</c:v>
                </c:pt>
                <c:pt idx="924">
                  <c:v>-0.0520145928288708</c:v>
                </c:pt>
                <c:pt idx="925">
                  <c:v>-0.108830532688099</c:v>
                </c:pt>
                <c:pt idx="926">
                  <c:v>-0.212059493840781</c:v>
                </c:pt>
                <c:pt idx="927">
                  <c:v>-0.180850738143458</c:v>
                </c:pt>
                <c:pt idx="928">
                  <c:v>-0.176049391113101</c:v>
                </c:pt>
                <c:pt idx="929">
                  <c:v>-0.208858595820543</c:v>
                </c:pt>
                <c:pt idx="930">
                  <c:v>-0.298483740387212</c:v>
                </c:pt>
                <c:pt idx="931">
                  <c:v>-0.132837267839885</c:v>
                </c:pt>
                <c:pt idx="932">
                  <c:v>-0.135237941355064</c:v>
                </c:pt>
                <c:pt idx="933">
                  <c:v>-0.154443329476493</c:v>
                </c:pt>
                <c:pt idx="934">
                  <c:v>-0.0696195319401809</c:v>
                </c:pt>
                <c:pt idx="935">
                  <c:v>-0.0744208789705382</c:v>
                </c:pt>
                <c:pt idx="936">
                  <c:v>-0.126435471799409</c:v>
                </c:pt>
                <c:pt idx="937">
                  <c:v>-0.104829410162801</c:v>
                </c:pt>
                <c:pt idx="938">
                  <c:v>-0.196855228244649</c:v>
                </c:pt>
                <c:pt idx="939">
                  <c:v>-0.0616172868895855</c:v>
                </c:pt>
                <c:pt idx="940">
                  <c:v>-0.0360101027276798</c:v>
                </c:pt>
                <c:pt idx="941">
                  <c:v>-0.0504141438187516</c:v>
                </c:pt>
                <c:pt idx="942">
                  <c:v>-0.0672188584250023</c:v>
                </c:pt>
                <c:pt idx="943">
                  <c:v>-0.000800224505059566</c:v>
                </c:pt>
                <c:pt idx="944">
                  <c:v>-0.0448125722833348</c:v>
                </c:pt>
                <c:pt idx="945">
                  <c:v>-0.121634124769052</c:v>
                </c:pt>
                <c:pt idx="946">
                  <c:v>-0.152842880466374</c:v>
                </c:pt>
                <c:pt idx="947">
                  <c:v>-0.14663596576703</c:v>
                </c:pt>
                <c:pt idx="948">
                  <c:v>-0.14663596576703</c:v>
                </c:pt>
                <c:pt idx="949">
                  <c:v>-0.14663596576703</c:v>
                </c:pt>
                <c:pt idx="950">
                  <c:v>-0.14663596576703</c:v>
                </c:pt>
                <c:pt idx="951">
                  <c:v>-0.14663596576703</c:v>
                </c:pt>
                <c:pt idx="952">
                  <c:v>-0.14663596576703</c:v>
                </c:pt>
                <c:pt idx="953">
                  <c:v>-0.14663596576703</c:v>
                </c:pt>
                <c:pt idx="954">
                  <c:v>-0.14663596576703</c:v>
                </c:pt>
                <c:pt idx="955">
                  <c:v>-0.14663596576703</c:v>
                </c:pt>
                <c:pt idx="956">
                  <c:v>-0.213019271256971</c:v>
                </c:pt>
                <c:pt idx="957">
                  <c:v>0</c:v>
                </c:pt>
                <c:pt idx="958">
                  <c:v>-0.0250629011034476</c:v>
                </c:pt>
                <c:pt idx="959">
                  <c:v>-0.0459486520229871</c:v>
                </c:pt>
                <c:pt idx="960">
                  <c:v>-0.0515181856015311</c:v>
                </c:pt>
                <c:pt idx="961">
                  <c:v>-0.0710115531264347</c:v>
                </c:pt>
                <c:pt idx="962">
                  <c:v>-0.0974668376245182</c:v>
                </c:pt>
                <c:pt idx="963">
                  <c:v>-0.0724039365210707</c:v>
                </c:pt>
                <c:pt idx="964">
                  <c:v>-0.157339323593865</c:v>
                </c:pt>
                <c:pt idx="965">
                  <c:v>-0.0445562686283512</c:v>
                </c:pt>
                <c:pt idx="966">
                  <c:v>-0.0598724859693469</c:v>
                </c:pt>
                <c:pt idx="967">
                  <c:v>-0.0710115531264347</c:v>
                </c:pt>
                <c:pt idx="968">
                  <c:v>-0.0891125372567023</c:v>
                </c:pt>
                <c:pt idx="969">
                  <c:v>-0.161516473777773</c:v>
                </c:pt>
                <c:pt idx="970">
                  <c:v>-0.0835430036781585</c:v>
                </c:pt>
                <c:pt idx="971">
                  <c:v>-0.111390671570878</c:v>
                </c:pt>
                <c:pt idx="972">
                  <c:v>-0.20746512580076</c:v>
                </c:pt>
                <c:pt idx="973">
                  <c:v>-0.123922122122602</c:v>
                </c:pt>
                <c:pt idx="974">
                  <c:v>-0.146200256436777</c:v>
                </c:pt>
                <c:pt idx="975">
                  <c:v>-0.329994864528726</c:v>
                </c:pt>
                <c:pt idx="976">
                  <c:v>-0.32336883654936</c:v>
                </c:pt>
                <c:pt idx="977">
                  <c:v>-0.32336883654936</c:v>
                </c:pt>
                <c:pt idx="978">
                  <c:v>-0.32336883654936</c:v>
                </c:pt>
                <c:pt idx="979">
                  <c:v>-0.32336883654936</c:v>
                </c:pt>
                <c:pt idx="980">
                  <c:v>-0.32336883654936</c:v>
                </c:pt>
                <c:pt idx="981">
                  <c:v>-0.32336883654936</c:v>
                </c:pt>
                <c:pt idx="982">
                  <c:v>-0.32336883654936</c:v>
                </c:pt>
                <c:pt idx="983">
                  <c:v>-0.32336883654936</c:v>
                </c:pt>
                <c:pt idx="984">
                  <c:v>-0.32336883654936</c:v>
                </c:pt>
                <c:pt idx="985">
                  <c:v>-0.32336883654936</c:v>
                </c:pt>
                <c:pt idx="986">
                  <c:v>-0.294886112577908</c:v>
                </c:pt>
                <c:pt idx="987">
                  <c:v>-0.207395085097237</c:v>
                </c:pt>
                <c:pt idx="988">
                  <c:v>-0.249342837998928</c:v>
                </c:pt>
                <c:pt idx="989">
                  <c:v>-0.170241361098596</c:v>
                </c:pt>
                <c:pt idx="990">
                  <c:v>-0.115110028713516</c:v>
                </c:pt>
                <c:pt idx="991">
                  <c:v>-0.220578664580626</c:v>
                </c:pt>
                <c:pt idx="992">
                  <c:v>-0.252938359676216</c:v>
                </c:pt>
                <c:pt idx="993">
                  <c:v>-0.141477187680293</c:v>
                </c:pt>
                <c:pt idx="994">
                  <c:v>-0.124698086519617</c:v>
                </c:pt>
                <c:pt idx="995">
                  <c:v>-0.111514507036228</c:v>
                </c:pt>
                <c:pt idx="996">
                  <c:v>-0.196608520065373</c:v>
                </c:pt>
                <c:pt idx="997">
                  <c:v>-0.2181816501291</c:v>
                </c:pt>
                <c:pt idx="998">
                  <c:v>-0.250541345224691</c:v>
                </c:pt>
                <c:pt idx="999">
                  <c:v>-0.164248824969783</c:v>
                </c:pt>
                <c:pt idx="1000">
                  <c:v>-0.0312145229101332</c:v>
                </c:pt>
                <c:pt idx="1001">
                  <c:v>0</c:v>
                </c:pt>
                <c:pt idx="1002">
                  <c:v>-0.0462253119764574</c:v>
                </c:pt>
                <c:pt idx="1003">
                  <c:v>-0.0566260071711604</c:v>
                </c:pt>
                <c:pt idx="1004">
                  <c:v>-0.101695686348206</c:v>
                </c:pt>
                <c:pt idx="1005">
                  <c:v>-0.0080894295958801</c:v>
                </c:pt>
                <c:pt idx="1006">
                  <c:v>0</c:v>
                </c:pt>
                <c:pt idx="1007">
                  <c:v>-0.00681565094966696</c:v>
                </c:pt>
                <c:pt idx="1008">
                  <c:v>-0.0283985456236124</c:v>
                </c:pt>
                <c:pt idx="1009">
                  <c:v>-0.0704283931465589</c:v>
                </c:pt>
                <c:pt idx="1010">
                  <c:v>-0.0283985456236124</c:v>
                </c:pt>
                <c:pt idx="1011">
                  <c:v>-0.0715643349715034</c:v>
                </c:pt>
                <c:pt idx="1012">
                  <c:v>-0.0704283931465589</c:v>
                </c:pt>
                <c:pt idx="1013">
                  <c:v>-0.131769251693562</c:v>
                </c:pt>
                <c:pt idx="1014">
                  <c:v>-0.047709556647669</c:v>
                </c:pt>
                <c:pt idx="1015">
                  <c:v>-0.077244044096226</c:v>
                </c:pt>
                <c:pt idx="1016">
                  <c:v>-0.036350138398224</c:v>
                </c:pt>
                <c:pt idx="1017">
                  <c:v>0</c:v>
                </c:pt>
                <c:pt idx="1018">
                  <c:v>-0.00197175117042459</c:v>
                </c:pt>
                <c:pt idx="1019">
                  <c:v>0</c:v>
                </c:pt>
                <c:pt idx="1020">
                  <c:v>-0.0348052481792985</c:v>
                </c:pt>
                <c:pt idx="1021">
                  <c:v>-0.0560751220666476</c:v>
                </c:pt>
                <c:pt idx="1022">
                  <c:v>-0.0599423718643474</c:v>
                </c:pt>
                <c:pt idx="1023">
                  <c:v>-0.0551083096172227</c:v>
                </c:pt>
                <c:pt idx="1024">
                  <c:v>-0.0212698738873491</c:v>
                </c:pt>
                <c:pt idx="1025">
                  <c:v>-0.0512410598195228</c:v>
                </c:pt>
                <c:pt idx="1026">
                  <c:v>-0.0270707485838989</c:v>
                </c:pt>
                <c:pt idx="1027">
                  <c:v>-0.0870131204482462</c:v>
                </c:pt>
                <c:pt idx="1028">
                  <c:v>-0.0541414971677977</c:v>
                </c:pt>
                <c:pt idx="1029">
                  <c:v>-0.047373810021823</c:v>
                </c:pt>
                <c:pt idx="1030">
                  <c:v>-0.11311705658272</c:v>
                </c:pt>
                <c:pt idx="1031">
                  <c:v>-0.144055054964319</c:v>
                </c:pt>
                <c:pt idx="1032">
                  <c:v>-0.13071433224552</c:v>
                </c:pt>
                <c:pt idx="1033">
                  <c:v>-0.13071433224552</c:v>
                </c:pt>
                <c:pt idx="1034">
                  <c:v>-0.13071433224552</c:v>
                </c:pt>
                <c:pt idx="1035">
                  <c:v>-0.13071433224552</c:v>
                </c:pt>
                <c:pt idx="1036">
                  <c:v>-0.13071433224552</c:v>
                </c:pt>
                <c:pt idx="1037">
                  <c:v>-0.13071433224552</c:v>
                </c:pt>
                <c:pt idx="1038">
                  <c:v>-0.13071433224552</c:v>
                </c:pt>
                <c:pt idx="1039">
                  <c:v>-0.13071433224552</c:v>
                </c:pt>
                <c:pt idx="1040">
                  <c:v>-0.13071433224552</c:v>
                </c:pt>
                <c:pt idx="1041">
                  <c:v>-0.13071433224552</c:v>
                </c:pt>
                <c:pt idx="1042">
                  <c:v>-0.13071433224552</c:v>
                </c:pt>
                <c:pt idx="1043">
                  <c:v>-0.13071433224552</c:v>
                </c:pt>
                <c:pt idx="1044">
                  <c:v>-0.13071433224552</c:v>
                </c:pt>
                <c:pt idx="1045">
                  <c:v>-0.13071433224552</c:v>
                </c:pt>
                <c:pt idx="1046">
                  <c:v>-0.13071433224552</c:v>
                </c:pt>
                <c:pt idx="1047">
                  <c:v>-0.13071433224552</c:v>
                </c:pt>
                <c:pt idx="1048">
                  <c:v>-0.13071433224552</c:v>
                </c:pt>
                <c:pt idx="1049">
                  <c:v>-0.13071433224552</c:v>
                </c:pt>
                <c:pt idx="1050">
                  <c:v>-0.13071433224552</c:v>
                </c:pt>
                <c:pt idx="1051">
                  <c:v>-0.13071433224552</c:v>
                </c:pt>
                <c:pt idx="1052">
                  <c:v>-0.13071433224552</c:v>
                </c:pt>
                <c:pt idx="1053">
                  <c:v>-0.13071433224552</c:v>
                </c:pt>
                <c:pt idx="1054">
                  <c:v>-0.13071433224552</c:v>
                </c:pt>
                <c:pt idx="1055">
                  <c:v>-0.13071433224552</c:v>
                </c:pt>
                <c:pt idx="1056">
                  <c:v>-0.13071433224552</c:v>
                </c:pt>
                <c:pt idx="1057">
                  <c:v>-0.13071433224552</c:v>
                </c:pt>
                <c:pt idx="1058">
                  <c:v>-0.0521890502314826</c:v>
                </c:pt>
                <c:pt idx="1059">
                  <c:v>-0.0857893373065345</c:v>
                </c:pt>
                <c:pt idx="1060">
                  <c:v>0</c:v>
                </c:pt>
                <c:pt idx="1061">
                  <c:v>-0.0503448877318459</c:v>
                </c:pt>
                <c:pt idx="1062">
                  <c:v>0</c:v>
                </c:pt>
                <c:pt idx="1063">
                  <c:v>-0.137745724743601</c:v>
                </c:pt>
                <c:pt idx="1064">
                  <c:v>-0.154481186628337</c:v>
                </c:pt>
                <c:pt idx="1065">
                  <c:v>-0.220135690945381</c:v>
                </c:pt>
                <c:pt idx="1066">
                  <c:v>-0.144182440853115</c:v>
                </c:pt>
                <c:pt idx="1067">
                  <c:v>-0.020597491550445</c:v>
                </c:pt>
                <c:pt idx="1068">
                  <c:v>-0.0218848347723478</c:v>
                </c:pt>
                <c:pt idx="1069">
                  <c:v>-0.0321835805475703</c:v>
                </c:pt>
                <c:pt idx="1070">
                  <c:v>-0.0939760551989052</c:v>
                </c:pt>
                <c:pt idx="1071">
                  <c:v>-0.00772405933141684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-0.0141403565537505</c:v>
                </c:pt>
                <c:pt idx="1076">
                  <c:v>0</c:v>
                </c:pt>
                <c:pt idx="1077">
                  <c:v>-0.0569139421331805</c:v>
                </c:pt>
                <c:pt idx="1078">
                  <c:v>-0.0111961853376749</c:v>
                </c:pt>
                <c:pt idx="1079">
                  <c:v>0</c:v>
                </c:pt>
                <c:pt idx="1080">
                  <c:v>-0.0594169779894449</c:v>
                </c:pt>
                <c:pt idx="1081">
                  <c:v>-0.179151191210599</c:v>
                </c:pt>
                <c:pt idx="1082">
                  <c:v>-0.194455564329093</c:v>
                </c:pt>
                <c:pt idx="1083">
                  <c:v>-0.151243216700405</c:v>
                </c:pt>
                <c:pt idx="1084">
                  <c:v>-0.108030869071718</c:v>
                </c:pt>
                <c:pt idx="1085">
                  <c:v>-0.189954278117771</c:v>
                </c:pt>
                <c:pt idx="1086">
                  <c:v>-0.139539872550969</c:v>
                </c:pt>
                <c:pt idx="1087">
                  <c:v>-0.194455564329093</c:v>
                </c:pt>
                <c:pt idx="1088">
                  <c:v>-0.188153763633242</c:v>
                </c:pt>
                <c:pt idx="1089">
                  <c:v>-0.208472140271393</c:v>
                </c:pt>
                <c:pt idx="1090">
                  <c:v>-0.28370823700447</c:v>
                </c:pt>
                <c:pt idx="1091">
                  <c:v>-0.348022964856939</c:v>
                </c:pt>
                <c:pt idx="1092">
                  <c:v>-0.259438528380897</c:v>
                </c:pt>
                <c:pt idx="1093">
                  <c:v>-0.197550771390785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-0.0778272934913986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-0.0202237563470447</c:v>
                </c:pt>
                <c:pt idx="1103">
                  <c:v>0</c:v>
                </c:pt>
                <c:pt idx="1104">
                  <c:v>-0.0156729939062885</c:v>
                </c:pt>
                <c:pt idx="1105">
                  <c:v>0</c:v>
                </c:pt>
                <c:pt idx="1106">
                  <c:v>0</c:v>
                </c:pt>
                <c:pt idx="1107">
                  <c:v>-0.0115006301288895</c:v>
                </c:pt>
                <c:pt idx="1108">
                  <c:v>-0.0989054191084496</c:v>
                </c:pt>
                <c:pt idx="1109">
                  <c:v>-0.181709956036454</c:v>
                </c:pt>
                <c:pt idx="1110">
                  <c:v>-0.149508191675563</c:v>
                </c:pt>
                <c:pt idx="1111">
                  <c:v>-0.126506931417784</c:v>
                </c:pt>
                <c:pt idx="1112">
                  <c:v>-0.130340474794081</c:v>
                </c:pt>
                <c:pt idx="1113">
                  <c:v>-0.0360353077371871</c:v>
                </c:pt>
                <c:pt idx="1114">
                  <c:v>-0.122673388041488</c:v>
                </c:pt>
                <c:pt idx="1115">
                  <c:v>-0.0782042848764486</c:v>
                </c:pt>
                <c:pt idx="1116">
                  <c:v>-0.0291349296598534</c:v>
                </c:pt>
                <c:pt idx="1117">
                  <c:v>-0.0483026465413359</c:v>
                </c:pt>
                <c:pt idx="1118">
                  <c:v>-0.0490693552165952</c:v>
                </c:pt>
                <c:pt idx="1119">
                  <c:v>-0.0375687250877057</c:v>
                </c:pt>
                <c:pt idx="1120">
                  <c:v>-0.0329684730361499</c:v>
                </c:pt>
                <c:pt idx="1121">
                  <c:v>0</c:v>
                </c:pt>
                <c:pt idx="1122">
                  <c:v>-0.0220318474793865</c:v>
                </c:pt>
                <c:pt idx="1123">
                  <c:v>-0.115477269547129</c:v>
                </c:pt>
                <c:pt idx="1124">
                  <c:v>-0.101042610853738</c:v>
                </c:pt>
                <c:pt idx="1125">
                  <c:v>-0.153463213477106</c:v>
                </c:pt>
                <c:pt idx="1126">
                  <c:v>-0.181572811985288</c:v>
                </c:pt>
                <c:pt idx="1127">
                  <c:v>-0.172636112196509</c:v>
                </c:pt>
                <c:pt idx="1128">
                  <c:v>-0.172636112196509</c:v>
                </c:pt>
                <c:pt idx="1129">
                  <c:v>-0.172636112196509</c:v>
                </c:pt>
                <c:pt idx="1130">
                  <c:v>-0.172636112196509</c:v>
                </c:pt>
                <c:pt idx="1131">
                  <c:v>-0.172636112196509</c:v>
                </c:pt>
                <c:pt idx="1132">
                  <c:v>-0.172636112196509</c:v>
                </c:pt>
                <c:pt idx="1133">
                  <c:v>-0.172636112196509</c:v>
                </c:pt>
                <c:pt idx="1134">
                  <c:v>-0.172636112196509</c:v>
                </c:pt>
                <c:pt idx="1135">
                  <c:v>-0.172636112196509</c:v>
                </c:pt>
                <c:pt idx="1136">
                  <c:v>-0.172636112196509</c:v>
                </c:pt>
                <c:pt idx="1137">
                  <c:v>0</c:v>
                </c:pt>
                <c:pt idx="1138">
                  <c:v>-0.0109338584788575</c:v>
                </c:pt>
                <c:pt idx="1139">
                  <c:v>0</c:v>
                </c:pt>
                <c:pt idx="1140">
                  <c:v>-0.0638559870749363</c:v>
                </c:pt>
                <c:pt idx="1141">
                  <c:v>0</c:v>
                </c:pt>
                <c:pt idx="1142">
                  <c:v>-0.00750307463162581</c:v>
                </c:pt>
                <c:pt idx="1143">
                  <c:v>0</c:v>
                </c:pt>
                <c:pt idx="1144">
                  <c:v>0</c:v>
                </c:pt>
                <c:pt idx="1145">
                  <c:v>-0.0439718847702275</c:v>
                </c:pt>
                <c:pt idx="1146">
                  <c:v>-0.105532523448546</c:v>
                </c:pt>
                <c:pt idx="1147">
                  <c:v>-0.0824472839441764</c:v>
                </c:pt>
                <c:pt idx="1148">
                  <c:v>-0.308902490510848</c:v>
                </c:pt>
                <c:pt idx="1149">
                  <c:v>-0.281420062529456</c:v>
                </c:pt>
                <c:pt idx="1150">
                  <c:v>-0.248441148951785</c:v>
                </c:pt>
                <c:pt idx="1151">
                  <c:v>-0.23195169216295</c:v>
                </c:pt>
                <c:pt idx="1152">
                  <c:v>-0.230852395043694</c:v>
                </c:pt>
                <c:pt idx="1153">
                  <c:v>-0.32868983865745</c:v>
                </c:pt>
                <c:pt idx="1154">
                  <c:v>-0.260533417263598</c:v>
                </c:pt>
                <c:pt idx="1155">
                  <c:v>-0.239928778495624</c:v>
                </c:pt>
                <c:pt idx="1156">
                  <c:v>-0.239928778495624</c:v>
                </c:pt>
                <c:pt idx="1157">
                  <c:v>-0.239928778495624</c:v>
                </c:pt>
                <c:pt idx="1158">
                  <c:v>-0.239928778495624</c:v>
                </c:pt>
                <c:pt idx="1159">
                  <c:v>-0.239928778495624</c:v>
                </c:pt>
                <c:pt idx="1160">
                  <c:v>-0.239928778495624</c:v>
                </c:pt>
                <c:pt idx="1161">
                  <c:v>-0.239928778495624</c:v>
                </c:pt>
                <c:pt idx="1162">
                  <c:v>-0.239928778495624</c:v>
                </c:pt>
                <c:pt idx="1163">
                  <c:v>-0.269703765317087</c:v>
                </c:pt>
                <c:pt idx="1164">
                  <c:v>-0.297934490553996</c:v>
                </c:pt>
                <c:pt idx="1165">
                  <c:v>-0.356850786700589</c:v>
                </c:pt>
                <c:pt idx="1166">
                  <c:v>-0.391218626119434</c:v>
                </c:pt>
                <c:pt idx="1167">
                  <c:v>-0.428041311211055</c:v>
                </c:pt>
                <c:pt idx="1168">
                  <c:v>-0.410857391501632</c:v>
                </c:pt>
                <c:pt idx="1169">
                  <c:v>-0.484502761684873</c:v>
                </c:pt>
                <c:pt idx="1170">
                  <c:v>-0.469773687648224</c:v>
                </c:pt>
                <c:pt idx="1171">
                  <c:v>-0.403492854483308</c:v>
                </c:pt>
                <c:pt idx="1172">
                  <c:v>-0.452589767938802</c:v>
                </c:pt>
                <c:pt idx="1173">
                  <c:v>-0.375262129246399</c:v>
                </c:pt>
                <c:pt idx="1174">
                  <c:v>-0.331074907136454</c:v>
                </c:pt>
                <c:pt idx="1175">
                  <c:v>-0.210787469170494</c:v>
                </c:pt>
                <c:pt idx="1176">
                  <c:v>-0.225516543207142</c:v>
                </c:pt>
                <c:pt idx="1177">
                  <c:v>-0.205877777824945</c:v>
                </c:pt>
                <c:pt idx="1178">
                  <c:v>-0.235335925898241</c:v>
                </c:pt>
                <c:pt idx="1179">
                  <c:v>-0.196058395133846</c:v>
                </c:pt>
                <c:pt idx="1180">
                  <c:v>-0.22674396604353</c:v>
                </c:pt>
                <c:pt idx="1181">
                  <c:v>-0.237790771571016</c:v>
                </c:pt>
                <c:pt idx="1182">
                  <c:v>-0.311436141754257</c:v>
                </c:pt>
                <c:pt idx="1183">
                  <c:v>-0.267248919644312</c:v>
                </c:pt>
                <c:pt idx="1184">
                  <c:v>-0.232881080225466</c:v>
                </c:pt>
                <c:pt idx="1185">
                  <c:v>-0.252519845607664</c:v>
                </c:pt>
                <c:pt idx="1186">
                  <c:v>-0.248837577098502</c:v>
                </c:pt>
                <c:pt idx="1187">
                  <c:v>-0.237790771571016</c:v>
                </c:pt>
                <c:pt idx="1188">
                  <c:v>-0.339666866991166</c:v>
                </c:pt>
                <c:pt idx="1189">
                  <c:v>-0.428041311211055</c:v>
                </c:pt>
                <c:pt idx="1190">
                  <c:v>-0.40226543164692</c:v>
                </c:pt>
                <c:pt idx="1191">
                  <c:v>-0.424359042701893</c:v>
                </c:pt>
                <c:pt idx="1192">
                  <c:v>-0.415767082847181</c:v>
                </c:pt>
                <c:pt idx="1193">
                  <c:v>-0.394900894628596</c:v>
                </c:pt>
                <c:pt idx="1194">
                  <c:v>-0.413312237174406</c:v>
                </c:pt>
                <c:pt idx="1195">
                  <c:v>-0.413312237174406</c:v>
                </c:pt>
                <c:pt idx="1196">
                  <c:v>-0.435405848229379</c:v>
                </c:pt>
                <c:pt idx="1197">
                  <c:v>-0.446452653756865</c:v>
                </c:pt>
                <c:pt idx="1198">
                  <c:v>-0.446790113208682</c:v>
                </c:pt>
                <c:pt idx="1199">
                  <c:v>-0.446790113208682</c:v>
                </c:pt>
                <c:pt idx="1200">
                  <c:v>-0.446790113208682</c:v>
                </c:pt>
                <c:pt idx="1201">
                  <c:v>-0.446790113208682</c:v>
                </c:pt>
                <c:pt idx="1202">
                  <c:v>-0.446790113208682</c:v>
                </c:pt>
                <c:pt idx="1203">
                  <c:v>-0.446790113208682</c:v>
                </c:pt>
                <c:pt idx="1204">
                  <c:v>-0.446790113208682</c:v>
                </c:pt>
                <c:pt idx="1205">
                  <c:v>-0.446790113208682</c:v>
                </c:pt>
                <c:pt idx="1206">
                  <c:v>-0.446790113208682</c:v>
                </c:pt>
                <c:pt idx="1207">
                  <c:v>-0.446790113208682</c:v>
                </c:pt>
                <c:pt idx="1208">
                  <c:v>-0.446790113208682</c:v>
                </c:pt>
                <c:pt idx="1209">
                  <c:v>-0.446790113208682</c:v>
                </c:pt>
                <c:pt idx="1210">
                  <c:v>-0.446790113208682</c:v>
                </c:pt>
                <c:pt idx="1211">
                  <c:v>-0.446790113208682</c:v>
                </c:pt>
                <c:pt idx="1212">
                  <c:v>-0.446790113208682</c:v>
                </c:pt>
                <c:pt idx="1213">
                  <c:v>-0.446790113208682</c:v>
                </c:pt>
                <c:pt idx="1214">
                  <c:v>-0.446790113208682</c:v>
                </c:pt>
                <c:pt idx="1215">
                  <c:v>-0.446790113208682</c:v>
                </c:pt>
                <c:pt idx="1216">
                  <c:v>-0.446790113208682</c:v>
                </c:pt>
                <c:pt idx="1217">
                  <c:v>-0.446790113208682</c:v>
                </c:pt>
                <c:pt idx="1218">
                  <c:v>-0.446790113208682</c:v>
                </c:pt>
                <c:pt idx="1219">
                  <c:v>-0.465948936522596</c:v>
                </c:pt>
                <c:pt idx="1220">
                  <c:v>-0.475413012603162</c:v>
                </c:pt>
                <c:pt idx="1221">
                  <c:v>-0.43471748545673</c:v>
                </c:pt>
                <c:pt idx="1222">
                  <c:v>-0.478252235427332</c:v>
                </c:pt>
                <c:pt idx="1223">
                  <c:v>-0.529358246262386</c:v>
                </c:pt>
                <c:pt idx="1224">
                  <c:v>-0.512322909317368</c:v>
                </c:pt>
                <c:pt idx="1225">
                  <c:v>-0.510430094101255</c:v>
                </c:pt>
                <c:pt idx="1226">
                  <c:v>-0.518001354965707</c:v>
                </c:pt>
                <c:pt idx="1227">
                  <c:v>-0.490555534332067</c:v>
                </c:pt>
                <c:pt idx="1228">
                  <c:v>-0.461216898482314</c:v>
                </c:pt>
                <c:pt idx="1229">
                  <c:v>-0.391182735486128</c:v>
                </c:pt>
                <c:pt idx="1230">
                  <c:v>-0.34102313225913</c:v>
                </c:pt>
                <c:pt idx="1231">
                  <c:v>-0.34102313225913</c:v>
                </c:pt>
                <c:pt idx="1232">
                  <c:v>-0.279506637735454</c:v>
                </c:pt>
                <c:pt idx="1233">
                  <c:v>-0.317362942057716</c:v>
                </c:pt>
                <c:pt idx="1234">
                  <c:v>-0.349540800731639</c:v>
                </c:pt>
                <c:pt idx="1235">
                  <c:v>-0.382665067013619</c:v>
                </c:pt>
                <c:pt idx="1236">
                  <c:v>-0.293702751856302</c:v>
                </c:pt>
                <c:pt idx="1237">
                  <c:v>-0.37698662136528</c:v>
                </c:pt>
                <c:pt idx="1238">
                  <c:v>-0.382665067013619</c:v>
                </c:pt>
                <c:pt idx="1239">
                  <c:v>-0.350487208339696</c:v>
                </c:pt>
                <c:pt idx="1240">
                  <c:v>-0.355219246379979</c:v>
                </c:pt>
                <c:pt idx="1241">
                  <c:v>-0.333451871394678</c:v>
                </c:pt>
                <c:pt idx="1242">
                  <c:v>-0.421467778943938</c:v>
                </c:pt>
                <c:pt idx="1243">
                  <c:v>-0.411057295255316</c:v>
                </c:pt>
                <c:pt idx="1244">
                  <c:v>-0.446074376753409</c:v>
                </c:pt>
                <c:pt idx="1245">
                  <c:v>-0.506644463669028</c:v>
                </c:pt>
                <c:pt idx="1246">
                  <c:v>-0.505934594797366</c:v>
                </c:pt>
                <c:pt idx="1247">
                  <c:v>-0.505934594797366</c:v>
                </c:pt>
                <c:pt idx="1248">
                  <c:v>-0.505934594797366</c:v>
                </c:pt>
                <c:pt idx="1249">
                  <c:v>-0.505934594797366</c:v>
                </c:pt>
                <c:pt idx="1250">
                  <c:v>-0.505934594797366</c:v>
                </c:pt>
                <c:pt idx="1251">
                  <c:v>-0.505934594797366</c:v>
                </c:pt>
                <c:pt idx="1252">
                  <c:v>-0.505934594797366</c:v>
                </c:pt>
                <c:pt idx="1253">
                  <c:v>-0.505934594797366</c:v>
                </c:pt>
                <c:pt idx="1254">
                  <c:v>-0.505934594797366</c:v>
                </c:pt>
                <c:pt idx="1255">
                  <c:v>-0.505934594797366</c:v>
                </c:pt>
                <c:pt idx="1256">
                  <c:v>-0.505934594797366</c:v>
                </c:pt>
                <c:pt idx="1257">
                  <c:v>-0.505934594797366</c:v>
                </c:pt>
                <c:pt idx="1258">
                  <c:v>-0.505934594797366</c:v>
                </c:pt>
                <c:pt idx="1259">
                  <c:v>-0.505934594797366</c:v>
                </c:pt>
                <c:pt idx="1260">
                  <c:v>-0.505934594797366</c:v>
                </c:pt>
                <c:pt idx="1261">
                  <c:v>-0.505934594797366</c:v>
                </c:pt>
                <c:pt idx="1262">
                  <c:v>-0.505934594797366</c:v>
                </c:pt>
                <c:pt idx="1263">
                  <c:v>-0.505934594797366</c:v>
                </c:pt>
                <c:pt idx="1264">
                  <c:v>-0.505934594797366</c:v>
                </c:pt>
                <c:pt idx="1265">
                  <c:v>-0.505934594797366</c:v>
                </c:pt>
                <c:pt idx="1266">
                  <c:v>-0.505934594797366</c:v>
                </c:pt>
                <c:pt idx="1267">
                  <c:v>-0.505934594797366</c:v>
                </c:pt>
                <c:pt idx="1268">
                  <c:v>-0.505934594797366</c:v>
                </c:pt>
                <c:pt idx="1269">
                  <c:v>-0.505934594797366</c:v>
                </c:pt>
                <c:pt idx="1270">
                  <c:v>-0.505934594797366</c:v>
                </c:pt>
                <c:pt idx="1271">
                  <c:v>-0.505934594797366</c:v>
                </c:pt>
                <c:pt idx="1272">
                  <c:v>-0.505934594797366</c:v>
                </c:pt>
                <c:pt idx="1273">
                  <c:v>-0.505934594797366</c:v>
                </c:pt>
                <c:pt idx="1274">
                  <c:v>-0.505934594797366</c:v>
                </c:pt>
                <c:pt idx="1275">
                  <c:v>-0.505934594797366</c:v>
                </c:pt>
                <c:pt idx="1276">
                  <c:v>-0.505934594797366</c:v>
                </c:pt>
                <c:pt idx="1277">
                  <c:v>-0.505934594797366</c:v>
                </c:pt>
                <c:pt idx="1278">
                  <c:v>-0.505934594797366</c:v>
                </c:pt>
                <c:pt idx="1279">
                  <c:v>-0.505934594797366</c:v>
                </c:pt>
                <c:pt idx="1280">
                  <c:v>-0.505934594797366</c:v>
                </c:pt>
                <c:pt idx="1281">
                  <c:v>-0.505934594797366</c:v>
                </c:pt>
                <c:pt idx="1282">
                  <c:v>-0.505934594797366</c:v>
                </c:pt>
                <c:pt idx="1283">
                  <c:v>-0.505934594797366</c:v>
                </c:pt>
                <c:pt idx="1284">
                  <c:v>-0.505934594797366</c:v>
                </c:pt>
                <c:pt idx="1285">
                  <c:v>-0.503491951573842</c:v>
                </c:pt>
                <c:pt idx="1286">
                  <c:v>-0.486717172809882</c:v>
                </c:pt>
                <c:pt idx="1287">
                  <c:v>-0.477888341881482</c:v>
                </c:pt>
                <c:pt idx="1288">
                  <c:v>-0.479654108067162</c:v>
                </c:pt>
                <c:pt idx="1289">
                  <c:v>-0.489365822088402</c:v>
                </c:pt>
                <c:pt idx="1290">
                  <c:v>-0.464645095488881</c:v>
                </c:pt>
                <c:pt idx="1291">
                  <c:v>-0.467293744767401</c:v>
                </c:pt>
                <c:pt idx="1292">
                  <c:v>-0.482302757345682</c:v>
                </c:pt>
                <c:pt idx="1293">
                  <c:v>-0.441690135075041</c:v>
                </c:pt>
                <c:pt idx="1294">
                  <c:v>-0.455816264560481</c:v>
                </c:pt>
                <c:pt idx="1295">
                  <c:v>-0.473473926417282</c:v>
                </c:pt>
                <c:pt idx="1296">
                  <c:v>-0.458464913839001</c:v>
                </c:pt>
                <c:pt idx="1297">
                  <c:v>-0.493780237552602</c:v>
                </c:pt>
                <c:pt idx="1298">
                  <c:v>-0.506140600852362</c:v>
                </c:pt>
                <c:pt idx="1299">
                  <c:v>-0.507023483945202</c:v>
                </c:pt>
                <c:pt idx="1300">
                  <c:v>-0.526446911987683</c:v>
                </c:pt>
                <c:pt idx="1301">
                  <c:v>-0.556464937144244</c:v>
                </c:pt>
                <c:pt idx="1302">
                  <c:v>-0.547636106215844</c:v>
                </c:pt>
                <c:pt idx="1303">
                  <c:v>-0.554699170958564</c:v>
                </c:pt>
                <c:pt idx="1304">
                  <c:v>-0.570591066629684</c:v>
                </c:pt>
                <c:pt idx="1305">
                  <c:v>-0.572356832815364</c:v>
                </c:pt>
                <c:pt idx="1306">
                  <c:v>-0.579633231542751</c:v>
                </c:pt>
                <c:pt idx="1307">
                  <c:v>-0.579633231542751</c:v>
                </c:pt>
                <c:pt idx="1308">
                  <c:v>-0.579633231542751</c:v>
                </c:pt>
                <c:pt idx="1309">
                  <c:v>-0.579633231542751</c:v>
                </c:pt>
                <c:pt idx="1310">
                  <c:v>-0.59318728687911</c:v>
                </c:pt>
                <c:pt idx="1311">
                  <c:v>-0.569246081449365</c:v>
                </c:pt>
                <c:pt idx="1312">
                  <c:v>-0.562204550440616</c:v>
                </c:pt>
                <c:pt idx="1313">
                  <c:v>-0.603045430291358</c:v>
                </c:pt>
                <c:pt idx="1314">
                  <c:v>-0.575583459357238</c:v>
                </c:pt>
                <c:pt idx="1315">
                  <c:v>-0.587554062072111</c:v>
                </c:pt>
                <c:pt idx="1316">
                  <c:v>-0.555163019431868</c:v>
                </c:pt>
                <c:pt idx="1317">
                  <c:v>-0.562908703541491</c:v>
                </c:pt>
                <c:pt idx="1318">
                  <c:v>-0.52206782369075</c:v>
                </c:pt>
                <c:pt idx="1319">
                  <c:v>-0.469256341125137</c:v>
                </c:pt>
                <c:pt idx="1320">
                  <c:v>-0.516434598883751</c:v>
                </c:pt>
                <c:pt idx="1321">
                  <c:v>-0.455877432208514</c:v>
                </c:pt>
                <c:pt idx="1322">
                  <c:v>-0.506576455471503</c:v>
                </c:pt>
                <c:pt idx="1323">
                  <c:v>-0.512209680278502</c:v>
                </c:pt>
                <c:pt idx="1324">
                  <c:v>-0.549529794624869</c:v>
                </c:pt>
                <c:pt idx="1325">
                  <c:v>-0.536150885708247</c:v>
                </c:pt>
                <c:pt idx="1326">
                  <c:v>-0.574175153155489</c:v>
                </c:pt>
                <c:pt idx="1327">
                  <c:v>-0.562204550440616</c:v>
                </c:pt>
                <c:pt idx="1328">
                  <c:v>-0.567837775247615</c:v>
                </c:pt>
                <c:pt idx="1329">
                  <c:v>-0.603045430291358</c:v>
                </c:pt>
                <c:pt idx="1330">
                  <c:v>-0.597412205484359</c:v>
                </c:pt>
                <c:pt idx="1331">
                  <c:v>-0.578400071760738</c:v>
                </c:pt>
                <c:pt idx="1332">
                  <c:v>-0.522771976791625</c:v>
                </c:pt>
                <c:pt idx="1333">
                  <c:v>-0.536150885708247</c:v>
                </c:pt>
                <c:pt idx="1334">
                  <c:v>-0.473481259730386</c:v>
                </c:pt>
                <c:pt idx="1335">
                  <c:v>-0.518547058186376</c:v>
                </c:pt>
                <c:pt idx="1336">
                  <c:v>-0.544600722918745</c:v>
                </c:pt>
                <c:pt idx="1337">
                  <c:v>-0.519251211287251</c:v>
                </c:pt>
                <c:pt idx="1338">
                  <c:v>-0.506576455471503</c:v>
                </c:pt>
                <c:pt idx="1339">
                  <c:v>-0.514322139581127</c:v>
                </c:pt>
                <c:pt idx="1340">
                  <c:v>-0.506576455471503</c:v>
                </c:pt>
                <c:pt idx="1341">
                  <c:v>-0.494605852756631</c:v>
                </c:pt>
                <c:pt idx="1342">
                  <c:v>-0.534742579506497</c:v>
                </c:pt>
                <c:pt idx="1343">
                  <c:v>-0.521363670589875</c:v>
                </c:pt>
                <c:pt idx="1344">
                  <c:v>-0.534038426405622</c:v>
                </c:pt>
                <c:pt idx="1345">
                  <c:v>-0.522771976791625</c:v>
                </c:pt>
                <c:pt idx="1346">
                  <c:v>-0.548825641523994</c:v>
                </c:pt>
                <c:pt idx="1347">
                  <c:v>-0.565197787913585</c:v>
                </c:pt>
                <c:pt idx="1348">
                  <c:v>-0.565197787913585</c:v>
                </c:pt>
                <c:pt idx="1349">
                  <c:v>-0.559909353359239</c:v>
                </c:pt>
                <c:pt idx="1350">
                  <c:v>-0.517520198035932</c:v>
                </c:pt>
                <c:pt idx="1351">
                  <c:v>-0.515469109875127</c:v>
                </c:pt>
                <c:pt idx="1352">
                  <c:v>-0.503162580910296</c:v>
                </c:pt>
                <c:pt idx="1353">
                  <c:v>-0.53666368753678</c:v>
                </c:pt>
                <c:pt idx="1354">
                  <c:v>-0.51273432566072</c:v>
                </c:pt>
                <c:pt idx="1355">
                  <c:v>-0.468294082176608</c:v>
                </c:pt>
                <c:pt idx="1356">
                  <c:v>-0.490172355891863</c:v>
                </c:pt>
                <c:pt idx="1357">
                  <c:v>-0.527775638839958</c:v>
                </c:pt>
                <c:pt idx="1358">
                  <c:v>-0.520254982250339</c:v>
                </c:pt>
                <c:pt idx="1359">
                  <c:v>-0.486753875623854</c:v>
                </c:pt>
                <c:pt idx="1360">
                  <c:v>-0.47718213087343</c:v>
                </c:pt>
                <c:pt idx="1361">
                  <c:v>-0.450517984782963</c:v>
                </c:pt>
                <c:pt idx="1362">
                  <c:v>-0.460089729533387</c:v>
                </c:pt>
                <c:pt idx="1363">
                  <c:v>-0.48880496378466</c:v>
                </c:pt>
                <c:pt idx="1364">
                  <c:v>-0.480600611141439</c:v>
                </c:pt>
                <c:pt idx="1365">
                  <c:v>-0.482651699302244</c:v>
                </c:pt>
                <c:pt idx="1366">
                  <c:v>-0.494274532213473</c:v>
                </c:pt>
                <c:pt idx="1367">
                  <c:v>-0.533245207268772</c:v>
                </c:pt>
                <c:pt idx="1368">
                  <c:v>-0.499060404588685</c:v>
                </c:pt>
                <c:pt idx="1369">
                  <c:v>-0.518203894089534</c:v>
                </c:pt>
                <c:pt idx="1370">
                  <c:v>-0.530510423054365</c:v>
                </c:pt>
                <c:pt idx="1371">
                  <c:v>-0.539398471751187</c:v>
                </c:pt>
                <c:pt idx="1372">
                  <c:v>-0.563327833627248</c:v>
                </c:pt>
                <c:pt idx="1373">
                  <c:v>-0.554439784930425</c:v>
                </c:pt>
                <c:pt idx="1374">
                  <c:v>-0.587257195503308</c:v>
                </c:pt>
                <c:pt idx="1375">
                  <c:v>-0.557174569144832</c:v>
                </c:pt>
                <c:pt idx="1376">
                  <c:v>-0.524357158571949</c:v>
                </c:pt>
                <c:pt idx="1377">
                  <c:v>-0.523673462518348</c:v>
                </c:pt>
                <c:pt idx="1378">
                  <c:v>-0.525724550679153</c:v>
                </c:pt>
                <c:pt idx="1379">
                  <c:v>-0.547602824394408</c:v>
                </c:pt>
                <c:pt idx="1380">
                  <c:v>-0.534612599375975</c:v>
                </c:pt>
                <c:pt idx="1381">
                  <c:v>-0.514060816952513</c:v>
                </c:pt>
                <c:pt idx="1382">
                  <c:v>-0.486094956643456</c:v>
                </c:pt>
                <c:pt idx="1383">
                  <c:v>-0.409368109128864</c:v>
                </c:pt>
                <c:pt idx="1384">
                  <c:v>-0.404348595740059</c:v>
                </c:pt>
                <c:pt idx="1385">
                  <c:v>-0.432314456049116</c:v>
                </c:pt>
                <c:pt idx="1386">
                  <c:v>-0.443070556167984</c:v>
                </c:pt>
                <c:pt idx="1387">
                  <c:v>-0.428729089342826</c:v>
                </c:pt>
                <c:pt idx="1388">
                  <c:v>-0.491114470032261</c:v>
                </c:pt>
                <c:pt idx="1389">
                  <c:v>-0.49828520344484</c:v>
                </c:pt>
                <c:pt idx="1390">
                  <c:v>-0.51836325700006</c:v>
                </c:pt>
                <c:pt idx="1391">
                  <c:v>-0.504021790174903</c:v>
                </c:pt>
                <c:pt idx="1392">
                  <c:v>-0.537724237214023</c:v>
                </c:pt>
                <c:pt idx="1393">
                  <c:v>-0.499719350127356</c:v>
                </c:pt>
                <c:pt idx="1394">
                  <c:v>-0.480358369913393</c:v>
                </c:pt>
                <c:pt idx="1395">
                  <c:v>-0.473904709842072</c:v>
                </c:pt>
                <c:pt idx="1396">
                  <c:v>-0.481075443254651</c:v>
                </c:pt>
                <c:pt idx="1397">
                  <c:v>-0.483943736619682</c:v>
                </c:pt>
                <c:pt idx="1398">
                  <c:v>-0.471036416477041</c:v>
                </c:pt>
                <c:pt idx="1399">
                  <c:v>-0.438768116120437</c:v>
                </c:pt>
                <c:pt idx="1400">
                  <c:v>-0.406499815763832</c:v>
                </c:pt>
                <c:pt idx="1401">
                  <c:v>-0.397894935668738</c:v>
                </c:pt>
                <c:pt idx="1402">
                  <c:v>-0.396460788986222</c:v>
                </c:pt>
                <c:pt idx="1403">
                  <c:v>-0.395026642303706</c:v>
                </c:pt>
                <c:pt idx="1404">
                  <c:v>-0.349133948463202</c:v>
                </c:pt>
                <c:pt idx="1405">
                  <c:v>-0.354153461852008</c:v>
                </c:pt>
                <c:pt idx="1406">
                  <c:v>-0.348416875121945</c:v>
                </c:pt>
                <c:pt idx="1407">
                  <c:v>-0.329055894907982</c:v>
                </c:pt>
                <c:pt idx="1408">
                  <c:v>-0.279577834361189</c:v>
                </c:pt>
                <c:pt idx="1409">
                  <c:v>-0.319016868130372</c:v>
                </c:pt>
                <c:pt idx="1410">
                  <c:v>-0.334075408296787</c:v>
                </c:pt>
                <c:pt idx="1411">
                  <c:v>-0.347699801780687</c:v>
                </c:pt>
                <c:pt idx="1412">
                  <c:v>-0.331924188273014</c:v>
                </c:pt>
                <c:pt idx="1413">
                  <c:v>-0.336943701661819</c:v>
                </c:pt>
                <c:pt idx="1414">
                  <c:v>-0.341963215050624</c:v>
                </c:pt>
                <c:pt idx="1415">
                  <c:v>-0.398612009009996</c:v>
                </c:pt>
                <c:pt idx="1416">
                  <c:v>-0.414387622517669</c:v>
                </c:pt>
                <c:pt idx="1417">
                  <c:v>-0.402197375716285</c:v>
                </c:pt>
                <c:pt idx="1418">
                  <c:v>-0.395026642303706</c:v>
                </c:pt>
                <c:pt idx="1419">
                  <c:v>-0.395743715644964</c:v>
                </c:pt>
                <c:pt idx="1420">
                  <c:v>-0.403631522398801</c:v>
                </c:pt>
                <c:pt idx="1421">
                  <c:v>-0.367777855335907</c:v>
                </c:pt>
                <c:pt idx="1422">
                  <c:v>-0.369929075359681</c:v>
                </c:pt>
                <c:pt idx="1423">
                  <c:v>-0.392875422279933</c:v>
                </c:pt>
                <c:pt idx="1424">
                  <c:v>-0.370646148700939</c:v>
                </c:pt>
                <c:pt idx="1425">
                  <c:v>-0.364909561970876</c:v>
                </c:pt>
                <c:pt idx="1426">
                  <c:v>-0.379968102137291</c:v>
                </c:pt>
                <c:pt idx="1427">
                  <c:v>-0.360607121923328</c:v>
                </c:pt>
                <c:pt idx="1428">
                  <c:v>-0.354153461852008</c:v>
                </c:pt>
                <c:pt idx="1429">
                  <c:v>-0.4445047028505</c:v>
                </c:pt>
                <c:pt idx="1430">
                  <c:v>-0.415319541511718</c:v>
                </c:pt>
                <c:pt idx="1431">
                  <c:v>-0.448504102248819</c:v>
                </c:pt>
                <c:pt idx="1432">
                  <c:v>-0.406350741312502</c:v>
                </c:pt>
                <c:pt idx="1433">
                  <c:v>-0.427875861790621</c:v>
                </c:pt>
                <c:pt idx="1434">
                  <c:v>-0.437741542009759</c:v>
                </c:pt>
                <c:pt idx="1435">
                  <c:v>-0.435947781969916</c:v>
                </c:pt>
                <c:pt idx="1436">
                  <c:v>-0.4601635425078</c:v>
                </c:pt>
                <c:pt idx="1437">
                  <c:v>-0.464647942607408</c:v>
                </c:pt>
                <c:pt idx="1438">
                  <c:v>-0.444916582169132</c:v>
                </c:pt>
                <c:pt idx="1439">
                  <c:v>-0.407247621332423</c:v>
                </c:pt>
                <c:pt idx="1440">
                  <c:v>-0.386619380874226</c:v>
                </c:pt>
                <c:pt idx="1441">
                  <c:v>-0.392897541013677</c:v>
                </c:pt>
                <c:pt idx="1442">
                  <c:v>-0.386619380874226</c:v>
                </c:pt>
                <c:pt idx="1443">
                  <c:v>-0.383031860794539</c:v>
                </c:pt>
                <c:pt idx="1444">
                  <c:v>-0.380341220734775</c:v>
                </c:pt>
                <c:pt idx="1445">
                  <c:v>-0.351641060097282</c:v>
                </c:pt>
                <c:pt idx="1446">
                  <c:v>-0.40545386129258</c:v>
                </c:pt>
                <c:pt idx="1447">
                  <c:v>-0.411732021432032</c:v>
                </c:pt>
                <c:pt idx="1448">
                  <c:v>-0.428772741810543</c:v>
                </c:pt>
                <c:pt idx="1449">
                  <c:v>-0.417113301551561</c:v>
                </c:pt>
                <c:pt idx="1450">
                  <c:v>-0.478998022926154</c:v>
                </c:pt>
                <c:pt idx="1451">
                  <c:v>-0.503213783464038</c:v>
                </c:pt>
                <c:pt idx="1452">
                  <c:v>-0.495141863284743</c:v>
                </c:pt>
                <c:pt idx="1453">
                  <c:v>-0.490657463185135</c:v>
                </c:pt>
                <c:pt idx="1454">
                  <c:v>-0.488863703145292</c:v>
                </c:pt>
                <c:pt idx="1455">
                  <c:v>-0.487069943105449</c:v>
                </c:pt>
                <c:pt idx="1456">
                  <c:v>-0.496038743304665</c:v>
                </c:pt>
                <c:pt idx="1457">
                  <c:v>-0.502316903444117</c:v>
                </c:pt>
                <c:pt idx="1458">
                  <c:v>-0.507698183563646</c:v>
                </c:pt>
                <c:pt idx="1459">
                  <c:v>-0.508819134287993</c:v>
                </c:pt>
                <c:pt idx="1460">
                  <c:v>-0.508819134287993</c:v>
                </c:pt>
                <c:pt idx="1461">
                  <c:v>-0.508819134287993</c:v>
                </c:pt>
                <c:pt idx="1462">
                  <c:v>-0.508819134287993</c:v>
                </c:pt>
                <c:pt idx="1463">
                  <c:v>-0.508819134287993</c:v>
                </c:pt>
                <c:pt idx="1464">
                  <c:v>-0.508819134287993</c:v>
                </c:pt>
                <c:pt idx="1465">
                  <c:v>-0.508819134287993</c:v>
                </c:pt>
                <c:pt idx="1466">
                  <c:v>-0.508819134287993</c:v>
                </c:pt>
                <c:pt idx="1467">
                  <c:v>-0.524182474768597</c:v>
                </c:pt>
                <c:pt idx="1468">
                  <c:v>-0.505832503364607</c:v>
                </c:pt>
                <c:pt idx="1469">
                  <c:v>-0.499449904615392</c:v>
                </c:pt>
                <c:pt idx="1470">
                  <c:v>-0.465941261182018</c:v>
                </c:pt>
                <c:pt idx="1471">
                  <c:v>-0.497056430084437</c:v>
                </c:pt>
                <c:pt idx="1472">
                  <c:v>-0.492269481022526</c:v>
                </c:pt>
                <c:pt idx="1473">
                  <c:v>-0.500247729459044</c:v>
                </c:pt>
                <c:pt idx="1474">
                  <c:v>-0.492269481022526</c:v>
                </c:pt>
                <c:pt idx="1475">
                  <c:v>-0.479504283524098</c:v>
                </c:pt>
                <c:pt idx="1476">
                  <c:v>-0.483493407742357</c:v>
                </c:pt>
                <c:pt idx="1477">
                  <c:v>-0.475515159305839</c:v>
                </c:pt>
                <c:pt idx="1478">
                  <c:v>-0.475515159305839</c:v>
                </c:pt>
                <c:pt idx="1479">
                  <c:v>-0.448389114621679</c:v>
                </c:pt>
                <c:pt idx="1480">
                  <c:v>-0.452378238839937</c:v>
                </c:pt>
                <c:pt idx="1481">
                  <c:v>-0.44439999040342</c:v>
                </c:pt>
                <c:pt idx="1482">
                  <c:v>-0.420465245093866</c:v>
                </c:pt>
                <c:pt idx="1483">
                  <c:v>-0.426050018999429</c:v>
                </c:pt>
                <c:pt idx="1484">
                  <c:v>-0.418071770562911</c:v>
                </c:pt>
                <c:pt idx="1485">
                  <c:v>-0.400519624002572</c:v>
                </c:pt>
                <c:pt idx="1486">
                  <c:v>-0.398126149471617</c:v>
                </c:pt>
                <c:pt idx="1487">
                  <c:v>-0.381371827754929</c:v>
                </c:pt>
                <c:pt idx="1488">
                  <c:v>-0.364617506038242</c:v>
                </c:pt>
                <c:pt idx="1489">
                  <c:v>-0.37259575447476</c:v>
                </c:pt>
                <c:pt idx="1490">
                  <c:v>-0.390147901035099</c:v>
                </c:pt>
                <c:pt idx="1491">
                  <c:v>-0.382169652598581</c:v>
                </c:pt>
                <c:pt idx="1492">
                  <c:v>-0.39972179915892</c:v>
                </c:pt>
                <c:pt idx="1493">
                  <c:v>-0.421263069937518</c:v>
                </c:pt>
                <c:pt idx="1494">
                  <c:v>-0.368606630256501</c:v>
                </c:pt>
                <c:pt idx="1495">
                  <c:v>-0.370202279943805</c:v>
                </c:pt>
                <c:pt idx="1496">
                  <c:v>-0.33669363651043</c:v>
                </c:pt>
                <c:pt idx="1497">
                  <c:v>-0.341480585572341</c:v>
                </c:pt>
                <c:pt idx="1498">
                  <c:v>-0.315950190575484</c:v>
                </c:pt>
                <c:pt idx="1499">
                  <c:v>-0.340682760728689</c:v>
                </c:pt>
                <c:pt idx="1500">
                  <c:v>-0.334300161979475</c:v>
                </c:pt>
                <c:pt idx="1501">
                  <c:v>-0.292813270109582</c:v>
                </c:pt>
                <c:pt idx="1502">
                  <c:v>-0.340682760728689</c:v>
                </c:pt>
                <c:pt idx="1503">
                  <c:v>-0.348661009165207</c:v>
                </c:pt>
                <c:pt idx="1504">
                  <c:v>-0.335097986823126</c:v>
                </c:pt>
                <c:pt idx="1505">
                  <c:v>-0.327119738386609</c:v>
                </c:pt>
                <c:pt idx="1506">
                  <c:v>-0.343874060103296</c:v>
                </c:pt>
                <c:pt idx="1507">
                  <c:v>-0.371000104787456</c:v>
                </c:pt>
                <c:pt idx="1508">
                  <c:v>-0.352650133383465</c:v>
                </c:pt>
                <c:pt idx="1509">
                  <c:v>-0.356639257601724</c:v>
                </c:pt>
                <c:pt idx="1510">
                  <c:v>-0.340682760728689</c:v>
                </c:pt>
                <c:pt idx="1511">
                  <c:v>-0.298398044015145</c:v>
                </c:pt>
                <c:pt idx="1512">
                  <c:v>-0.263293750894467</c:v>
                </c:pt>
                <c:pt idx="1513">
                  <c:v>-0.32313061416835</c:v>
                </c:pt>
                <c:pt idx="1514">
                  <c:v>-0.31435454088818</c:v>
                </c:pt>
                <c:pt idx="1515">
                  <c:v>-0.344671884946948</c:v>
                </c:pt>
                <c:pt idx="1516">
                  <c:v>-0.349458834008858</c:v>
                </c:pt>
                <c:pt idx="1517">
                  <c:v>-0.341480585572341</c:v>
                </c:pt>
                <c:pt idx="1518">
                  <c:v>-0.34249975387301</c:v>
                </c:pt>
                <c:pt idx="1519">
                  <c:v>-0.34249975387301</c:v>
                </c:pt>
                <c:pt idx="1520">
                  <c:v>-0.34249975387301</c:v>
                </c:pt>
                <c:pt idx="1521">
                  <c:v>-0.34249975387301</c:v>
                </c:pt>
                <c:pt idx="1522">
                  <c:v>-0.34249975387301</c:v>
                </c:pt>
                <c:pt idx="1523">
                  <c:v>-0.34249975387301</c:v>
                </c:pt>
                <c:pt idx="1524">
                  <c:v>-0.34249975387301</c:v>
                </c:pt>
                <c:pt idx="1525">
                  <c:v>-0.34249975387301</c:v>
                </c:pt>
                <c:pt idx="1526">
                  <c:v>-0.34249975387301</c:v>
                </c:pt>
                <c:pt idx="1527">
                  <c:v>-0.34249975387301</c:v>
                </c:pt>
                <c:pt idx="1528">
                  <c:v>-0.34249975387301</c:v>
                </c:pt>
                <c:pt idx="1529">
                  <c:v>-0.34249975387301</c:v>
                </c:pt>
                <c:pt idx="1530">
                  <c:v>-0.331794887890694</c:v>
                </c:pt>
                <c:pt idx="1531">
                  <c:v>-0.342773862156169</c:v>
                </c:pt>
                <c:pt idx="1532">
                  <c:v>-0.360739456408765</c:v>
                </c:pt>
                <c:pt idx="1533">
                  <c:v>-0.34177577358658</c:v>
                </c:pt>
                <c:pt idx="1534">
                  <c:v>-0.381699316370127</c:v>
                </c:pt>
                <c:pt idx="1535">
                  <c:v>-0.38668975921807</c:v>
                </c:pt>
                <c:pt idx="1536">
                  <c:v>-0.389684024926836</c:v>
                </c:pt>
                <c:pt idx="1537">
                  <c:v>-0.434598010558326</c:v>
                </c:pt>
                <c:pt idx="1538">
                  <c:v>-0.42361903629285</c:v>
                </c:pt>
                <c:pt idx="1539">
                  <c:v>-0.426613302001616</c:v>
                </c:pt>
                <c:pt idx="1540">
                  <c:v>-0.430605656279971</c:v>
                </c:pt>
                <c:pt idx="1541">
                  <c:v>-0.385691670648481</c:v>
                </c:pt>
                <c:pt idx="1542">
                  <c:v>-0.381699316370127</c:v>
                </c:pt>
                <c:pt idx="1543">
                  <c:v>-0.411641973457787</c:v>
                </c:pt>
                <c:pt idx="1544">
                  <c:v>-0.411641973457787</c:v>
                </c:pt>
                <c:pt idx="1545">
                  <c:v>-0.403657264901077</c:v>
                </c:pt>
                <c:pt idx="1546">
                  <c:v>-0.382697404939715</c:v>
                </c:pt>
                <c:pt idx="1547">
                  <c:v>-0.389684024926836</c:v>
                </c:pt>
                <c:pt idx="1548">
                  <c:v>-0.392678290635602</c:v>
                </c:pt>
                <c:pt idx="1549">
                  <c:v>-0.376708873522183</c:v>
                </c:pt>
                <c:pt idx="1550">
                  <c:v>-0.379703139230949</c:v>
                </c:pt>
                <c:pt idx="1551">
                  <c:v>-0.366727987826297</c:v>
                </c:pt>
                <c:pt idx="1552">
                  <c:v>-0.374712696383006</c:v>
                </c:pt>
                <c:pt idx="1553">
                  <c:v>-0.344770039295346</c:v>
                </c:pt>
                <c:pt idx="1554">
                  <c:v>-0.361737544978354</c:v>
                </c:pt>
                <c:pt idx="1555">
                  <c:v>-0.355749013560822</c:v>
                </c:pt>
                <c:pt idx="1556">
                  <c:v>-0.357745190699999</c:v>
                </c:pt>
                <c:pt idx="1557">
                  <c:v>-0.34976048214329</c:v>
                </c:pt>
                <c:pt idx="1558">
                  <c:v>-0.309836939359743</c:v>
                </c:pt>
                <c:pt idx="1559">
                  <c:v>-0.316823559346864</c:v>
                </c:pt>
                <c:pt idx="1560">
                  <c:v>-0.328800622181928</c:v>
                </c:pt>
                <c:pt idx="1561">
                  <c:v>-0.328800622181928</c:v>
                </c:pt>
                <c:pt idx="1562">
                  <c:v>-0.317821647916453</c:v>
                </c:pt>
                <c:pt idx="1563">
                  <c:v>-0.279894282272083</c:v>
                </c:pt>
                <c:pt idx="1564">
                  <c:v>-0.291871345107147</c:v>
                </c:pt>
                <c:pt idx="1565">
                  <c:v>-0.277898105132906</c:v>
                </c:pt>
                <c:pt idx="1566">
                  <c:v>-0.221007056666353</c:v>
                </c:pt>
                <c:pt idx="1567">
                  <c:v>-0.211026170970466</c:v>
                </c:pt>
                <c:pt idx="1568">
                  <c:v>-0.220008968096764</c:v>
                </c:pt>
                <c:pt idx="1569">
                  <c:v>-0.190066311009104</c:v>
                </c:pt>
                <c:pt idx="1570">
                  <c:v>-0.214020436679232</c:v>
                </c:pt>
                <c:pt idx="1571">
                  <c:v>-0.227993676653473</c:v>
                </c:pt>
                <c:pt idx="1572">
                  <c:v>-0.215018525248821</c:v>
                </c:pt>
                <c:pt idx="1573">
                  <c:v>-0.232984119501416</c:v>
                </c:pt>
                <c:pt idx="1574">
                  <c:v>-0.247955448045246</c:v>
                </c:pt>
                <c:pt idx="1575">
                  <c:v>-0.238972650918948</c:v>
                </c:pt>
                <c:pt idx="1576">
                  <c:v>-0.277898105132906</c:v>
                </c:pt>
                <c:pt idx="1577">
                  <c:v>-0.265921042297842</c:v>
                </c:pt>
                <c:pt idx="1578">
                  <c:v>-0.291871345107147</c:v>
                </c:pt>
                <c:pt idx="1579">
                  <c:v>-0.296133116903611</c:v>
                </c:pt>
                <c:pt idx="1580">
                  <c:v>-0.296133116903611</c:v>
                </c:pt>
                <c:pt idx="1581">
                  <c:v>-0.296133116903611</c:v>
                </c:pt>
                <c:pt idx="1582">
                  <c:v>-0.296133116903611</c:v>
                </c:pt>
                <c:pt idx="1583">
                  <c:v>-0.296133116903611</c:v>
                </c:pt>
                <c:pt idx="1584">
                  <c:v>-0.296133116903611</c:v>
                </c:pt>
                <c:pt idx="1585">
                  <c:v>-0.296133116903611</c:v>
                </c:pt>
                <c:pt idx="1586">
                  <c:v>-0.296133116903611</c:v>
                </c:pt>
                <c:pt idx="1587">
                  <c:v>-0.296133116903611</c:v>
                </c:pt>
                <c:pt idx="1588">
                  <c:v>-0.296133116903611</c:v>
                </c:pt>
                <c:pt idx="1589">
                  <c:v>-0.296133116903611</c:v>
                </c:pt>
                <c:pt idx="1590">
                  <c:v>-0.296133116903611</c:v>
                </c:pt>
                <c:pt idx="1591">
                  <c:v>-0.296133116903611</c:v>
                </c:pt>
                <c:pt idx="1592">
                  <c:v>-0.296133116903611</c:v>
                </c:pt>
                <c:pt idx="1593">
                  <c:v>-0.296133116903611</c:v>
                </c:pt>
                <c:pt idx="1594">
                  <c:v>-0.296133116903611</c:v>
                </c:pt>
                <c:pt idx="1595">
                  <c:v>-0.296133116903611</c:v>
                </c:pt>
                <c:pt idx="1596">
                  <c:v>-0.296133116903611</c:v>
                </c:pt>
                <c:pt idx="1597">
                  <c:v>-0.296133116903611</c:v>
                </c:pt>
                <c:pt idx="1598">
                  <c:v>-0.296133116903611</c:v>
                </c:pt>
                <c:pt idx="1599">
                  <c:v>-0.296133116903611</c:v>
                </c:pt>
                <c:pt idx="1600">
                  <c:v>-0.296133116903611</c:v>
                </c:pt>
                <c:pt idx="1601">
                  <c:v>-0.296133116903611</c:v>
                </c:pt>
                <c:pt idx="1602">
                  <c:v>-0.296133116903611</c:v>
                </c:pt>
                <c:pt idx="1603">
                  <c:v>-0.296133116903611</c:v>
                </c:pt>
                <c:pt idx="1604">
                  <c:v>-0.296133116903611</c:v>
                </c:pt>
                <c:pt idx="1605">
                  <c:v>-0.296133116903611</c:v>
                </c:pt>
                <c:pt idx="1606">
                  <c:v>-0.296133116903611</c:v>
                </c:pt>
                <c:pt idx="1607">
                  <c:v>-0.296133116903611</c:v>
                </c:pt>
                <c:pt idx="1608">
                  <c:v>-0.296133116903611</c:v>
                </c:pt>
                <c:pt idx="1609">
                  <c:v>-0.296133116903611</c:v>
                </c:pt>
                <c:pt idx="1610">
                  <c:v>-0.296133116903611</c:v>
                </c:pt>
                <c:pt idx="1611">
                  <c:v>-0.296133116903611</c:v>
                </c:pt>
                <c:pt idx="1612">
                  <c:v>-0.296133116903611</c:v>
                </c:pt>
                <c:pt idx="1613">
                  <c:v>-0.296133116903611</c:v>
                </c:pt>
                <c:pt idx="1614">
                  <c:v>-0.296133116903611</c:v>
                </c:pt>
                <c:pt idx="1615">
                  <c:v>-0.296133116903611</c:v>
                </c:pt>
                <c:pt idx="1616">
                  <c:v>-0.296133116903611</c:v>
                </c:pt>
                <c:pt idx="1617">
                  <c:v>-0.296133116903611</c:v>
                </c:pt>
                <c:pt idx="1618">
                  <c:v>-0.296133116903611</c:v>
                </c:pt>
                <c:pt idx="1619">
                  <c:v>-0.296133116903611</c:v>
                </c:pt>
                <c:pt idx="1620">
                  <c:v>-0.296133116903611</c:v>
                </c:pt>
                <c:pt idx="1621">
                  <c:v>-0.296133116903611</c:v>
                </c:pt>
                <c:pt idx="1622">
                  <c:v>-0.282227264955357</c:v>
                </c:pt>
                <c:pt idx="1623">
                  <c:v>-0.299976445181537</c:v>
                </c:pt>
                <c:pt idx="1624">
                  <c:v>-0.316542346725972</c:v>
                </c:pt>
                <c:pt idx="1625">
                  <c:v>-0.285777101000593</c:v>
                </c:pt>
                <c:pt idx="1626">
                  <c:v>-0.354407264541823</c:v>
                </c:pt>
                <c:pt idx="1627">
                  <c:v>-0.357957100587059</c:v>
                </c:pt>
                <c:pt idx="1628">
                  <c:v>-0.382805952903711</c:v>
                </c:pt>
                <c:pt idx="1629">
                  <c:v>-0.370973166086258</c:v>
                </c:pt>
                <c:pt idx="1630">
                  <c:v>-0.348490871133096</c:v>
                </c:pt>
                <c:pt idx="1631">
                  <c:v>-0.349674149814841</c:v>
                </c:pt>
                <c:pt idx="1632">
                  <c:v>-0.372156444768003</c:v>
                </c:pt>
                <c:pt idx="1633">
                  <c:v>-0.36269021531404</c:v>
                </c:pt>
                <c:pt idx="1634">
                  <c:v>-0.357957100587059</c:v>
                </c:pt>
                <c:pt idx="1635">
                  <c:v>-0.340207920360879</c:v>
                </c:pt>
                <c:pt idx="1636">
                  <c:v>-0.347307592451351</c:v>
                </c:pt>
                <c:pt idx="1637">
                  <c:v>-0.363873493995786</c:v>
                </c:pt>
                <c:pt idx="1638">
                  <c:v>-0.37807283817673</c:v>
                </c:pt>
                <c:pt idx="1639">
                  <c:v>-0.385172510267202</c:v>
                </c:pt>
                <c:pt idx="1640">
                  <c:v>-0.366240051359276</c:v>
                </c:pt>
                <c:pt idx="1641">
                  <c:v>-0.375706280813239</c:v>
                </c:pt>
                <c:pt idx="1642">
                  <c:v>-0.374523002131494</c:v>
                </c:pt>
                <c:pt idx="1643">
                  <c:v>-0.381622674221966</c:v>
                </c:pt>
                <c:pt idx="1644">
                  <c:v>-0.388722346312438</c:v>
                </c:pt>
                <c:pt idx="1645">
                  <c:v>-0.410092217182115</c:v>
                </c:pt>
                <c:pt idx="1646">
                  <c:v>-0.366654793946736</c:v>
                </c:pt>
                <c:pt idx="1647">
                  <c:v>-0.366654793946736</c:v>
                </c:pt>
                <c:pt idx="1648">
                  <c:v>-0.3468932862809</c:v>
                </c:pt>
                <c:pt idx="1649">
                  <c:v>-0.354173841736734</c:v>
                </c:pt>
                <c:pt idx="1650">
                  <c:v>-0.365614714595902</c:v>
                </c:pt>
                <c:pt idx="1651">
                  <c:v>-0.381215904858405</c:v>
                </c:pt>
                <c:pt idx="1652">
                  <c:v>-0.404097650576742</c:v>
                </c:pt>
                <c:pt idx="1653">
                  <c:v>-0.409298047330909</c:v>
                </c:pt>
                <c:pt idx="1654">
                  <c:v>-0.406177809278409</c:v>
                </c:pt>
                <c:pt idx="1655">
                  <c:v>-0.434259951750913</c:v>
                </c:pt>
                <c:pt idx="1656">
                  <c:v>-0.471063268325512</c:v>
                </c:pt>
                <c:pt idx="1657">
                  <c:v>-0.471063268325512</c:v>
                </c:pt>
                <c:pt idx="1658">
                  <c:v>-0.471063268325512</c:v>
                </c:pt>
                <c:pt idx="1659">
                  <c:v>-0.471063268325512</c:v>
                </c:pt>
                <c:pt idx="1660">
                  <c:v>-0.471063268325512</c:v>
                </c:pt>
                <c:pt idx="1661">
                  <c:v>-0.471063268325512</c:v>
                </c:pt>
                <c:pt idx="1662">
                  <c:v>-0.471063268325512</c:v>
                </c:pt>
                <c:pt idx="1663">
                  <c:v>-0.471063268325512</c:v>
                </c:pt>
                <c:pt idx="1664">
                  <c:v>-0.471063268325512</c:v>
                </c:pt>
                <c:pt idx="1665">
                  <c:v>-0.471063268325512</c:v>
                </c:pt>
                <c:pt idx="1666">
                  <c:v>-0.471063268325512</c:v>
                </c:pt>
                <c:pt idx="1667">
                  <c:v>-0.471063268325512</c:v>
                </c:pt>
                <c:pt idx="1668">
                  <c:v>-0.471063268325512</c:v>
                </c:pt>
                <c:pt idx="1669">
                  <c:v>-0.471063268325512</c:v>
                </c:pt>
                <c:pt idx="1670">
                  <c:v>-0.471063268325512</c:v>
                </c:pt>
                <c:pt idx="1671">
                  <c:v>-0.471063268325512</c:v>
                </c:pt>
                <c:pt idx="1672">
                  <c:v>-0.466793963311114</c:v>
                </c:pt>
                <c:pt idx="1673">
                  <c:v>-0.481161270617038</c:v>
                </c:pt>
                <c:pt idx="1674">
                  <c:v>-0.412018604207281</c:v>
                </c:pt>
                <c:pt idx="1675">
                  <c:v>-0.384181946302054</c:v>
                </c:pt>
                <c:pt idx="1676">
                  <c:v>-0.401243123727838</c:v>
                </c:pt>
                <c:pt idx="1677">
                  <c:v>-0.391365599955016</c:v>
                </c:pt>
                <c:pt idx="1678">
                  <c:v>-0.398549253607977</c:v>
                </c:pt>
                <c:pt idx="1679">
                  <c:v>-0.41022269079404</c:v>
                </c:pt>
                <c:pt idx="1680">
                  <c:v>-0.395855383488117</c:v>
                </c:pt>
                <c:pt idx="1681">
                  <c:v>-0.385977859715294</c:v>
                </c:pt>
                <c:pt idx="1682">
                  <c:v>-0.412018604207281</c:v>
                </c:pt>
                <c:pt idx="1683">
                  <c:v>-0.384181946302054</c:v>
                </c:pt>
                <c:pt idx="1684">
                  <c:v>-0.388671729835155</c:v>
                </c:pt>
                <c:pt idx="1685">
                  <c:v>-0.401243123727838</c:v>
                </c:pt>
                <c:pt idx="1686">
                  <c:v>-0.41022269079404</c:v>
                </c:pt>
                <c:pt idx="1687">
                  <c:v>-0.44973278588533</c:v>
                </c:pt>
                <c:pt idx="1688">
                  <c:v>-0.387773773128535</c:v>
                </c:pt>
                <c:pt idx="1689">
                  <c:v>-0.399447210314598</c:v>
                </c:pt>
                <c:pt idx="1690">
                  <c:v>-0.395855383488117</c:v>
                </c:pt>
                <c:pt idx="1691">
                  <c:v>-0.416508387740382</c:v>
                </c:pt>
                <c:pt idx="1692">
                  <c:v>-0.423692041393344</c:v>
                </c:pt>
                <c:pt idx="1693">
                  <c:v>-0.431773651752926</c:v>
                </c:pt>
                <c:pt idx="1694">
                  <c:v>-0.420998171273483</c:v>
                </c:pt>
                <c:pt idx="1695">
                  <c:v>-0.422794084686723</c:v>
                </c:pt>
                <c:pt idx="1696">
                  <c:v>-0.399447210314598</c:v>
                </c:pt>
                <c:pt idx="1697">
                  <c:v>-0.36801872558289</c:v>
                </c:pt>
                <c:pt idx="1698">
                  <c:v>-0.394957426781497</c:v>
                </c:pt>
                <c:pt idx="1699">
                  <c:v>-0.385079903008674</c:v>
                </c:pt>
                <c:pt idx="1700">
                  <c:v>-0.403936993847699</c:v>
                </c:pt>
                <c:pt idx="1701">
                  <c:v>-0.403039037141079</c:v>
                </c:pt>
                <c:pt idx="1702">
                  <c:v>-0.44973278588533</c:v>
                </c:pt>
                <c:pt idx="1703">
                  <c:v>-0.476671487083937</c:v>
                </c:pt>
                <c:pt idx="1704">
                  <c:v>-0.426385911513204</c:v>
                </c:pt>
                <c:pt idx="1705">
                  <c:v>-0.440753218819128</c:v>
                </c:pt>
                <c:pt idx="1706">
                  <c:v>-0.467691920017734</c:v>
                </c:pt>
                <c:pt idx="1707">
                  <c:v>-0.470385790137595</c:v>
                </c:pt>
                <c:pt idx="1708">
                  <c:v>-0.47599355955877</c:v>
                </c:pt>
                <c:pt idx="1709">
                  <c:v>-0.47599355955877</c:v>
                </c:pt>
                <c:pt idx="1710">
                  <c:v>-0.47599355955877</c:v>
                </c:pt>
                <c:pt idx="1711">
                  <c:v>-0.47599355955877</c:v>
                </c:pt>
                <c:pt idx="1712">
                  <c:v>-0.47599355955877</c:v>
                </c:pt>
                <c:pt idx="1713">
                  <c:v>-0.47599355955877</c:v>
                </c:pt>
                <c:pt idx="1714">
                  <c:v>-0.47599355955877</c:v>
                </c:pt>
                <c:pt idx="1715">
                  <c:v>-0.47599355955877</c:v>
                </c:pt>
                <c:pt idx="1716">
                  <c:v>-0.47599355955877</c:v>
                </c:pt>
                <c:pt idx="1717">
                  <c:v>-0.47599355955877</c:v>
                </c:pt>
                <c:pt idx="1718">
                  <c:v>-0.47599355955877</c:v>
                </c:pt>
                <c:pt idx="1719">
                  <c:v>-0.47599355955877</c:v>
                </c:pt>
                <c:pt idx="1720">
                  <c:v>-0.47599355955877</c:v>
                </c:pt>
                <c:pt idx="1721">
                  <c:v>-0.47599355955877</c:v>
                </c:pt>
                <c:pt idx="1722">
                  <c:v>-0.47599355955877</c:v>
                </c:pt>
                <c:pt idx="1723">
                  <c:v>-0.47599355955877</c:v>
                </c:pt>
                <c:pt idx="1724">
                  <c:v>-0.498722328913181</c:v>
                </c:pt>
                <c:pt idx="1725">
                  <c:v>-0.463488833388672</c:v>
                </c:pt>
                <c:pt idx="1726">
                  <c:v>-0.446850793835432</c:v>
                </c:pt>
                <c:pt idx="1727">
                  <c:v>-0.412596006519938</c:v>
                </c:pt>
                <c:pt idx="1728">
                  <c:v>-0.33234193338078</c:v>
                </c:pt>
                <c:pt idx="1729">
                  <c:v>-0.339192890843879</c:v>
                </c:pt>
                <c:pt idx="1730">
                  <c:v>-0.393021842339656</c:v>
                </c:pt>
                <c:pt idx="1731">
                  <c:v>-0.414553422937966</c:v>
                </c:pt>
                <c:pt idx="1732">
                  <c:v>-0.429234046073178</c:v>
                </c:pt>
                <c:pt idx="1733">
                  <c:v>-0.431191462491206</c:v>
                </c:pt>
                <c:pt idx="1734">
                  <c:v>-0.413574714728952</c:v>
                </c:pt>
                <c:pt idx="1735">
                  <c:v>-0.475233331896842</c:v>
                </c:pt>
                <c:pt idx="1736">
                  <c:v>-0.4722972072698</c:v>
                </c:pt>
                <c:pt idx="1737">
                  <c:v>-0.499701037122195</c:v>
                </c:pt>
                <c:pt idx="1738">
                  <c:v>-0.492091417499628</c:v>
                </c:pt>
                <c:pt idx="1739">
                  <c:v>-0.492091417499628</c:v>
                </c:pt>
                <c:pt idx="1740">
                  <c:v>-0.492091417499628</c:v>
                </c:pt>
                <c:pt idx="1741">
                  <c:v>-0.492091417499628</c:v>
                </c:pt>
                <c:pt idx="1742">
                  <c:v>-0.492091417499628</c:v>
                </c:pt>
                <c:pt idx="1743">
                  <c:v>-0.492091417499628</c:v>
                </c:pt>
                <c:pt idx="1744">
                  <c:v>-0.492091417499628</c:v>
                </c:pt>
                <c:pt idx="1745">
                  <c:v>-0.492091417499628</c:v>
                </c:pt>
                <c:pt idx="1746">
                  <c:v>-0.492091417499628</c:v>
                </c:pt>
                <c:pt idx="1747">
                  <c:v>-0.492091417499628</c:v>
                </c:pt>
                <c:pt idx="1748">
                  <c:v>-0.492091417499628</c:v>
                </c:pt>
                <c:pt idx="1749">
                  <c:v>-0.492091417499628</c:v>
                </c:pt>
                <c:pt idx="1750">
                  <c:v>-0.492091417499628</c:v>
                </c:pt>
                <c:pt idx="1751">
                  <c:v>-0.492091417499628</c:v>
                </c:pt>
                <c:pt idx="1752">
                  <c:v>-0.492091417499628</c:v>
                </c:pt>
                <c:pt idx="1753">
                  <c:v>-0.492091417499628</c:v>
                </c:pt>
                <c:pt idx="1754">
                  <c:v>-0.492091417499628</c:v>
                </c:pt>
                <c:pt idx="1755">
                  <c:v>-0.484270006066641</c:v>
                </c:pt>
                <c:pt idx="1756">
                  <c:v>-0.495873458617296</c:v>
                </c:pt>
                <c:pt idx="1757">
                  <c:v>-0.495873458617296</c:v>
                </c:pt>
                <c:pt idx="1758">
                  <c:v>-0.492303165524787</c:v>
                </c:pt>
                <c:pt idx="1759">
                  <c:v>-0.536931829181152</c:v>
                </c:pt>
                <c:pt idx="1760">
                  <c:v>-0.495873458617296</c:v>
                </c:pt>
                <c:pt idx="1761">
                  <c:v>-0.52086551026486</c:v>
                </c:pt>
                <c:pt idx="1762">
                  <c:v>-0.486947725886023</c:v>
                </c:pt>
                <c:pt idx="1763">
                  <c:v>-0.486947725886023</c:v>
                </c:pt>
                <c:pt idx="1764">
                  <c:v>-0.51104720426046</c:v>
                </c:pt>
                <c:pt idx="1765">
                  <c:v>-0.489625445705405</c:v>
                </c:pt>
                <c:pt idx="1766">
                  <c:v>-0.488732872432278</c:v>
                </c:pt>
                <c:pt idx="1767">
                  <c:v>-0.519972936991733</c:v>
                </c:pt>
                <c:pt idx="1768">
                  <c:v>-0.505691764621696</c:v>
                </c:pt>
                <c:pt idx="1769">
                  <c:v>-0.518187790445479</c:v>
                </c:pt>
                <c:pt idx="1770">
                  <c:v>-0.482484859520387</c:v>
                </c:pt>
                <c:pt idx="1771">
                  <c:v>-0.486947725886023</c:v>
                </c:pt>
                <c:pt idx="1772">
                  <c:v>-0.488732872432278</c:v>
                </c:pt>
                <c:pt idx="1773">
                  <c:v>-0.496766031890423</c:v>
                </c:pt>
                <c:pt idx="1774">
                  <c:v>-0.47802199315475</c:v>
                </c:pt>
                <c:pt idx="1775">
                  <c:v>-0.439641342410277</c:v>
                </c:pt>
                <c:pt idx="1776">
                  <c:v>-0.476236846608496</c:v>
                </c:pt>
                <c:pt idx="1777">
                  <c:v>-0.455707661326568</c:v>
                </c:pt>
                <c:pt idx="1778">
                  <c:v>-0.475344273335369</c:v>
                </c:pt>
                <c:pt idx="1779">
                  <c:v>-0.479807139701005</c:v>
                </c:pt>
                <c:pt idx="1780">
                  <c:v>-0.46820368715035</c:v>
                </c:pt>
                <c:pt idx="1781">
                  <c:v>-0.452137368234059</c:v>
                </c:pt>
                <c:pt idx="1782">
                  <c:v>-0.457492807872823</c:v>
                </c:pt>
                <c:pt idx="1783">
                  <c:v>-0.410186424397076</c:v>
                </c:pt>
                <c:pt idx="1784">
                  <c:v>-0.429823036405877</c:v>
                </c:pt>
                <c:pt idx="1785">
                  <c:v>-0.416434437308967</c:v>
                </c:pt>
                <c:pt idx="1786">
                  <c:v>-0.403045838212058</c:v>
                </c:pt>
                <c:pt idx="1787">
                  <c:v>-0.426252743313368</c:v>
                </c:pt>
                <c:pt idx="1788">
                  <c:v>-0.442319062229659</c:v>
                </c:pt>
                <c:pt idx="1789">
                  <c:v>-0.428930463132749</c:v>
                </c:pt>
                <c:pt idx="1790">
                  <c:v>-0.452137368234059</c:v>
                </c:pt>
                <c:pt idx="1791">
                  <c:v>-0.436071049317768</c:v>
                </c:pt>
                <c:pt idx="1792">
                  <c:v>-0.418219583855222</c:v>
                </c:pt>
                <c:pt idx="1793">
                  <c:v>-0.447674501868423</c:v>
                </c:pt>
                <c:pt idx="1794">
                  <c:v>-0.441426488956531</c:v>
                </c:pt>
                <c:pt idx="1795">
                  <c:v>-0.439858356868975</c:v>
                </c:pt>
                <c:pt idx="1796">
                  <c:v>-0.439858356868975</c:v>
                </c:pt>
                <c:pt idx="1797">
                  <c:v>-0.45440098501788</c:v>
                </c:pt>
                <c:pt idx="1798">
                  <c:v>-0.48015748422144</c:v>
                </c:pt>
                <c:pt idx="1799">
                  <c:v>-0.476341706561653</c:v>
                </c:pt>
                <c:pt idx="1800">
                  <c:v>-0.49732848369048</c:v>
                </c:pt>
                <c:pt idx="1801">
                  <c:v>-0.48588115071112</c:v>
                </c:pt>
                <c:pt idx="1802">
                  <c:v>-0.481111428636387</c:v>
                </c:pt>
                <c:pt idx="1803">
                  <c:v>-0.455354929432827</c:v>
                </c:pt>
                <c:pt idx="1804">
                  <c:v>-0.490650872785853</c:v>
                </c:pt>
                <c:pt idx="1805">
                  <c:v>-0.470618040071973</c:v>
                </c:pt>
                <c:pt idx="1806">
                  <c:v>-0.47443381773176</c:v>
                </c:pt>
                <c:pt idx="1807">
                  <c:v>-0.45153915177304</c:v>
                </c:pt>
                <c:pt idx="1808">
                  <c:v>-0.447723374113254</c:v>
                </c:pt>
                <c:pt idx="1809">
                  <c:v>-0.446769429698307</c:v>
                </c:pt>
                <c:pt idx="1810">
                  <c:v>-0.436276041133894</c:v>
                </c:pt>
                <c:pt idx="1811">
                  <c:v>-0.42292081932464</c:v>
                </c:pt>
                <c:pt idx="1812">
                  <c:v>-0.408611653100441</c:v>
                </c:pt>
                <c:pt idx="1813">
                  <c:v>-0.361868376768054</c:v>
                </c:pt>
                <c:pt idx="1814">
                  <c:v>-0.340881599639228</c:v>
                </c:pt>
                <c:pt idx="1815">
                  <c:v>-0.327526377829975</c:v>
                </c:pt>
                <c:pt idx="1816">
                  <c:v>-0.331342155489761</c:v>
                </c:pt>
                <c:pt idx="1817">
                  <c:v>-0.323710600170188</c:v>
                </c:pt>
                <c:pt idx="1818">
                  <c:v>-0.365684154427841</c:v>
                </c:pt>
                <c:pt idx="1819">
                  <c:v>-0.373315709747414</c:v>
                </c:pt>
                <c:pt idx="1820">
                  <c:v>-0.396210375706134</c:v>
                </c:pt>
                <c:pt idx="1821">
                  <c:v>-0.376177542992254</c:v>
                </c:pt>
                <c:pt idx="1822">
                  <c:v>-0.364730210012894</c:v>
                </c:pt>
                <c:pt idx="1823">
                  <c:v>-0.379039376237094</c:v>
                </c:pt>
                <c:pt idx="1824">
                  <c:v>-0.395256431291187</c:v>
                </c:pt>
                <c:pt idx="1825">
                  <c:v>-0.370453876502574</c:v>
                </c:pt>
                <c:pt idx="1826">
                  <c:v>-0.338019766394388</c:v>
                </c:pt>
                <c:pt idx="1827">
                  <c:v>-0.354236821448481</c:v>
                </c:pt>
                <c:pt idx="1828">
                  <c:v>-0.349467099373748</c:v>
                </c:pt>
                <c:pt idx="1829">
                  <c:v>-0.347559210543855</c:v>
                </c:pt>
                <c:pt idx="1830">
                  <c:v>-0.375223598577308</c:v>
                </c:pt>
                <c:pt idx="1831">
                  <c:v>-0.402887986610761</c:v>
                </c:pt>
                <c:pt idx="1832">
                  <c:v>-0.364730210012894</c:v>
                </c:pt>
                <c:pt idx="1833">
                  <c:v>-0.340881599639228</c:v>
                </c:pt>
                <c:pt idx="1834">
                  <c:v>-0.351374988203641</c:v>
                </c:pt>
                <c:pt idx="1835">
                  <c:v>-0.255980546708975</c:v>
                </c:pt>
                <c:pt idx="1836">
                  <c:v>-0.214006992451322</c:v>
                </c:pt>
                <c:pt idx="1837">
                  <c:v>-0.201605715057016</c:v>
                </c:pt>
                <c:pt idx="1838">
                  <c:v>-0.202559659471962</c:v>
                </c:pt>
                <c:pt idx="1839">
                  <c:v>-0.215914881281216</c:v>
                </c:pt>
                <c:pt idx="1840">
                  <c:v>-0.230224047505415</c:v>
                </c:pt>
                <c:pt idx="1841">
                  <c:v>-0.246441102559509</c:v>
                </c:pt>
                <c:pt idx="1842">
                  <c:v>-0.207329381546696</c:v>
                </c:pt>
                <c:pt idx="1843">
                  <c:v>-0.206375437131749</c:v>
                </c:pt>
                <c:pt idx="1844">
                  <c:v>-0.193020215322496</c:v>
                </c:pt>
                <c:pt idx="1845">
                  <c:v>-0.212099103621429</c:v>
                </c:pt>
                <c:pt idx="1846">
                  <c:v>-0.215914881281216</c:v>
                </c:pt>
                <c:pt idx="1847">
                  <c:v>-0.209237270376589</c:v>
                </c:pt>
                <c:pt idx="1848">
                  <c:v>-0.223546436600789</c:v>
                </c:pt>
                <c:pt idx="1849">
                  <c:v>-0.192066270907549</c:v>
                </c:pt>
                <c:pt idx="1850">
                  <c:v>-0.195882048567336</c:v>
                </c:pt>
                <c:pt idx="1851">
                  <c:v>-0.175849215853456</c:v>
                </c:pt>
                <c:pt idx="1852">
                  <c:v>-0.233085880750256</c:v>
                </c:pt>
                <c:pt idx="1853">
                  <c:v>-0.278875212667695</c:v>
                </c:pt>
                <c:pt idx="1854">
                  <c:v>-0.284598879157375</c:v>
                </c:pt>
                <c:pt idx="1855">
                  <c:v>-0.290322545647055</c:v>
                </c:pt>
                <c:pt idx="1856">
                  <c:v>-0.284847890591382</c:v>
                </c:pt>
                <c:pt idx="1857">
                  <c:v>-0.284847890591382</c:v>
                </c:pt>
                <c:pt idx="1858">
                  <c:v>-0.284847890591382</c:v>
                </c:pt>
                <c:pt idx="1859">
                  <c:v>-0.284847890591382</c:v>
                </c:pt>
                <c:pt idx="1860">
                  <c:v>-0.284847890591382</c:v>
                </c:pt>
                <c:pt idx="1861">
                  <c:v>-0.284847890591382</c:v>
                </c:pt>
                <c:pt idx="1862">
                  <c:v>-0.284847890591382</c:v>
                </c:pt>
                <c:pt idx="1863">
                  <c:v>-0.284847890591382</c:v>
                </c:pt>
                <c:pt idx="1864">
                  <c:v>-0.284847890591382</c:v>
                </c:pt>
                <c:pt idx="1865">
                  <c:v>-0.309045314078102</c:v>
                </c:pt>
                <c:pt idx="1866">
                  <c:v>-0.398951883470078</c:v>
                </c:pt>
                <c:pt idx="1867">
                  <c:v>-0.454056308176227</c:v>
                </c:pt>
                <c:pt idx="1868">
                  <c:v>-0.431583049136735</c:v>
                </c:pt>
                <c:pt idx="1869">
                  <c:v>-0.426718578632526</c:v>
                </c:pt>
                <c:pt idx="1870">
                  <c:v>-0.421854108128318</c:v>
                </c:pt>
                <c:pt idx="1871">
                  <c:v>-0.425907833548492</c:v>
                </c:pt>
                <c:pt idx="1872">
                  <c:v>-0.348887050565185</c:v>
                </c:pt>
                <c:pt idx="1873">
                  <c:v>-0.266191051993636</c:v>
                </c:pt>
                <c:pt idx="1874">
                  <c:v>-0.291324149598715</c:v>
                </c:pt>
                <c:pt idx="1875">
                  <c:v>-0.296188620102923</c:v>
                </c:pt>
                <c:pt idx="1876">
                  <c:v>-0.286459679094506</c:v>
                </c:pt>
                <c:pt idx="1877">
                  <c:v>-0.28889191434661</c:v>
                </c:pt>
                <c:pt idx="1878">
                  <c:v>-0.149443759892624</c:v>
                </c:pt>
                <c:pt idx="1879">
                  <c:v>-0.156740465648938</c:v>
                </c:pt>
                <c:pt idx="1880">
                  <c:v>-0.251597640481009</c:v>
                </c:pt>
                <c:pt idx="1881">
                  <c:v>-0.296999365186958</c:v>
                </c:pt>
                <c:pt idx="1882">
                  <c:v>-0.276730738086088</c:v>
                </c:pt>
                <c:pt idx="1883">
                  <c:v>-0.236193483884348</c:v>
                </c:pt>
                <c:pt idx="1884">
                  <c:v>-0.219978582203652</c:v>
                </c:pt>
                <c:pt idx="1885">
                  <c:v>-0.144579289388415</c:v>
                </c:pt>
                <c:pt idx="1886">
                  <c:v>-0.0278319972874042</c:v>
                </c:pt>
                <c:pt idx="1887">
                  <c:v>-0.134850348379998</c:v>
                </c:pt>
                <c:pt idx="1888">
                  <c:v>-0.118635446699302</c:v>
                </c:pt>
                <c:pt idx="1889">
                  <c:v>-0.109717250774919</c:v>
                </c:pt>
                <c:pt idx="1890">
                  <c:v>-0.00918486035460375</c:v>
                </c:pt>
                <c:pt idx="1891">
                  <c:v>0</c:v>
                </c:pt>
                <c:pt idx="1892">
                  <c:v>-0.0823368198821441</c:v>
                </c:pt>
                <c:pt idx="1893">
                  <c:v>-0.121921829440867</c:v>
                </c:pt>
                <c:pt idx="1894">
                  <c:v>-0.13300563211731</c:v>
                </c:pt>
                <c:pt idx="1895">
                  <c:v>-0.0316680076469785</c:v>
                </c:pt>
                <c:pt idx="1896">
                  <c:v>0</c:v>
                </c:pt>
                <c:pt idx="1897">
                  <c:v>-0.0166125518541849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-0.0617413440809849</c:v>
                </c:pt>
                <c:pt idx="1902">
                  <c:v>-0.175288643540267</c:v>
                </c:pt>
                <c:pt idx="1903">
                  <c:v>-0.149740501161929</c:v>
                </c:pt>
                <c:pt idx="1904">
                  <c:v>-0.0574833203512617</c:v>
                </c:pt>
                <c:pt idx="1905">
                  <c:v>-0.0780637683782567</c:v>
                </c:pt>
                <c:pt idx="1906">
                  <c:v>-0.162514572351098</c:v>
                </c:pt>
                <c:pt idx="1907">
                  <c:v>-0.198707774053744</c:v>
                </c:pt>
                <c:pt idx="1908">
                  <c:v>-0.200358562479553</c:v>
                </c:pt>
                <c:pt idx="1909">
                  <c:v>-0.200358562479553</c:v>
                </c:pt>
                <c:pt idx="1910">
                  <c:v>-0.200358562479553</c:v>
                </c:pt>
                <c:pt idx="1911">
                  <c:v>-0.200358562479553</c:v>
                </c:pt>
                <c:pt idx="1912">
                  <c:v>-0.200358562479553</c:v>
                </c:pt>
                <c:pt idx="1913">
                  <c:v>-0.200358562479553</c:v>
                </c:pt>
                <c:pt idx="1914">
                  <c:v>-0.200358562479553</c:v>
                </c:pt>
                <c:pt idx="1915">
                  <c:v>-0.200358562479553</c:v>
                </c:pt>
                <c:pt idx="1916">
                  <c:v>-0.200358562479553</c:v>
                </c:pt>
                <c:pt idx="1917">
                  <c:v>-0.200358562479553</c:v>
                </c:pt>
                <c:pt idx="1918">
                  <c:v>-0.200358562479553</c:v>
                </c:pt>
                <c:pt idx="1919">
                  <c:v>-0.200358562479553</c:v>
                </c:pt>
                <c:pt idx="1920">
                  <c:v>-0.200358562479553</c:v>
                </c:pt>
                <c:pt idx="1921">
                  <c:v>-0.200358562479553</c:v>
                </c:pt>
                <c:pt idx="1922">
                  <c:v>-0.200358562479553</c:v>
                </c:pt>
                <c:pt idx="1923">
                  <c:v>-0.200358562479553</c:v>
                </c:pt>
                <c:pt idx="1924">
                  <c:v>-0.200358562479553</c:v>
                </c:pt>
                <c:pt idx="1925">
                  <c:v>-0.200358562479553</c:v>
                </c:pt>
                <c:pt idx="1926">
                  <c:v>-0.124940926517954</c:v>
                </c:pt>
                <c:pt idx="1927">
                  <c:v>-0.171728294831007</c:v>
                </c:pt>
                <c:pt idx="1928">
                  <c:v>-0.266417016416947</c:v>
                </c:pt>
                <c:pt idx="1929">
                  <c:v>-0.14833461067448</c:v>
                </c:pt>
                <c:pt idx="1930">
                  <c:v>0</c:v>
                </c:pt>
                <c:pt idx="1931">
                  <c:v>-0.191000448991602</c:v>
                </c:pt>
                <c:pt idx="1932">
                  <c:v>-0.262070383500105</c:v>
                </c:pt>
                <c:pt idx="1933">
                  <c:v>-0.210988868072118</c:v>
                </c:pt>
                <c:pt idx="1934">
                  <c:v>-0.166570159004304</c:v>
                </c:pt>
                <c:pt idx="1935">
                  <c:v>-0.222093545339072</c:v>
                </c:pt>
                <c:pt idx="1936">
                  <c:v>-0.128814256296662</c:v>
                </c:pt>
                <c:pt idx="1937">
                  <c:v>-0.223204013065767</c:v>
                </c:pt>
                <c:pt idx="1938">
                  <c:v>-0.284279738034012</c:v>
                </c:pt>
                <c:pt idx="1939">
                  <c:v>-0.204326061711946</c:v>
                </c:pt>
                <c:pt idx="1940">
                  <c:v>-0.166570159004304</c:v>
                </c:pt>
                <c:pt idx="1941">
                  <c:v>-0.283169270307316</c:v>
                </c:pt>
                <c:pt idx="1942">
                  <c:v>-0.417535865237455</c:v>
                </c:pt>
                <c:pt idx="1943">
                  <c:v>-0.38679338075479</c:v>
                </c:pt>
                <c:pt idx="1944">
                  <c:v>-0.38679338075479</c:v>
                </c:pt>
                <c:pt idx="1945">
                  <c:v>-0.38679338075479</c:v>
                </c:pt>
                <c:pt idx="1946">
                  <c:v>-0.38679338075479</c:v>
                </c:pt>
                <c:pt idx="1947">
                  <c:v>-0.38679338075479</c:v>
                </c:pt>
                <c:pt idx="1948">
                  <c:v>-0.38679338075479</c:v>
                </c:pt>
                <c:pt idx="1949">
                  <c:v>-0.38679338075479</c:v>
                </c:pt>
                <c:pt idx="1950">
                  <c:v>-0.38679338075479</c:v>
                </c:pt>
                <c:pt idx="1951">
                  <c:v>-0.383192292376414</c:v>
                </c:pt>
                <c:pt idx="1952">
                  <c:v>-0.378564404033181</c:v>
                </c:pt>
                <c:pt idx="1953">
                  <c:v>-0.461866394211374</c:v>
                </c:pt>
                <c:pt idx="1954">
                  <c:v>-0.476521373964945</c:v>
                </c:pt>
                <c:pt idx="1955">
                  <c:v>-0.437955637771338</c:v>
                </c:pt>
                <c:pt idx="1956">
                  <c:v>-0.462637708935246</c:v>
                </c:pt>
                <c:pt idx="1957">
                  <c:v>-0.503517389300471</c:v>
                </c:pt>
                <c:pt idx="1958">
                  <c:v>-0.493490297890133</c:v>
                </c:pt>
                <c:pt idx="1959">
                  <c:v>-0.448754043905548</c:v>
                </c:pt>
                <c:pt idx="1960">
                  <c:v>-0.433327749428105</c:v>
                </c:pt>
                <c:pt idx="1961">
                  <c:v>-0.417130140226789</c:v>
                </c:pt>
                <c:pt idx="1962">
                  <c:v>-0.411730937159684</c:v>
                </c:pt>
                <c:pt idx="1963">
                  <c:v>-0.303746875817582</c:v>
                </c:pt>
                <c:pt idx="1964">
                  <c:v>-0.316087911399537</c:v>
                </c:pt>
                <c:pt idx="1965">
                  <c:v>-0.306060819989199</c:v>
                </c:pt>
                <c:pt idx="1966">
                  <c:v>-0.332285520600852</c:v>
                </c:pt>
                <c:pt idx="1967">
                  <c:v>-0.272894286862696</c:v>
                </c:pt>
                <c:pt idx="1968">
                  <c:v>-0.280607434101418</c:v>
                </c:pt>
                <c:pt idx="1969">
                  <c:v>-0.217359626743901</c:v>
                </c:pt>
                <c:pt idx="1970">
                  <c:v>-0.22430145925875</c:v>
                </c:pt>
                <c:pt idx="1971">
                  <c:v>-0.26363851017623</c:v>
                </c:pt>
                <c:pt idx="1972">
                  <c:v>-0.244355642079426</c:v>
                </c:pt>
                <c:pt idx="1973">
                  <c:v>-0.228158032878111</c:v>
                </c:pt>
                <c:pt idx="1974">
                  <c:v>-0.0129612249177791</c:v>
                </c:pt>
                <c:pt idx="1975">
                  <c:v>0</c:v>
                </c:pt>
                <c:pt idx="1976">
                  <c:v>0</c:v>
                </c:pt>
                <c:pt idx="1977">
                  <c:v>-0.0437905183255231</c:v>
                </c:pt>
                <c:pt idx="1978">
                  <c:v>0</c:v>
                </c:pt>
                <c:pt idx="1979">
                  <c:v>-0.144756287105093</c:v>
                </c:pt>
                <c:pt idx="1980">
                  <c:v>-0.219219397755862</c:v>
                </c:pt>
                <c:pt idx="1981">
                  <c:v>-0.165605958087309</c:v>
                </c:pt>
                <c:pt idx="1982">
                  <c:v>-0.165605958087309</c:v>
                </c:pt>
                <c:pt idx="1983">
                  <c:v>-0.216240873329831</c:v>
                </c:pt>
                <c:pt idx="1984">
                  <c:v>-0.385421060728376</c:v>
                </c:pt>
                <c:pt idx="1985">
                  <c:v>-0.472393973968474</c:v>
                </c:pt>
                <c:pt idx="1986">
                  <c:v>-0.454131707368934</c:v>
                </c:pt>
                <c:pt idx="1987">
                  <c:v>-0.454131707368934</c:v>
                </c:pt>
                <c:pt idx="1988">
                  <c:v>-0.454131707368934</c:v>
                </c:pt>
                <c:pt idx="1989">
                  <c:v>-0.454131707368934</c:v>
                </c:pt>
                <c:pt idx="1990">
                  <c:v>-0.454131707368934</c:v>
                </c:pt>
                <c:pt idx="1991">
                  <c:v>-0.454131707368934</c:v>
                </c:pt>
                <c:pt idx="1992">
                  <c:v>-0.454131707368934</c:v>
                </c:pt>
                <c:pt idx="1993">
                  <c:v>-0.454131707368934</c:v>
                </c:pt>
                <c:pt idx="1994">
                  <c:v>-0.454131707368934</c:v>
                </c:pt>
                <c:pt idx="1995">
                  <c:v>-0.454131707368934</c:v>
                </c:pt>
                <c:pt idx="1996">
                  <c:v>-0.454131707368934</c:v>
                </c:pt>
                <c:pt idx="1997">
                  <c:v>-0.454131707368934</c:v>
                </c:pt>
                <c:pt idx="1998">
                  <c:v>-0.454131707368934</c:v>
                </c:pt>
                <c:pt idx="1999">
                  <c:v>-0.454131707368934</c:v>
                </c:pt>
                <c:pt idx="2000">
                  <c:v>-0.454131707368934</c:v>
                </c:pt>
                <c:pt idx="2001">
                  <c:v>-0.454131707368934</c:v>
                </c:pt>
                <c:pt idx="2002">
                  <c:v>-0.454131707368934</c:v>
                </c:pt>
                <c:pt idx="2003">
                  <c:v>-0.454131707368934</c:v>
                </c:pt>
                <c:pt idx="2004">
                  <c:v>-0.454131707368934</c:v>
                </c:pt>
                <c:pt idx="2005">
                  <c:v>-0.454131707368934</c:v>
                </c:pt>
                <c:pt idx="2006">
                  <c:v>-0.454131707368934</c:v>
                </c:pt>
                <c:pt idx="2007">
                  <c:v>-0.454131707368934</c:v>
                </c:pt>
                <c:pt idx="2008">
                  <c:v>-0.454131707368934</c:v>
                </c:pt>
                <c:pt idx="2009">
                  <c:v>-0.463321511190567</c:v>
                </c:pt>
                <c:pt idx="2010">
                  <c:v>-0.536141172919299</c:v>
                </c:pt>
                <c:pt idx="2011">
                  <c:v>-0.571990852539598</c:v>
                </c:pt>
                <c:pt idx="2012">
                  <c:v>-0.573671306271799</c:v>
                </c:pt>
                <c:pt idx="2013">
                  <c:v>-0.610641288380232</c:v>
                </c:pt>
                <c:pt idx="2014">
                  <c:v>-0.588795389861613</c:v>
                </c:pt>
                <c:pt idx="2015">
                  <c:v>-0.55966752517012</c:v>
                </c:pt>
                <c:pt idx="2016">
                  <c:v>-0.592156297326016</c:v>
                </c:pt>
                <c:pt idx="2017">
                  <c:v>-0.605599927183628</c:v>
                </c:pt>
                <c:pt idx="2018">
                  <c:v>-0.661281618418114</c:v>
                </c:pt>
                <c:pt idx="2019">
                  <c:v>-0.661281618418114</c:v>
                </c:pt>
                <c:pt idx="2020">
                  <c:v>-0.661281618418114</c:v>
                </c:pt>
                <c:pt idx="2021">
                  <c:v>-0.661281618418114</c:v>
                </c:pt>
                <c:pt idx="2022">
                  <c:v>-0.661281618418114</c:v>
                </c:pt>
                <c:pt idx="2023">
                  <c:v>-0.661281618418114</c:v>
                </c:pt>
                <c:pt idx="2024">
                  <c:v>-0.661281618418114</c:v>
                </c:pt>
                <c:pt idx="2025">
                  <c:v>-0.661281618418114</c:v>
                </c:pt>
                <c:pt idx="2026">
                  <c:v>-0.661281618418114</c:v>
                </c:pt>
                <c:pt idx="2027">
                  <c:v>-0.661281618418114</c:v>
                </c:pt>
                <c:pt idx="2028">
                  <c:v>-0.661281618418114</c:v>
                </c:pt>
                <c:pt idx="2029">
                  <c:v>-0.661281618418114</c:v>
                </c:pt>
                <c:pt idx="2030">
                  <c:v>-0.661281618418114</c:v>
                </c:pt>
                <c:pt idx="2031">
                  <c:v>-0.661281618418114</c:v>
                </c:pt>
                <c:pt idx="2032">
                  <c:v>-0.661281618418114</c:v>
                </c:pt>
                <c:pt idx="2033">
                  <c:v>-0.661281618418114</c:v>
                </c:pt>
                <c:pt idx="2034">
                  <c:v>-0.661281618418114</c:v>
                </c:pt>
                <c:pt idx="2035">
                  <c:v>-0.661281618418114</c:v>
                </c:pt>
                <c:pt idx="2036">
                  <c:v>-0.661281618418114</c:v>
                </c:pt>
                <c:pt idx="2037">
                  <c:v>-0.661281618418114</c:v>
                </c:pt>
                <c:pt idx="2038">
                  <c:v>-0.661281618418114</c:v>
                </c:pt>
                <c:pt idx="2039">
                  <c:v>-0.661281618418114</c:v>
                </c:pt>
                <c:pt idx="2040">
                  <c:v>-0.653310618568322</c:v>
                </c:pt>
                <c:pt idx="2041">
                  <c:v>-0.659238644039861</c:v>
                </c:pt>
                <c:pt idx="2042">
                  <c:v>-0.636150544834917</c:v>
                </c:pt>
                <c:pt idx="2043">
                  <c:v>-0.658302640018039</c:v>
                </c:pt>
                <c:pt idx="2044">
                  <c:v>-0.666414674873831</c:v>
                </c:pt>
                <c:pt idx="2045">
                  <c:v>-0.65705463465561</c:v>
                </c:pt>
                <c:pt idx="2046">
                  <c:v>-0.617430464398475</c:v>
                </c:pt>
                <c:pt idx="2047">
                  <c:v>-0.614934453673616</c:v>
                </c:pt>
                <c:pt idx="2048">
                  <c:v>-0.542238141312101</c:v>
                </c:pt>
                <c:pt idx="2049">
                  <c:v>-0.535686113159347</c:v>
                </c:pt>
                <c:pt idx="2050">
                  <c:v>-0.44551772572382</c:v>
                </c:pt>
                <c:pt idx="2051">
                  <c:v>-0.472973843697267</c:v>
                </c:pt>
                <c:pt idx="2052">
                  <c:v>-0.404333548763648</c:v>
                </c:pt>
                <c:pt idx="2053">
                  <c:v>-0.436157685505599</c:v>
                </c:pt>
                <c:pt idx="2054">
                  <c:v>-0.442085710977139</c:v>
                </c:pt>
                <c:pt idx="2055">
                  <c:v>-0.468917826269372</c:v>
                </c:pt>
                <c:pt idx="2056">
                  <c:v>-0.484829894640347</c:v>
                </c:pt>
                <c:pt idx="2057">
                  <c:v>-0.449261741811108</c:v>
                </c:pt>
                <c:pt idx="2058">
                  <c:v>-0.352853327563434</c:v>
                </c:pt>
                <c:pt idx="2059">
                  <c:v>-0.373133414702912</c:v>
                </c:pt>
                <c:pt idx="2060">
                  <c:v>-0.264868949512158</c:v>
                </c:pt>
                <c:pt idx="2061">
                  <c:v>-0.194668647875502</c:v>
                </c:pt>
                <c:pt idx="2062">
                  <c:v>-0.218068748421054</c:v>
                </c:pt>
                <c:pt idx="2063">
                  <c:v>-0.102628252396331</c:v>
                </c:pt>
                <c:pt idx="2064">
                  <c:v>-0.247396874438146</c:v>
                </c:pt>
                <c:pt idx="2065">
                  <c:v>-0.306677129153544</c:v>
                </c:pt>
                <c:pt idx="2066">
                  <c:v>-0.340373273939139</c:v>
                </c:pt>
                <c:pt idx="2067">
                  <c:v>-0.317597176074802</c:v>
                </c:pt>
                <c:pt idx="2068">
                  <c:v>-0.357845349013151</c:v>
                </c:pt>
                <c:pt idx="2069">
                  <c:v>-0.352541326222826</c:v>
                </c:pt>
                <c:pt idx="2070">
                  <c:v>-0.224620776573809</c:v>
                </c:pt>
                <c:pt idx="2071">
                  <c:v>-0.179692583526349</c:v>
                </c:pt>
                <c:pt idx="2072">
                  <c:v>-0.292013066144998</c:v>
                </c:pt>
                <c:pt idx="2073">
                  <c:v>-0.271108976324305</c:v>
                </c:pt>
                <c:pt idx="2074">
                  <c:v>-0.200596673347042</c:v>
                </c:pt>
                <c:pt idx="2075">
                  <c:v>-0.194668647875502</c:v>
                </c:pt>
                <c:pt idx="2076">
                  <c:v>-0.040539985615466</c:v>
                </c:pt>
                <c:pt idx="2077">
                  <c:v>-0.118852322107914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-0.00118162136602129</c:v>
                </c:pt>
                <c:pt idx="2082">
                  <c:v>0</c:v>
                </c:pt>
                <c:pt idx="2083">
                  <c:v>0</c:v>
                </c:pt>
                <c:pt idx="2084">
                  <c:v>-0.0585768871169828</c:v>
                </c:pt>
                <c:pt idx="2085">
                  <c:v>-0.196964782930855</c:v>
                </c:pt>
                <c:pt idx="2086">
                  <c:v>-0.353413885605796</c:v>
                </c:pt>
                <c:pt idx="2087">
                  <c:v>-0.320616182096914</c:v>
                </c:pt>
                <c:pt idx="2088">
                  <c:v>-0.320616182096914</c:v>
                </c:pt>
                <c:pt idx="2089">
                  <c:v>-0.320616182096914</c:v>
                </c:pt>
                <c:pt idx="2090">
                  <c:v>-0.320616182096914</c:v>
                </c:pt>
                <c:pt idx="2091">
                  <c:v>-0.320616182096914</c:v>
                </c:pt>
                <c:pt idx="2092">
                  <c:v>-0.320616182096914</c:v>
                </c:pt>
                <c:pt idx="2093">
                  <c:v>-0.320616182096914</c:v>
                </c:pt>
                <c:pt idx="2094">
                  <c:v>-0.320616182096914</c:v>
                </c:pt>
                <c:pt idx="2095">
                  <c:v>-0.320616182096914</c:v>
                </c:pt>
                <c:pt idx="2096">
                  <c:v>-0.320616182096914</c:v>
                </c:pt>
                <c:pt idx="2097">
                  <c:v>-0.320616182096914</c:v>
                </c:pt>
                <c:pt idx="2098">
                  <c:v>-0.320616182096914</c:v>
                </c:pt>
                <c:pt idx="2099">
                  <c:v>-0.320616182096914</c:v>
                </c:pt>
                <c:pt idx="2100">
                  <c:v>-0.320616182096914</c:v>
                </c:pt>
                <c:pt idx="2101">
                  <c:v>-0.320616182096914</c:v>
                </c:pt>
                <c:pt idx="2102">
                  <c:v>-0.320616182096914</c:v>
                </c:pt>
                <c:pt idx="2103">
                  <c:v>-0.320616182096914</c:v>
                </c:pt>
                <c:pt idx="2104">
                  <c:v>-0.218098021715656</c:v>
                </c:pt>
                <c:pt idx="2105">
                  <c:v>-0.239108506730406</c:v>
                </c:pt>
                <c:pt idx="2106">
                  <c:v>-0.121299715754842</c:v>
                </c:pt>
                <c:pt idx="2107">
                  <c:v>-0.158068064530655</c:v>
                </c:pt>
                <c:pt idx="2108">
                  <c:v>-0.185081545263905</c:v>
                </c:pt>
                <c:pt idx="2109">
                  <c:v>-0.272124983182157</c:v>
                </c:pt>
                <c:pt idx="2110">
                  <c:v>-0.584280760544162</c:v>
                </c:pt>
                <c:pt idx="2111">
                  <c:v>-0.596286751981162</c:v>
                </c:pt>
                <c:pt idx="2112">
                  <c:v>-0.342660182874533</c:v>
                </c:pt>
                <c:pt idx="2113">
                  <c:v>-0.407192386848409</c:v>
                </c:pt>
                <c:pt idx="2114">
                  <c:v>-0.503990692809223</c:v>
                </c:pt>
                <c:pt idx="2115">
                  <c:v>-0.555766530881286</c:v>
                </c:pt>
                <c:pt idx="2116">
                  <c:v>-0.425951748468722</c:v>
                </c:pt>
                <c:pt idx="2117">
                  <c:v>-0.528002675683223</c:v>
                </c:pt>
                <c:pt idx="2118">
                  <c:v>-0.454465978131597</c:v>
                </c:pt>
                <c:pt idx="2119">
                  <c:v>-0.564771024459036</c:v>
                </c:pt>
                <c:pt idx="2120">
                  <c:v>-0.593285254121912</c:v>
                </c:pt>
                <c:pt idx="2121">
                  <c:v>-0.568522896783099</c:v>
                </c:pt>
                <c:pt idx="2122">
                  <c:v>-0.422950250609472</c:v>
                </c:pt>
                <c:pt idx="2123">
                  <c:v>-0.555766530881286</c:v>
                </c:pt>
                <c:pt idx="2124">
                  <c:v>-0.511494437457348</c:v>
                </c:pt>
                <c:pt idx="2125">
                  <c:v>-0.539258292655411</c:v>
                </c:pt>
                <c:pt idx="2126">
                  <c:v>-0.679578317575351</c:v>
                </c:pt>
                <c:pt idx="2127">
                  <c:v>-0.719348164210414</c:v>
                </c:pt>
                <c:pt idx="2128">
                  <c:v>-0.724924296757003</c:v>
                </c:pt>
                <c:pt idx="2129">
                  <c:v>-0.724924296757003</c:v>
                </c:pt>
                <c:pt idx="2130">
                  <c:v>-0.724924296757003</c:v>
                </c:pt>
                <c:pt idx="2131">
                  <c:v>-0.724924296757003</c:v>
                </c:pt>
                <c:pt idx="2132">
                  <c:v>-0.724924296757003</c:v>
                </c:pt>
                <c:pt idx="2133">
                  <c:v>-0.724924296757003</c:v>
                </c:pt>
                <c:pt idx="2134">
                  <c:v>-0.724924296757003</c:v>
                </c:pt>
                <c:pt idx="2135">
                  <c:v>-0.724924296757003</c:v>
                </c:pt>
                <c:pt idx="2136">
                  <c:v>-0.724924296757003</c:v>
                </c:pt>
                <c:pt idx="2137">
                  <c:v>-0.724924296757003</c:v>
                </c:pt>
                <c:pt idx="2138">
                  <c:v>-0.724924296757003</c:v>
                </c:pt>
                <c:pt idx="2139">
                  <c:v>-0.724924296757003</c:v>
                </c:pt>
                <c:pt idx="2140">
                  <c:v>-0.724924296757003</c:v>
                </c:pt>
                <c:pt idx="2141">
                  <c:v>-0.724924296757003</c:v>
                </c:pt>
                <c:pt idx="2142">
                  <c:v>-0.724924296757003</c:v>
                </c:pt>
                <c:pt idx="2143">
                  <c:v>-0.724924296757003</c:v>
                </c:pt>
                <c:pt idx="2144">
                  <c:v>-0.724924296757003</c:v>
                </c:pt>
                <c:pt idx="2145">
                  <c:v>-0.739227797823133</c:v>
                </c:pt>
                <c:pt idx="2146">
                  <c:v>-0.745343747035201</c:v>
                </c:pt>
                <c:pt idx="2147">
                  <c:v>-0.796473082448096</c:v>
                </c:pt>
                <c:pt idx="2148">
                  <c:v>-0.740940263602512</c:v>
                </c:pt>
                <c:pt idx="2149">
                  <c:v>-0.767850440135614</c:v>
                </c:pt>
                <c:pt idx="2150">
                  <c:v>-0.741184901570995</c:v>
                </c:pt>
                <c:pt idx="2151">
                  <c:v>-0.792558874952372</c:v>
                </c:pt>
                <c:pt idx="2152">
                  <c:v>-0.812129912430992</c:v>
                </c:pt>
                <c:pt idx="2153">
                  <c:v>-0.79060177120451</c:v>
                </c:pt>
                <c:pt idx="2154">
                  <c:v>-0.794026702763268</c:v>
                </c:pt>
                <c:pt idx="2155">
                  <c:v>-0.758309559364787</c:v>
                </c:pt>
                <c:pt idx="2156">
                  <c:v>-0.756841731553891</c:v>
                </c:pt>
                <c:pt idx="2157">
                  <c:v>-0.741918815476443</c:v>
                </c:pt>
                <c:pt idx="2158">
                  <c:v>-0.664368579467412</c:v>
                </c:pt>
                <c:pt idx="2159">
                  <c:v>-0.737026056106788</c:v>
                </c:pt>
                <c:pt idx="2160">
                  <c:v>-0.726751261430513</c:v>
                </c:pt>
                <c:pt idx="2161">
                  <c:v>-0.721613864092375</c:v>
                </c:pt>
                <c:pt idx="2162">
                  <c:v>-0.685652082725411</c:v>
                </c:pt>
                <c:pt idx="2163">
                  <c:v>-0.69176803193748</c:v>
                </c:pt>
                <c:pt idx="2164">
                  <c:v>-0.680025409450308</c:v>
                </c:pt>
                <c:pt idx="2165">
                  <c:v>-0.679536133513342</c:v>
                </c:pt>
                <c:pt idx="2166">
                  <c:v>-0.621556934982931</c:v>
                </c:pt>
                <c:pt idx="2167">
                  <c:v>-0.578256014561485</c:v>
                </c:pt>
                <c:pt idx="2168">
                  <c:v>-0.604432277189139</c:v>
                </c:pt>
                <c:pt idx="2169">
                  <c:v>-0.56088671879921</c:v>
                </c:pt>
                <c:pt idx="2170">
                  <c:v>-0.584371963773553</c:v>
                </c:pt>
                <c:pt idx="2171">
                  <c:v>-0.64553145589424</c:v>
                </c:pt>
                <c:pt idx="2172">
                  <c:v>-0.595380672355277</c:v>
                </c:pt>
                <c:pt idx="2173">
                  <c:v>-0.541804957257555</c:v>
                </c:pt>
                <c:pt idx="2174">
                  <c:v>-0.515873332598384</c:v>
                </c:pt>
                <c:pt idx="2175">
                  <c:v>-0.46572254905942</c:v>
                </c:pt>
                <c:pt idx="2176">
                  <c:v>-0.473550964050868</c:v>
                </c:pt>
                <c:pt idx="2177">
                  <c:v>-0.344871392628943</c:v>
                </c:pt>
                <c:pt idx="2178">
                  <c:v>-0.384013467586183</c:v>
                </c:pt>
                <c:pt idx="2179">
                  <c:v>-0.360283584643356</c:v>
                </c:pt>
                <c:pt idx="2180">
                  <c:v>-0.373494034941425</c:v>
                </c:pt>
                <c:pt idx="2181">
                  <c:v>-0.394777538199424</c:v>
                </c:pt>
                <c:pt idx="2182">
                  <c:v>-0.511469849165694</c:v>
                </c:pt>
                <c:pt idx="2183">
                  <c:v>-0.520521453999556</c:v>
                </c:pt>
                <c:pt idx="2184">
                  <c:v>-0.454224564540731</c:v>
                </c:pt>
                <c:pt idx="2185">
                  <c:v>-0.46303153140611</c:v>
                </c:pt>
                <c:pt idx="2186">
                  <c:v>-0.387927675081907</c:v>
                </c:pt>
                <c:pt idx="2187">
                  <c:v>-0.402605953190872</c:v>
                </c:pt>
                <c:pt idx="2188">
                  <c:v>-0.446151511580801</c:v>
                </c:pt>
                <c:pt idx="2189">
                  <c:v>-0.437833820652387</c:v>
                </c:pt>
                <c:pt idx="2190">
                  <c:v>-0.412146833961699</c:v>
                </c:pt>
                <c:pt idx="2191">
                  <c:v>-0.358571118863977</c:v>
                </c:pt>
                <c:pt idx="2192">
                  <c:v>-0.357837204958529</c:v>
                </c:pt>
                <c:pt idx="2193">
                  <c:v>-0.321141509686117</c:v>
                </c:pt>
                <c:pt idx="2194">
                  <c:v>-0.33484123592115</c:v>
                </c:pt>
                <c:pt idx="2195">
                  <c:v>-0.330193114519978</c:v>
                </c:pt>
                <c:pt idx="2196">
                  <c:v>-0.306463231577152</c:v>
                </c:pt>
                <c:pt idx="2197">
                  <c:v>-0.318695130001289</c:v>
                </c:pt>
                <c:pt idx="2198">
                  <c:v>-0.346094582471357</c:v>
                </c:pt>
                <c:pt idx="2199">
                  <c:v>-0.342180374975633</c:v>
                </c:pt>
                <c:pt idx="2200">
                  <c:v>-0.391107968672182</c:v>
                </c:pt>
                <c:pt idx="2201">
                  <c:v>-0.321386147654599</c:v>
                </c:pt>
                <c:pt idx="2202">
                  <c:v>-0.341201823101702</c:v>
                </c:pt>
                <c:pt idx="2203">
                  <c:v>-0.311355990946807</c:v>
                </c:pt>
                <c:pt idx="2204">
                  <c:v>-0.305240041734738</c:v>
                </c:pt>
                <c:pt idx="2205">
                  <c:v>-0.32236469952853</c:v>
                </c:pt>
                <c:pt idx="2206">
                  <c:v>-0.385236657428596</c:v>
                </c:pt>
                <c:pt idx="2207">
                  <c:v>-0.354731511380099</c:v>
                </c:pt>
                <c:pt idx="2208">
                  <c:v>-0.396820026463543</c:v>
                </c:pt>
                <c:pt idx="2209">
                  <c:v>-0.348779600156178</c:v>
                </c:pt>
                <c:pt idx="2210">
                  <c:v>-0.244621153737554</c:v>
                </c:pt>
                <c:pt idx="2211">
                  <c:v>-0.277356665469122</c:v>
                </c:pt>
                <c:pt idx="2212">
                  <c:v>-0.215711870649937</c:v>
                </c:pt>
                <c:pt idx="2213">
                  <c:v>-0.206784003814054</c:v>
                </c:pt>
                <c:pt idx="2214">
                  <c:v>-0.216562143681925</c:v>
                </c:pt>
                <c:pt idx="2215">
                  <c:v>-0.155342485378734</c:v>
                </c:pt>
                <c:pt idx="2216">
                  <c:v>-0.109852878167336</c:v>
                </c:pt>
                <c:pt idx="2217">
                  <c:v>-0.0490583563801392</c:v>
                </c:pt>
                <c:pt idx="2218">
                  <c:v>-0.0154725716165831</c:v>
                </c:pt>
                <c:pt idx="2219">
                  <c:v>-0.0482080833481504</c:v>
                </c:pt>
                <c:pt idx="2220">
                  <c:v>0</c:v>
                </c:pt>
                <c:pt idx="2221">
                  <c:v>-0.0242542695299144</c:v>
                </c:pt>
                <c:pt idx="2222">
                  <c:v>-0.122484061126068</c:v>
                </c:pt>
                <c:pt idx="2223">
                  <c:v>-0.132185768938033</c:v>
                </c:pt>
                <c:pt idx="2224">
                  <c:v>-0.030317836912393</c:v>
                </c:pt>
                <c:pt idx="2225">
                  <c:v>-0.0541678686168088</c:v>
                </c:pt>
                <c:pt idx="2226">
                  <c:v>-0.0974213159451561</c:v>
                </c:pt>
                <c:pt idx="2227">
                  <c:v>-0.0137440860669515</c:v>
                </c:pt>
                <c:pt idx="2228">
                  <c:v>0</c:v>
                </c:pt>
                <c:pt idx="2229">
                  <c:v>-0.0103219245375961</c:v>
                </c:pt>
                <c:pt idx="2230">
                  <c:v>0</c:v>
                </c:pt>
                <c:pt idx="2231">
                  <c:v>-0.0654293106361625</c:v>
                </c:pt>
                <c:pt idx="2232">
                  <c:v>-0.13047821830351</c:v>
                </c:pt>
                <c:pt idx="2233">
                  <c:v>-0.168518515185</c:v>
                </c:pt>
                <c:pt idx="2234">
                  <c:v>-0.233567422852348</c:v>
                </c:pt>
                <c:pt idx="2235">
                  <c:v>-0.225409085102955</c:v>
                </c:pt>
                <c:pt idx="2236">
                  <c:v>-0.225409085102955</c:v>
                </c:pt>
                <c:pt idx="2237">
                  <c:v>-0.225409085102955</c:v>
                </c:pt>
                <c:pt idx="2238">
                  <c:v>-0.225409085102955</c:v>
                </c:pt>
                <c:pt idx="2239">
                  <c:v>-0.225409085102955</c:v>
                </c:pt>
                <c:pt idx="2240">
                  <c:v>-0.225409085102955</c:v>
                </c:pt>
                <c:pt idx="2241">
                  <c:v>-0.225409085102955</c:v>
                </c:pt>
                <c:pt idx="2242">
                  <c:v>-0.225409085102955</c:v>
                </c:pt>
                <c:pt idx="2243">
                  <c:v>-0.225409085102955</c:v>
                </c:pt>
                <c:pt idx="2244">
                  <c:v>-0.225409085102955</c:v>
                </c:pt>
                <c:pt idx="2245">
                  <c:v>-0.225409085102955</c:v>
                </c:pt>
                <c:pt idx="2246">
                  <c:v>-0.225409085102955</c:v>
                </c:pt>
                <c:pt idx="2247">
                  <c:v>-0.225409085102955</c:v>
                </c:pt>
                <c:pt idx="2248">
                  <c:v>-0.225409085102955</c:v>
                </c:pt>
                <c:pt idx="2249">
                  <c:v>-0.225409085102955</c:v>
                </c:pt>
                <c:pt idx="2250">
                  <c:v>-0.225409085102955</c:v>
                </c:pt>
                <c:pt idx="2251">
                  <c:v>-0.225409085102955</c:v>
                </c:pt>
                <c:pt idx="2252">
                  <c:v>-0.225409085102955</c:v>
                </c:pt>
                <c:pt idx="2253">
                  <c:v>-0.225409085102955</c:v>
                </c:pt>
                <c:pt idx="2254">
                  <c:v>-0.225409085102955</c:v>
                </c:pt>
                <c:pt idx="2255">
                  <c:v>-0.225409085102955</c:v>
                </c:pt>
                <c:pt idx="2256">
                  <c:v>-0.0805454995434459</c:v>
                </c:pt>
                <c:pt idx="2257">
                  <c:v>-0.154190803272424</c:v>
                </c:pt>
                <c:pt idx="2258">
                  <c:v>-0.170322631708295</c:v>
                </c:pt>
                <c:pt idx="2259">
                  <c:v>-0.166114328638068</c:v>
                </c:pt>
                <c:pt idx="2260">
                  <c:v>-0.0602053680373473</c:v>
                </c:pt>
                <c:pt idx="2261">
                  <c:v>-0.0419693880663623</c:v>
                </c:pt>
                <c:pt idx="2262">
                  <c:v>0</c:v>
                </c:pt>
                <c:pt idx="2263">
                  <c:v>-0.0129708848415073</c:v>
                </c:pt>
                <c:pt idx="2264">
                  <c:v>0</c:v>
                </c:pt>
                <c:pt idx="2265">
                  <c:v>0</c:v>
                </c:pt>
                <c:pt idx="2266">
                  <c:v>-0.132653651865612</c:v>
                </c:pt>
                <c:pt idx="2267">
                  <c:v>-0.00649732172402995</c:v>
                </c:pt>
                <c:pt idx="2268">
                  <c:v>0</c:v>
                </c:pt>
                <c:pt idx="2269">
                  <c:v>0</c:v>
                </c:pt>
                <c:pt idx="2270">
                  <c:v>-0.0495118704720994</c:v>
                </c:pt>
                <c:pt idx="2271">
                  <c:v>-0.0754933470564683</c:v>
                </c:pt>
                <c:pt idx="2272">
                  <c:v>-0.0906900597756275</c:v>
                </c:pt>
                <c:pt idx="2273">
                  <c:v>-0.0995139574835264</c:v>
                </c:pt>
                <c:pt idx="2274">
                  <c:v>-0.282854943192092</c:v>
                </c:pt>
                <c:pt idx="2275">
                  <c:v>-0.245598486203186</c:v>
                </c:pt>
                <c:pt idx="2276">
                  <c:v>-0.23824523811327</c:v>
                </c:pt>
                <c:pt idx="2277">
                  <c:v>-0.328935297888898</c:v>
                </c:pt>
                <c:pt idx="2278">
                  <c:v>-0.278442994338143</c:v>
                </c:pt>
                <c:pt idx="2279">
                  <c:v>-0.18677250148386</c:v>
                </c:pt>
                <c:pt idx="2280">
                  <c:v>-0.155398642966886</c:v>
                </c:pt>
                <c:pt idx="2281">
                  <c:v>-0.236284371955959</c:v>
                </c:pt>
                <c:pt idx="2282">
                  <c:v>-0.246088702742514</c:v>
                </c:pt>
                <c:pt idx="2283">
                  <c:v>-0.189713800719826</c:v>
                </c:pt>
                <c:pt idx="2284">
                  <c:v>-0.202949647281675</c:v>
                </c:pt>
                <c:pt idx="2285">
                  <c:v>-0.247069135821169</c:v>
                </c:pt>
                <c:pt idx="2286">
                  <c:v>-0.204420296899658</c:v>
                </c:pt>
                <c:pt idx="2287">
                  <c:v>-0.237264805034615</c:v>
                </c:pt>
                <c:pt idx="2288">
                  <c:v>-0.166183406832096</c:v>
                </c:pt>
                <c:pt idx="2289">
                  <c:v>-0.159516086100056</c:v>
                </c:pt>
                <c:pt idx="2290">
                  <c:v>-0.159516086100056</c:v>
                </c:pt>
                <c:pt idx="2291">
                  <c:v>-0.159516086100056</c:v>
                </c:pt>
                <c:pt idx="2292">
                  <c:v>-0.159516086100056</c:v>
                </c:pt>
                <c:pt idx="2293">
                  <c:v>-0.159516086100056</c:v>
                </c:pt>
                <c:pt idx="2294">
                  <c:v>-0.159516086100056</c:v>
                </c:pt>
                <c:pt idx="2295">
                  <c:v>-0.159516086100056</c:v>
                </c:pt>
                <c:pt idx="2296">
                  <c:v>-0.159516086100056</c:v>
                </c:pt>
                <c:pt idx="2297">
                  <c:v>-0.159516086100056</c:v>
                </c:pt>
                <c:pt idx="2298">
                  <c:v>-0.165540448852993</c:v>
                </c:pt>
                <c:pt idx="2299">
                  <c:v>-0.0671932848269395</c:v>
                </c:pt>
                <c:pt idx="2300">
                  <c:v>-0.12109509587968</c:v>
                </c:pt>
                <c:pt idx="2301">
                  <c:v>-0.156083990773565</c:v>
                </c:pt>
                <c:pt idx="2302">
                  <c:v>-0.123932033303509</c:v>
                </c:pt>
                <c:pt idx="2303">
                  <c:v>-0.0586824725554541</c:v>
                </c:pt>
                <c:pt idx="2304">
                  <c:v>-0.132442845574994</c:v>
                </c:pt>
                <c:pt idx="2305">
                  <c:v>-0.197692406323049</c:v>
                </c:pt>
                <c:pt idx="2306">
                  <c:v>-0.316843778123844</c:v>
                </c:pt>
                <c:pt idx="2307">
                  <c:v>-0.287528758077617</c:v>
                </c:pt>
                <c:pt idx="2308">
                  <c:v>-0.389658505335442</c:v>
                </c:pt>
                <c:pt idx="2309">
                  <c:v>-0.387767213719556</c:v>
                </c:pt>
                <c:pt idx="2310">
                  <c:v>-0.431266920884926</c:v>
                </c:pt>
                <c:pt idx="2311">
                  <c:v>-0.498420574254544</c:v>
                </c:pt>
                <c:pt idx="2312">
                  <c:v>-0.498420574254544</c:v>
                </c:pt>
                <c:pt idx="2313">
                  <c:v>-0.498420574254544</c:v>
                </c:pt>
                <c:pt idx="2314">
                  <c:v>-0.498420574254544</c:v>
                </c:pt>
                <c:pt idx="2315">
                  <c:v>-0.498420574254544</c:v>
                </c:pt>
                <c:pt idx="2316">
                  <c:v>-0.498420574254544</c:v>
                </c:pt>
                <c:pt idx="2317">
                  <c:v>-0.498420574254544</c:v>
                </c:pt>
                <c:pt idx="2318">
                  <c:v>-0.498420574254544</c:v>
                </c:pt>
                <c:pt idx="2319">
                  <c:v>-0.498420574254544</c:v>
                </c:pt>
                <c:pt idx="2320">
                  <c:v>-0.498420574254544</c:v>
                </c:pt>
                <c:pt idx="2321">
                  <c:v>-0.498420574254544</c:v>
                </c:pt>
                <c:pt idx="2322">
                  <c:v>-0.498420574254544</c:v>
                </c:pt>
                <c:pt idx="2323">
                  <c:v>-0.498420574254544</c:v>
                </c:pt>
                <c:pt idx="2324">
                  <c:v>-0.498420574254544</c:v>
                </c:pt>
                <c:pt idx="2325">
                  <c:v>-0.498420574254544</c:v>
                </c:pt>
                <c:pt idx="2326">
                  <c:v>-0.498420574254544</c:v>
                </c:pt>
                <c:pt idx="2327">
                  <c:v>-0.498420574254544</c:v>
                </c:pt>
                <c:pt idx="2328">
                  <c:v>-0.498420574254544</c:v>
                </c:pt>
                <c:pt idx="2329">
                  <c:v>-0.498420574254544</c:v>
                </c:pt>
                <c:pt idx="2330">
                  <c:v>-0.498420574254544</c:v>
                </c:pt>
                <c:pt idx="2331">
                  <c:v>-0.498420574254544</c:v>
                </c:pt>
                <c:pt idx="2332">
                  <c:v>-0.498420574254544</c:v>
                </c:pt>
                <c:pt idx="2333">
                  <c:v>-0.498420574254544</c:v>
                </c:pt>
                <c:pt idx="2334">
                  <c:v>-0.498420574254544</c:v>
                </c:pt>
                <c:pt idx="2335">
                  <c:v>-0.498420574254544</c:v>
                </c:pt>
                <c:pt idx="2336">
                  <c:v>-0.498420574254544</c:v>
                </c:pt>
                <c:pt idx="2337">
                  <c:v>-0.498420574254544</c:v>
                </c:pt>
                <c:pt idx="2338">
                  <c:v>-0.498420574254544</c:v>
                </c:pt>
                <c:pt idx="2339">
                  <c:v>-0.498420574254544</c:v>
                </c:pt>
                <c:pt idx="2340">
                  <c:v>-0.498420574254544</c:v>
                </c:pt>
                <c:pt idx="2341">
                  <c:v>-0.498420574254544</c:v>
                </c:pt>
                <c:pt idx="2342">
                  <c:v>-0.498420574254544</c:v>
                </c:pt>
                <c:pt idx="2343">
                  <c:v>-0.498420574254544</c:v>
                </c:pt>
                <c:pt idx="2344">
                  <c:v>-0.498420574254544</c:v>
                </c:pt>
                <c:pt idx="2345">
                  <c:v>-0.498420574254544</c:v>
                </c:pt>
                <c:pt idx="2346">
                  <c:v>-0.498420574254544</c:v>
                </c:pt>
                <c:pt idx="2347">
                  <c:v>-0.498420574254544</c:v>
                </c:pt>
                <c:pt idx="2348">
                  <c:v>-0.498420574254544</c:v>
                </c:pt>
                <c:pt idx="2349">
                  <c:v>-0.498420574254544</c:v>
                </c:pt>
                <c:pt idx="2350">
                  <c:v>-0.498420574254544</c:v>
                </c:pt>
                <c:pt idx="2351">
                  <c:v>-0.498420574254544</c:v>
                </c:pt>
                <c:pt idx="2352">
                  <c:v>-0.498420574254544</c:v>
                </c:pt>
                <c:pt idx="2353">
                  <c:v>-0.498420574254544</c:v>
                </c:pt>
                <c:pt idx="2354">
                  <c:v>-0.498420574254544</c:v>
                </c:pt>
                <c:pt idx="2355">
                  <c:v>-0.498420574254544</c:v>
                </c:pt>
                <c:pt idx="2356">
                  <c:v>-0.4538457261393</c:v>
                </c:pt>
                <c:pt idx="2357">
                  <c:v>-0.467905818033747</c:v>
                </c:pt>
                <c:pt idx="2358">
                  <c:v>-0.536123300929028</c:v>
                </c:pt>
                <c:pt idx="2359">
                  <c:v>-0.516335023447954</c:v>
                </c:pt>
                <c:pt idx="2360">
                  <c:v>-0.504357908130462</c:v>
                </c:pt>
                <c:pt idx="2361">
                  <c:v>-0.566847205439116</c:v>
                </c:pt>
                <c:pt idx="2362">
                  <c:v>-0.620483852295711</c:v>
                </c:pt>
                <c:pt idx="2363">
                  <c:v>-0.585073250487473</c:v>
                </c:pt>
                <c:pt idx="2364">
                  <c:v>-0.539768509938699</c:v>
                </c:pt>
                <c:pt idx="2365">
                  <c:v>-0.487694095514821</c:v>
                </c:pt>
                <c:pt idx="2366">
                  <c:v>-0.487173351370582</c:v>
                </c:pt>
                <c:pt idx="2367">
                  <c:v>-0.445513819831479</c:v>
                </c:pt>
                <c:pt idx="2368">
                  <c:v>-0.433015960369749</c:v>
                </c:pt>
                <c:pt idx="2369">
                  <c:v>-0.468426562177986</c:v>
                </c:pt>
                <c:pt idx="2370">
                  <c:v>-0.586114738775951</c:v>
                </c:pt>
                <c:pt idx="2371">
                  <c:v>-0.602778551391592</c:v>
                </c:pt>
                <c:pt idx="2372">
                  <c:v>-0.540809998227177</c:v>
                </c:pt>
                <c:pt idx="2373">
                  <c:v>-0.618921619862994</c:v>
                </c:pt>
                <c:pt idx="2374">
                  <c:v>-0.615797154997562</c:v>
                </c:pt>
                <c:pt idx="2375">
                  <c:v>-0.562681252285206</c:v>
                </c:pt>
                <c:pt idx="2376">
                  <c:v>-0.541330742371416</c:v>
                </c:pt>
                <c:pt idx="2377">
                  <c:v>-0.597050365804965</c:v>
                </c:pt>
                <c:pt idx="2378">
                  <c:v>-0.620483852295711</c:v>
                </c:pt>
                <c:pt idx="2379">
                  <c:v>-0.645479571219172</c:v>
                </c:pt>
                <c:pt idx="2380">
                  <c:v>-0.662912661138345</c:v>
                </c:pt>
                <c:pt idx="2381">
                  <c:v>-0.662912661138345</c:v>
                </c:pt>
                <c:pt idx="2382">
                  <c:v>-0.662912661138345</c:v>
                </c:pt>
                <c:pt idx="2383">
                  <c:v>-0.662912661138345</c:v>
                </c:pt>
                <c:pt idx="2384">
                  <c:v>-0.662912661138345</c:v>
                </c:pt>
                <c:pt idx="2385">
                  <c:v>-0.662912661138345</c:v>
                </c:pt>
                <c:pt idx="2386">
                  <c:v>-0.662912661138345</c:v>
                </c:pt>
                <c:pt idx="2387">
                  <c:v>-0.662912661138345</c:v>
                </c:pt>
                <c:pt idx="2388">
                  <c:v>-0.662912661138345</c:v>
                </c:pt>
                <c:pt idx="2389">
                  <c:v>-0.662912661138345</c:v>
                </c:pt>
                <c:pt idx="2390">
                  <c:v>-0.662912661138345</c:v>
                </c:pt>
                <c:pt idx="2391">
                  <c:v>-0.662912661138345</c:v>
                </c:pt>
                <c:pt idx="2392">
                  <c:v>-0.662912661138345</c:v>
                </c:pt>
                <c:pt idx="2393">
                  <c:v>-0.662912661138345</c:v>
                </c:pt>
                <c:pt idx="2394">
                  <c:v>-0.662912661138345</c:v>
                </c:pt>
                <c:pt idx="2395">
                  <c:v>-0.662912661138345</c:v>
                </c:pt>
                <c:pt idx="2396">
                  <c:v>-0.662912661138345</c:v>
                </c:pt>
                <c:pt idx="2397">
                  <c:v>-0.662912661138345</c:v>
                </c:pt>
                <c:pt idx="2398">
                  <c:v>-0.662912661138345</c:v>
                </c:pt>
                <c:pt idx="2399">
                  <c:v>-0.662912661138345</c:v>
                </c:pt>
                <c:pt idx="2400">
                  <c:v>-0.662912661138345</c:v>
                </c:pt>
                <c:pt idx="2401">
                  <c:v>-0.662912661138345</c:v>
                </c:pt>
                <c:pt idx="2402">
                  <c:v>-0.662912661138345</c:v>
                </c:pt>
                <c:pt idx="2403">
                  <c:v>-0.662912661138345</c:v>
                </c:pt>
                <c:pt idx="2404">
                  <c:v>-0.662912661138345</c:v>
                </c:pt>
                <c:pt idx="2405">
                  <c:v>-0.662912661138345</c:v>
                </c:pt>
                <c:pt idx="2406">
                  <c:v>-0.662912661138345</c:v>
                </c:pt>
                <c:pt idx="2407">
                  <c:v>-0.662912661138345</c:v>
                </c:pt>
                <c:pt idx="2408">
                  <c:v>-0.662912661138345</c:v>
                </c:pt>
                <c:pt idx="2409">
                  <c:v>-0.662912661138345</c:v>
                </c:pt>
                <c:pt idx="2410">
                  <c:v>-0.662912661138345</c:v>
                </c:pt>
                <c:pt idx="2411">
                  <c:v>-0.662912661138345</c:v>
                </c:pt>
                <c:pt idx="2412">
                  <c:v>-0.662912661138345</c:v>
                </c:pt>
                <c:pt idx="2413">
                  <c:v>-0.662912661138345</c:v>
                </c:pt>
                <c:pt idx="2414">
                  <c:v>-0.662912661138345</c:v>
                </c:pt>
                <c:pt idx="2415">
                  <c:v>-0.662912661138345</c:v>
                </c:pt>
                <c:pt idx="2416">
                  <c:v>-0.662912661138345</c:v>
                </c:pt>
                <c:pt idx="2417">
                  <c:v>-0.662912661138345</c:v>
                </c:pt>
                <c:pt idx="2418">
                  <c:v>-0.662912661138345</c:v>
                </c:pt>
                <c:pt idx="2419">
                  <c:v>-0.662912661138345</c:v>
                </c:pt>
                <c:pt idx="2420">
                  <c:v>-0.662912661138345</c:v>
                </c:pt>
                <c:pt idx="2421">
                  <c:v>-0.662912661138345</c:v>
                </c:pt>
                <c:pt idx="2422">
                  <c:v>-0.662912661138345</c:v>
                </c:pt>
                <c:pt idx="2423">
                  <c:v>-0.662912661138345</c:v>
                </c:pt>
                <c:pt idx="2424">
                  <c:v>-0.662912661138345</c:v>
                </c:pt>
                <c:pt idx="2425">
                  <c:v>-0.662912661138345</c:v>
                </c:pt>
                <c:pt idx="2426">
                  <c:v>-0.662912661138345</c:v>
                </c:pt>
                <c:pt idx="2427">
                  <c:v>-0.662912661138345</c:v>
                </c:pt>
                <c:pt idx="2428">
                  <c:v>-0.662912661138345</c:v>
                </c:pt>
                <c:pt idx="2429">
                  <c:v>-0.662912661138345</c:v>
                </c:pt>
                <c:pt idx="2430">
                  <c:v>-0.662912661138345</c:v>
                </c:pt>
                <c:pt idx="2431">
                  <c:v>-0.662912661138345</c:v>
                </c:pt>
                <c:pt idx="2432">
                  <c:v>-0.662912661138345</c:v>
                </c:pt>
                <c:pt idx="2433">
                  <c:v>-0.662912661138345</c:v>
                </c:pt>
                <c:pt idx="2434">
                  <c:v>-0.662912661138345</c:v>
                </c:pt>
                <c:pt idx="2435">
                  <c:v>-0.662912661138345</c:v>
                </c:pt>
                <c:pt idx="2436">
                  <c:v>-0.667751607293248</c:v>
                </c:pt>
                <c:pt idx="2437">
                  <c:v>-0.67205848439076</c:v>
                </c:pt>
                <c:pt idx="2438">
                  <c:v>-0.689285992780805</c:v>
                </c:pt>
                <c:pt idx="2439">
                  <c:v>-0.628206644852462</c:v>
                </c:pt>
                <c:pt idx="2440">
                  <c:v>-0.606672259364905</c:v>
                </c:pt>
                <c:pt idx="2441">
                  <c:v>-0.589836285256452</c:v>
                </c:pt>
                <c:pt idx="2442">
                  <c:v>-0.594926230917147</c:v>
                </c:pt>
                <c:pt idx="2443">
                  <c:v>-0.53697915724154</c:v>
                </c:pt>
                <c:pt idx="2444">
                  <c:v>-0.549899788534074</c:v>
                </c:pt>
                <c:pt idx="2445">
                  <c:v>-0.537370691523132</c:v>
                </c:pt>
                <c:pt idx="2446">
                  <c:v>-0.519360114569902</c:v>
                </c:pt>
                <c:pt idx="2447">
                  <c:v>-0.513095566064431</c:v>
                </c:pt>
                <c:pt idx="2448">
                  <c:v>-0.518185511725127</c:v>
                </c:pt>
                <c:pt idx="2449">
                  <c:v>-0.527190800201741</c:v>
                </c:pt>
                <c:pt idx="2450">
                  <c:v>-0.514270168909207</c:v>
                </c:pt>
                <c:pt idx="2451">
                  <c:v>-0.464545315147031</c:v>
                </c:pt>
                <c:pt idx="2452">
                  <c:v>-0.426566489832612</c:v>
                </c:pt>
                <c:pt idx="2453">
                  <c:v>-0.426566489832612</c:v>
                </c:pt>
                <c:pt idx="2454">
                  <c:v>-0.412471255695302</c:v>
                </c:pt>
                <c:pt idx="2455">
                  <c:v>-0.387021527391826</c:v>
                </c:pt>
                <c:pt idx="2456">
                  <c:v>-0.366661744749045</c:v>
                </c:pt>
                <c:pt idx="2457">
                  <c:v>-0.340428947882385</c:v>
                </c:pt>
                <c:pt idx="2458">
                  <c:v>-0.294619436936128</c:v>
                </c:pt>
                <c:pt idx="2459">
                  <c:v>-0.314196151015725</c:v>
                </c:pt>
                <c:pt idx="2460">
                  <c:v>-0.36157179908835</c:v>
                </c:pt>
                <c:pt idx="2461">
                  <c:v>-0.314979219578909</c:v>
                </c:pt>
                <c:pt idx="2462">
                  <c:v>-0.314979219578909</c:v>
                </c:pt>
                <c:pt idx="2463">
                  <c:v>-0.304016259694335</c:v>
                </c:pt>
                <c:pt idx="2464">
                  <c:v>-0.315370753860501</c:v>
                </c:pt>
                <c:pt idx="2465">
                  <c:v>-0.343169687853529</c:v>
                </c:pt>
                <c:pt idx="2466">
                  <c:v>-0.338862810756017</c:v>
                </c:pt>
                <c:pt idx="2467">
                  <c:v>-0.3737093618177</c:v>
                </c:pt>
                <c:pt idx="2468">
                  <c:v>-0.357656456272431</c:v>
                </c:pt>
                <c:pt idx="2469">
                  <c:v>-0.309889273918214</c:v>
                </c:pt>
                <c:pt idx="2470">
                  <c:v>-0.283656477051554</c:v>
                </c:pt>
                <c:pt idx="2471">
                  <c:v>-0.294227902654536</c:v>
                </c:pt>
                <c:pt idx="2472">
                  <c:v>-0.279741134235634</c:v>
                </c:pt>
                <c:pt idx="2473">
                  <c:v>-0.248809925989871</c:v>
                </c:pt>
                <c:pt idx="2474">
                  <c:v>-0.245677651737135</c:v>
                </c:pt>
                <c:pt idx="2475">
                  <c:v>-0.237846966105297</c:v>
                </c:pt>
                <c:pt idx="2476">
                  <c:v>-0.213963374928188</c:v>
                </c:pt>
                <c:pt idx="2477">
                  <c:v>-0.2182702520257</c:v>
                </c:pt>
                <c:pt idx="2478">
                  <c:v>-0.2425453774844</c:v>
                </c:pt>
                <c:pt idx="2479">
                  <c:v>-0.255857543058526</c:v>
                </c:pt>
                <c:pt idx="2480">
                  <c:v>-0.244111514610768</c:v>
                </c:pt>
                <c:pt idx="2481">
                  <c:v>-0.253508337368974</c:v>
                </c:pt>
                <c:pt idx="2482">
                  <c:v>-0.250767597397831</c:v>
                </c:pt>
                <c:pt idx="2483">
                  <c:v>-0.249201460271463</c:v>
                </c:pt>
                <c:pt idx="2484">
                  <c:v>-0.266037434379916</c:v>
                </c:pt>
                <c:pt idx="2485">
                  <c:v>-0.257423680184894</c:v>
                </c:pt>
                <c:pt idx="2486">
                  <c:v>-0.29305329980976</c:v>
                </c:pt>
                <c:pt idx="2487">
                  <c:v>-0.302841656849559</c:v>
                </c:pt>
                <c:pt idx="2488">
                  <c:v>-0.315476520297437</c:v>
                </c:pt>
                <c:pt idx="2489">
                  <c:v>-0.315476520297437</c:v>
                </c:pt>
                <c:pt idx="2490">
                  <c:v>-0.315476520297437</c:v>
                </c:pt>
                <c:pt idx="2491">
                  <c:v>-0.315476520297437</c:v>
                </c:pt>
                <c:pt idx="2492">
                  <c:v>-0.315476520297437</c:v>
                </c:pt>
                <c:pt idx="2493">
                  <c:v>-0.315476520297437</c:v>
                </c:pt>
                <c:pt idx="2494">
                  <c:v>-0.315476520297437</c:v>
                </c:pt>
                <c:pt idx="2495">
                  <c:v>-0.315476520297437</c:v>
                </c:pt>
                <c:pt idx="2496">
                  <c:v>-0.315476520297437</c:v>
                </c:pt>
                <c:pt idx="2497">
                  <c:v>-0.315476520297437</c:v>
                </c:pt>
                <c:pt idx="2498">
                  <c:v>-0.315476520297437</c:v>
                </c:pt>
                <c:pt idx="2499">
                  <c:v>-0.315476520297437</c:v>
                </c:pt>
                <c:pt idx="2500">
                  <c:v>-0.315476520297437</c:v>
                </c:pt>
                <c:pt idx="2501">
                  <c:v>-0.315476520297437</c:v>
                </c:pt>
                <c:pt idx="2502">
                  <c:v>-0.315476520297437</c:v>
                </c:pt>
                <c:pt idx="2503">
                  <c:v>-0.315476520297437</c:v>
                </c:pt>
                <c:pt idx="2504">
                  <c:v>-0.315476520297437</c:v>
                </c:pt>
                <c:pt idx="2505">
                  <c:v>-0.315476520297437</c:v>
                </c:pt>
                <c:pt idx="2506">
                  <c:v>-0.313710314951054</c:v>
                </c:pt>
                <c:pt idx="2507">
                  <c:v>-0.257287491688099</c:v>
                </c:pt>
                <c:pt idx="2508">
                  <c:v>-0.330124227173005</c:v>
                </c:pt>
                <c:pt idx="2509">
                  <c:v>-0.164959235439628</c:v>
                </c:pt>
                <c:pt idx="2510">
                  <c:v>-0.146493584189934</c:v>
                </c:pt>
                <c:pt idx="2511">
                  <c:v>-0.056217066969206</c:v>
                </c:pt>
                <c:pt idx="2512">
                  <c:v>-0.119820976829264</c:v>
                </c:pt>
                <c:pt idx="2513">
                  <c:v>-0.181373147661578</c:v>
                </c:pt>
                <c:pt idx="2514">
                  <c:v>-0.168036843981244</c:v>
                </c:pt>
                <c:pt idx="2515">
                  <c:v>-0.077760326760516</c:v>
                </c:pt>
                <c:pt idx="2516">
                  <c:v>-0.155726409814781</c:v>
                </c:pt>
                <c:pt idx="2517">
                  <c:v>-0.188554234258682</c:v>
                </c:pt>
                <c:pt idx="2518">
                  <c:v>-0.221382058702583</c:v>
                </c:pt>
                <c:pt idx="2519">
                  <c:v>-0.158804018356397</c:v>
                </c:pt>
                <c:pt idx="2520">
                  <c:v>-0.138286628078958</c:v>
                </c:pt>
                <c:pt idx="2521">
                  <c:v>-0.272675534396178</c:v>
                </c:pt>
                <c:pt idx="2522">
                  <c:v>-0.233692492869045</c:v>
                </c:pt>
                <c:pt idx="2523">
                  <c:v>-0.224459667244198</c:v>
                </c:pt>
                <c:pt idx="2524">
                  <c:v>-0.282934229534897</c:v>
                </c:pt>
                <c:pt idx="2525">
                  <c:v>-0.229589014813558</c:v>
                </c:pt>
                <c:pt idx="2526">
                  <c:v>-0.221677030383471</c:v>
                </c:pt>
                <c:pt idx="2527">
                  <c:v>-0.221677030383471</c:v>
                </c:pt>
                <c:pt idx="2528">
                  <c:v>-0.221677030383471</c:v>
                </c:pt>
                <c:pt idx="2529">
                  <c:v>-0.221677030383471</c:v>
                </c:pt>
                <c:pt idx="2530">
                  <c:v>-0.221677030383471</c:v>
                </c:pt>
                <c:pt idx="2531">
                  <c:v>-0.221677030383471</c:v>
                </c:pt>
                <c:pt idx="2532">
                  <c:v>-0.221677030383471</c:v>
                </c:pt>
                <c:pt idx="2533">
                  <c:v>-0.221677030383471</c:v>
                </c:pt>
                <c:pt idx="2534">
                  <c:v>-0.221677030383471</c:v>
                </c:pt>
                <c:pt idx="2535">
                  <c:v>-0.221677030383471</c:v>
                </c:pt>
                <c:pt idx="2536">
                  <c:v>-0.221677030383471</c:v>
                </c:pt>
                <c:pt idx="2537">
                  <c:v>-0.221677030383471</c:v>
                </c:pt>
                <c:pt idx="2538">
                  <c:v>-0.221677030383471</c:v>
                </c:pt>
                <c:pt idx="2539">
                  <c:v>-0.221677030383471</c:v>
                </c:pt>
                <c:pt idx="2540">
                  <c:v>-0.221677030383471</c:v>
                </c:pt>
                <c:pt idx="2541">
                  <c:v>-0.221677030383471</c:v>
                </c:pt>
                <c:pt idx="2542">
                  <c:v>-0.221677030383471</c:v>
                </c:pt>
                <c:pt idx="2543">
                  <c:v>-0.169681237084588</c:v>
                </c:pt>
                <c:pt idx="2544">
                  <c:v>-0.0916942106734658</c:v>
                </c:pt>
                <c:pt idx="2545">
                  <c:v>-0.0709634821338004</c:v>
                </c:pt>
                <c:pt idx="2546">
                  <c:v>-0.113412116762639</c:v>
                </c:pt>
                <c:pt idx="2547">
                  <c:v>-0.2338477778026</c:v>
                </c:pt>
                <c:pt idx="2548">
                  <c:v>-0.0452968658465955</c:v>
                </c:pt>
                <c:pt idx="2549">
                  <c:v>0</c:v>
                </c:pt>
                <c:pt idx="2550">
                  <c:v>-0.0569203919537417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-0.0229411545055053</c:v>
                </c:pt>
                <c:pt idx="2555">
                  <c:v>0</c:v>
                </c:pt>
                <c:pt idx="2556">
                  <c:v>-0.123021180456223</c:v>
                </c:pt>
                <c:pt idx="2557">
                  <c:v>-0.0960165310877836</c:v>
                </c:pt>
                <c:pt idx="2558">
                  <c:v>-0.139524021736936</c:v>
                </c:pt>
                <c:pt idx="2559">
                  <c:v>-0.230289648780856</c:v>
                </c:pt>
                <c:pt idx="2560">
                  <c:v>-0.213786807500143</c:v>
                </c:pt>
                <c:pt idx="2561">
                  <c:v>-0.11777027641236</c:v>
                </c:pt>
                <c:pt idx="2562">
                  <c:v>-0.0997671768334001</c:v>
                </c:pt>
                <c:pt idx="2563">
                  <c:v>-0.288799722412474</c:v>
                </c:pt>
                <c:pt idx="2564">
                  <c:v>-0.323305663272146</c:v>
                </c:pt>
                <c:pt idx="2565">
                  <c:v>-0.316810395041054</c:v>
                </c:pt>
                <c:pt idx="2566">
                  <c:v>-0.316810395041054</c:v>
                </c:pt>
                <c:pt idx="2567">
                  <c:v>-0.316810395041054</c:v>
                </c:pt>
                <c:pt idx="2568">
                  <c:v>-0.316810395041054</c:v>
                </c:pt>
                <c:pt idx="2569">
                  <c:v>-0.316810395041054</c:v>
                </c:pt>
                <c:pt idx="2570">
                  <c:v>-0.316810395041054</c:v>
                </c:pt>
                <c:pt idx="2571">
                  <c:v>-0.316810395041054</c:v>
                </c:pt>
                <c:pt idx="2572">
                  <c:v>-0.316810395041054</c:v>
                </c:pt>
                <c:pt idx="2573">
                  <c:v>-0.316810395041054</c:v>
                </c:pt>
                <c:pt idx="2574">
                  <c:v>-0.316810395041054</c:v>
                </c:pt>
                <c:pt idx="2575">
                  <c:v>-0.316810395041054</c:v>
                </c:pt>
                <c:pt idx="2576">
                  <c:v>-0.316810395041054</c:v>
                </c:pt>
                <c:pt idx="2577">
                  <c:v>-0.316810395041054</c:v>
                </c:pt>
                <c:pt idx="2578">
                  <c:v>-0.316810395041054</c:v>
                </c:pt>
                <c:pt idx="2579">
                  <c:v>-0.316810395041054</c:v>
                </c:pt>
                <c:pt idx="2580">
                  <c:v>-0.316810395041054</c:v>
                </c:pt>
                <c:pt idx="2581">
                  <c:v>-0.316810395041054</c:v>
                </c:pt>
                <c:pt idx="2582">
                  <c:v>-0.316810395041054</c:v>
                </c:pt>
                <c:pt idx="2583">
                  <c:v>-0.316810395041054</c:v>
                </c:pt>
                <c:pt idx="2584">
                  <c:v>-0.316810395041054</c:v>
                </c:pt>
                <c:pt idx="2585">
                  <c:v>-0.316810395041054</c:v>
                </c:pt>
                <c:pt idx="2586">
                  <c:v>-0.316810395041054</c:v>
                </c:pt>
                <c:pt idx="2587">
                  <c:v>-0.316810395041054</c:v>
                </c:pt>
                <c:pt idx="2588">
                  <c:v>-0.316810395041054</c:v>
                </c:pt>
                <c:pt idx="2589">
                  <c:v>-0.316810395041054</c:v>
                </c:pt>
                <c:pt idx="2590">
                  <c:v>-0.316810395041054</c:v>
                </c:pt>
                <c:pt idx="2591">
                  <c:v>-0.316810395041054</c:v>
                </c:pt>
                <c:pt idx="2592">
                  <c:v>-0.305209640467055</c:v>
                </c:pt>
                <c:pt idx="2593">
                  <c:v>-0.383514384266801</c:v>
                </c:pt>
                <c:pt idx="2594">
                  <c:v>-0.359743301327592</c:v>
                </c:pt>
                <c:pt idx="2595">
                  <c:v>-0.371628842797196</c:v>
                </c:pt>
                <c:pt idx="2596">
                  <c:v>-0.255570026094002</c:v>
                </c:pt>
                <c:pt idx="2597">
                  <c:v>-0.143006956881867</c:v>
                </c:pt>
                <c:pt idx="2598">
                  <c:v>-0.219913401685189</c:v>
                </c:pt>
                <c:pt idx="2599">
                  <c:v>-0.27234961405109</c:v>
                </c:pt>
                <c:pt idx="2600">
                  <c:v>-0.26535811906897</c:v>
                </c:pt>
                <c:pt idx="2601">
                  <c:v>-0.222709999678037</c:v>
                </c:pt>
                <c:pt idx="2602">
                  <c:v>-0.391904178245345</c:v>
                </c:pt>
                <c:pt idx="2603">
                  <c:v>-0.431056550145218</c:v>
                </c:pt>
                <c:pt idx="2604">
                  <c:v>-0.395399925736405</c:v>
                </c:pt>
                <c:pt idx="2605">
                  <c:v>-0.301713892975995</c:v>
                </c:pt>
                <c:pt idx="2606">
                  <c:v>-0.370230543800772</c:v>
                </c:pt>
                <c:pt idx="2607">
                  <c:v>-0.410781214697069</c:v>
                </c:pt>
                <c:pt idx="2608">
                  <c:v>-0.327582424409839</c:v>
                </c:pt>
                <c:pt idx="2609">
                  <c:v>-0.488386808998603</c:v>
                </c:pt>
                <c:pt idx="2610">
                  <c:v>-0.462788522132819</c:v>
                </c:pt>
                <c:pt idx="2611">
                  <c:v>-0.462788522132819</c:v>
                </c:pt>
                <c:pt idx="2612">
                  <c:v>-0.462788522132819</c:v>
                </c:pt>
                <c:pt idx="2613">
                  <c:v>-0.462788522132819</c:v>
                </c:pt>
                <c:pt idx="2614">
                  <c:v>-0.462788522132819</c:v>
                </c:pt>
                <c:pt idx="2615">
                  <c:v>-0.462788522132819</c:v>
                </c:pt>
                <c:pt idx="2616">
                  <c:v>-0.462788522132819</c:v>
                </c:pt>
                <c:pt idx="2617">
                  <c:v>-0.462788522132819</c:v>
                </c:pt>
                <c:pt idx="2618">
                  <c:v>-0.462788522132819</c:v>
                </c:pt>
                <c:pt idx="2619">
                  <c:v>-0.462788522132819</c:v>
                </c:pt>
                <c:pt idx="2620">
                  <c:v>-0.462788522132819</c:v>
                </c:pt>
                <c:pt idx="2621">
                  <c:v>-0.462788522132819</c:v>
                </c:pt>
                <c:pt idx="2622">
                  <c:v>-0.517086809135898</c:v>
                </c:pt>
                <c:pt idx="2623">
                  <c:v>-0.56818999803723</c:v>
                </c:pt>
                <c:pt idx="2624">
                  <c:v>-0.464795173981046</c:v>
                </c:pt>
                <c:pt idx="2625">
                  <c:v>-0.417851546967032</c:v>
                </c:pt>
                <c:pt idx="2626">
                  <c:v>-0.347733218009391</c:v>
                </c:pt>
                <c:pt idx="2627">
                  <c:v>-0.346544771755872</c:v>
                </c:pt>
                <c:pt idx="2628">
                  <c:v>-0.314456722910849</c:v>
                </c:pt>
                <c:pt idx="2629">
                  <c:v>-0.366154134938941</c:v>
                </c:pt>
                <c:pt idx="2630">
                  <c:v>-0.348327441136151</c:v>
                </c:pt>
                <c:pt idx="2631">
                  <c:v>-0.356646564910786</c:v>
                </c:pt>
                <c:pt idx="2632">
                  <c:v>-0.359023457417825</c:v>
                </c:pt>
                <c:pt idx="2633">
                  <c:v>-0.333471862967159</c:v>
                </c:pt>
                <c:pt idx="2634">
                  <c:v>-0.380415489981173</c:v>
                </c:pt>
                <c:pt idx="2635">
                  <c:v>-0.387546167502289</c:v>
                </c:pt>
                <c:pt idx="2636">
                  <c:v>-0.376255928093855</c:v>
                </c:pt>
                <c:pt idx="2637">
                  <c:v>-0.392299952516366</c:v>
                </c:pt>
                <c:pt idx="2638">
                  <c:v>-0.423793778234629</c:v>
                </c:pt>
                <c:pt idx="2639">
                  <c:v>-0.402401745671281</c:v>
                </c:pt>
                <c:pt idx="2640">
                  <c:v>-0.335254532347438</c:v>
                </c:pt>
                <c:pt idx="2641">
                  <c:v>-0.337037201727717</c:v>
                </c:pt>
                <c:pt idx="2642">
                  <c:v>-0.303166483502416</c:v>
                </c:pt>
                <c:pt idx="2643">
                  <c:v>-0.247309509587006</c:v>
                </c:pt>
                <c:pt idx="2644">
                  <c:v>-0.274049550291192</c:v>
                </c:pt>
                <c:pt idx="2645">
                  <c:v>-0.253251740854603</c:v>
                </c:pt>
                <c:pt idx="2646">
                  <c:v>-0.252657517727843</c:v>
                </c:pt>
                <c:pt idx="2647">
                  <c:v>-0.260976641502479</c:v>
                </c:pt>
                <c:pt idx="2648">
                  <c:v>-0.243744170826448</c:v>
                </c:pt>
                <c:pt idx="2649">
                  <c:v>-0.297224252234819</c:v>
                </c:pt>
                <c:pt idx="2650">
                  <c:v>-0.181350742516682</c:v>
                </c:pt>
                <c:pt idx="2651">
                  <c:v>-0.180162296263163</c:v>
                </c:pt>
                <c:pt idx="2652">
                  <c:v>-0.299006921615098</c:v>
                </c:pt>
                <c:pt idx="2653">
                  <c:v>-0.352487003023468</c:v>
                </c:pt>
                <c:pt idx="2654">
                  <c:v>-0.319210507924927</c:v>
                </c:pt>
                <c:pt idx="2655">
                  <c:v>-0.244338393953208</c:v>
                </c:pt>
                <c:pt idx="2656">
                  <c:v>-0.324558516065764</c:v>
                </c:pt>
                <c:pt idx="2657">
                  <c:v>-0.326935408572802</c:v>
                </c:pt>
                <c:pt idx="2658">
                  <c:v>-0.34951588738967</c:v>
                </c:pt>
                <c:pt idx="2659">
                  <c:v>-0.337037201727717</c:v>
                </c:pt>
                <c:pt idx="2660">
                  <c:v>-0.329522913572393</c:v>
                </c:pt>
                <c:pt idx="2661">
                  <c:v>-0.329522913572393</c:v>
                </c:pt>
                <c:pt idx="2662">
                  <c:v>-0.329522913572393</c:v>
                </c:pt>
                <c:pt idx="2663">
                  <c:v>-0.329522913572393</c:v>
                </c:pt>
                <c:pt idx="2664">
                  <c:v>-0.329522913572393</c:v>
                </c:pt>
                <c:pt idx="2665">
                  <c:v>-0.329522913572393</c:v>
                </c:pt>
                <c:pt idx="2666">
                  <c:v>-0.329522913572393</c:v>
                </c:pt>
                <c:pt idx="2667">
                  <c:v>-0.329522913572393</c:v>
                </c:pt>
                <c:pt idx="2668">
                  <c:v>-0.329522913572393</c:v>
                </c:pt>
                <c:pt idx="2669">
                  <c:v>-0.329522913572393</c:v>
                </c:pt>
                <c:pt idx="2670">
                  <c:v>-0.329522913572393</c:v>
                </c:pt>
                <c:pt idx="2671">
                  <c:v>-0.329522913572393</c:v>
                </c:pt>
                <c:pt idx="2672">
                  <c:v>-0.329522913572393</c:v>
                </c:pt>
                <c:pt idx="2673">
                  <c:v>-0.329522913572393</c:v>
                </c:pt>
                <c:pt idx="2674">
                  <c:v>-0.329522913572393</c:v>
                </c:pt>
                <c:pt idx="2675">
                  <c:v>-0.329522913572393</c:v>
                </c:pt>
                <c:pt idx="2676">
                  <c:v>-0.329522913572393</c:v>
                </c:pt>
                <c:pt idx="2677">
                  <c:v>-0.329522913572393</c:v>
                </c:pt>
                <c:pt idx="2678">
                  <c:v>-0.329522913572393</c:v>
                </c:pt>
                <c:pt idx="2679">
                  <c:v>-0.206675587212458</c:v>
                </c:pt>
                <c:pt idx="2680">
                  <c:v>-0.20490397690989</c:v>
                </c:pt>
                <c:pt idx="2681">
                  <c:v>-0.164156939950824</c:v>
                </c:pt>
                <c:pt idx="2682">
                  <c:v>-0.195160120245766</c:v>
                </c:pt>
                <c:pt idx="2683">
                  <c:v>-0.246536819020241</c:v>
                </c:pt>
                <c:pt idx="2684">
                  <c:v>-0.31208640021526</c:v>
                </c:pt>
                <c:pt idx="2685">
                  <c:v>-0.31208640021526</c:v>
                </c:pt>
                <c:pt idx="2686">
                  <c:v>-0.40598174625137</c:v>
                </c:pt>
                <c:pt idx="2687">
                  <c:v>-0.51316416955674</c:v>
                </c:pt>
                <c:pt idx="2688">
                  <c:v>-0.569855699238919</c:v>
                </c:pt>
                <c:pt idx="2689">
                  <c:v>-0.575474656581898</c:v>
                </c:pt>
                <c:pt idx="2690">
                  <c:v>-0.575474656581898</c:v>
                </c:pt>
                <c:pt idx="2691">
                  <c:v>-0.575474656581898</c:v>
                </c:pt>
                <c:pt idx="2692">
                  <c:v>-0.575474656581898</c:v>
                </c:pt>
                <c:pt idx="2693">
                  <c:v>-0.575474656581898</c:v>
                </c:pt>
                <c:pt idx="2694">
                  <c:v>-0.575474656581898</c:v>
                </c:pt>
                <c:pt idx="2695">
                  <c:v>-0.575474656581898</c:v>
                </c:pt>
                <c:pt idx="2696">
                  <c:v>-0.575474656581898</c:v>
                </c:pt>
                <c:pt idx="2697">
                  <c:v>-0.575474656581898</c:v>
                </c:pt>
                <c:pt idx="2698">
                  <c:v>-0.575474656581898</c:v>
                </c:pt>
                <c:pt idx="2699">
                  <c:v>-0.575474656581898</c:v>
                </c:pt>
                <c:pt idx="2700">
                  <c:v>-0.575474656581898</c:v>
                </c:pt>
                <c:pt idx="2701">
                  <c:v>-0.575474656581898</c:v>
                </c:pt>
                <c:pt idx="2702">
                  <c:v>-0.575474656581898</c:v>
                </c:pt>
                <c:pt idx="2703">
                  <c:v>-0.575474656581898</c:v>
                </c:pt>
                <c:pt idx="2704">
                  <c:v>-0.575474656581898</c:v>
                </c:pt>
                <c:pt idx="2705">
                  <c:v>-0.575474656581898</c:v>
                </c:pt>
                <c:pt idx="2706">
                  <c:v>-0.575474656581898</c:v>
                </c:pt>
                <c:pt idx="2707">
                  <c:v>-0.575474656581898</c:v>
                </c:pt>
                <c:pt idx="2708">
                  <c:v>-0.575474656581898</c:v>
                </c:pt>
                <c:pt idx="2709">
                  <c:v>-0.575474656581898</c:v>
                </c:pt>
                <c:pt idx="2710">
                  <c:v>-0.575474656581898</c:v>
                </c:pt>
                <c:pt idx="2711">
                  <c:v>-0.575474656581898</c:v>
                </c:pt>
                <c:pt idx="2712">
                  <c:v>-0.575474656581898</c:v>
                </c:pt>
                <c:pt idx="2713">
                  <c:v>-0.575474656581898</c:v>
                </c:pt>
                <c:pt idx="2714">
                  <c:v>-0.575474656581898</c:v>
                </c:pt>
                <c:pt idx="2715">
                  <c:v>-0.575474656581898</c:v>
                </c:pt>
                <c:pt idx="2716">
                  <c:v>-0.575474656581898</c:v>
                </c:pt>
                <c:pt idx="2717">
                  <c:v>-0.593149820700117</c:v>
                </c:pt>
                <c:pt idx="2718">
                  <c:v>-0.545801863015648</c:v>
                </c:pt>
                <c:pt idx="2719">
                  <c:v>-0.5370527838783</c:v>
                </c:pt>
                <c:pt idx="2720">
                  <c:v>-0.563300021290343</c:v>
                </c:pt>
                <c:pt idx="2721">
                  <c:v>-0.538596739020185</c:v>
                </c:pt>
                <c:pt idx="2722">
                  <c:v>-0.519039973889643</c:v>
                </c:pt>
                <c:pt idx="2723">
                  <c:v>-0.504629725898718</c:v>
                </c:pt>
                <c:pt idx="2724">
                  <c:v>-0.504115074184756</c:v>
                </c:pt>
                <c:pt idx="2725">
                  <c:v>-0.468604105921404</c:v>
                </c:pt>
                <c:pt idx="2726">
                  <c:v>-0.49588064676137</c:v>
                </c:pt>
                <c:pt idx="2727">
                  <c:v>-0.487131567624023</c:v>
                </c:pt>
                <c:pt idx="2728">
                  <c:v>-0.528818356454914</c:v>
                </c:pt>
                <c:pt idx="2729">
                  <c:v>-0.500512512187025</c:v>
                </c:pt>
                <c:pt idx="2730">
                  <c:v>-0.485072960768176</c:v>
                </c:pt>
                <c:pt idx="2731">
                  <c:v>-0.486616915910061</c:v>
                </c:pt>
                <c:pt idx="2732">
                  <c:v>-0.456767116500287</c:v>
                </c:pt>
                <c:pt idx="2733">
                  <c:v>-0.428975923946359</c:v>
                </c:pt>
                <c:pt idx="2734">
                  <c:v>-0.411992417385626</c:v>
                </c:pt>
                <c:pt idx="2735">
                  <c:v>-0.416109631097319</c:v>
                </c:pt>
                <c:pt idx="2736">
                  <c:v>-0.451105947646709</c:v>
                </c:pt>
                <c:pt idx="2737">
                  <c:v>-0.42588801366259</c:v>
                </c:pt>
                <c:pt idx="2738">
                  <c:v>-0.442871520223323</c:v>
                </c:pt>
                <c:pt idx="2739">
                  <c:v>-0.473750623061021</c:v>
                </c:pt>
                <c:pt idx="2740">
                  <c:v>-0.485072960768176</c:v>
                </c:pt>
                <c:pt idx="2741">
                  <c:v>-0.506173681040603</c:v>
                </c:pt>
                <c:pt idx="2742">
                  <c:v>-0.490219477907793</c:v>
                </c:pt>
                <c:pt idx="2743">
                  <c:v>-0.430519879088244</c:v>
                </c:pt>
                <c:pt idx="2744">
                  <c:v>-0.429490575660321</c:v>
                </c:pt>
                <c:pt idx="2745">
                  <c:v>-0.437210351369745</c:v>
                </c:pt>
                <c:pt idx="2746">
                  <c:v>-0.404787293390163</c:v>
                </c:pt>
                <c:pt idx="2747">
                  <c:v>-0.435151744513899</c:v>
                </c:pt>
                <c:pt idx="2748">
                  <c:v>-0.446988733935016</c:v>
                </c:pt>
                <c:pt idx="2749">
                  <c:v>-0.456252464786325</c:v>
                </c:pt>
                <c:pt idx="2750">
                  <c:v>-0.447503385648978</c:v>
                </c:pt>
                <c:pt idx="2751">
                  <c:v>-0.432063834230129</c:v>
                </c:pt>
                <c:pt idx="2752">
                  <c:v>-0.440812913367477</c:v>
                </c:pt>
                <c:pt idx="2753">
                  <c:v>-0.418168237953165</c:v>
                </c:pt>
                <c:pt idx="2754">
                  <c:v>-0.379569359406044</c:v>
                </c:pt>
                <c:pt idx="2755">
                  <c:v>-0.355380728849847</c:v>
                </c:pt>
                <c:pt idx="2756">
                  <c:v>-0.364129807987195</c:v>
                </c:pt>
                <c:pt idx="2757">
                  <c:v>-0.346116997998538</c:v>
                </c:pt>
                <c:pt idx="2758">
                  <c:v>-0.35949794256154</c:v>
                </c:pt>
                <c:pt idx="2759">
                  <c:v>-0.347660953140423</c:v>
                </c:pt>
                <c:pt idx="2760">
                  <c:v>-0.317296502016687</c:v>
                </c:pt>
                <c:pt idx="2761">
                  <c:v>-0.332221401721574</c:v>
                </c:pt>
                <c:pt idx="2762">
                  <c:v>-0.307003467737455</c:v>
                </c:pt>
                <c:pt idx="2763">
                  <c:v>-0.304944860881608</c:v>
                </c:pt>
                <c:pt idx="2764">
                  <c:v>-0.303400905739723</c:v>
                </c:pt>
                <c:pt idx="2765">
                  <c:v>-0.28332948889522</c:v>
                </c:pt>
                <c:pt idx="2766">
                  <c:v>-0.285902747465028</c:v>
                </c:pt>
                <c:pt idx="2767">
                  <c:v>-0.250391779201676</c:v>
                </c:pt>
                <c:pt idx="2768">
                  <c:v>-0.253994341199408</c:v>
                </c:pt>
                <c:pt idx="2769">
                  <c:v>-0.22002732807794</c:v>
                </c:pt>
                <c:pt idx="2770">
                  <c:v>-0.194809394093821</c:v>
                </c:pt>
                <c:pt idx="2771">
                  <c:v>-0.166503549825932</c:v>
                </c:pt>
                <c:pt idx="2772">
                  <c:v>-0.202014518089284</c:v>
                </c:pt>
                <c:pt idx="2773">
                  <c:v>-0.189148225240243</c:v>
                </c:pt>
                <c:pt idx="2774">
                  <c:v>-0.191721483810051</c:v>
                </c:pt>
                <c:pt idx="2775">
                  <c:v>-0.171135415251586</c:v>
                </c:pt>
                <c:pt idx="2776">
                  <c:v>-0.212822204082478</c:v>
                </c:pt>
                <c:pt idx="2777">
                  <c:v>-0.184001708100627</c:v>
                </c:pt>
                <c:pt idx="2778">
                  <c:v>-0.148490739837275</c:v>
                </c:pt>
                <c:pt idx="2779">
                  <c:v>-0.196868000949667</c:v>
                </c:pt>
                <c:pt idx="2780">
                  <c:v>-0.220541979791902</c:v>
                </c:pt>
                <c:pt idx="2781">
                  <c:v>-0.224144541789633</c:v>
                </c:pt>
                <c:pt idx="2782">
                  <c:v>-0.229805710643211</c:v>
                </c:pt>
                <c:pt idx="2783">
                  <c:v>-0.213336855796439</c:v>
                </c:pt>
                <c:pt idx="2784">
                  <c:v>-0.171650066965548</c:v>
                </c:pt>
                <c:pt idx="2785">
                  <c:v>-0.158783774116507</c:v>
                </c:pt>
                <c:pt idx="2786">
                  <c:v>-0.102172085580729</c:v>
                </c:pt>
                <c:pt idx="2787">
                  <c:v>-0.0836446238781102</c:v>
                </c:pt>
                <c:pt idx="2788">
                  <c:v>-0.0769541515966091</c:v>
                </c:pt>
                <c:pt idx="2789">
                  <c:v>-0.0748955447407627</c:v>
                </c:pt>
                <c:pt idx="2790">
                  <c:v>-0.0712929827430313</c:v>
                </c:pt>
                <c:pt idx="2791">
                  <c:v>-0.107318602720345</c:v>
                </c:pt>
                <c:pt idx="2792">
                  <c:v>-0.12790467127881</c:v>
                </c:pt>
                <c:pt idx="2793">
                  <c:v>-0.111950468146</c:v>
                </c:pt>
                <c:pt idx="2794">
                  <c:v>-0.10577464757846</c:v>
                </c:pt>
                <c:pt idx="2795">
                  <c:v>-0.135109795274273</c:v>
                </c:pt>
                <c:pt idx="2796">
                  <c:v>-0.118126288713539</c:v>
                </c:pt>
                <c:pt idx="2797">
                  <c:v>-0.0743808930268011</c:v>
                </c:pt>
                <c:pt idx="2798">
                  <c:v>-0.148490739837275</c:v>
                </c:pt>
                <c:pt idx="2799">
                  <c:v>-0.15428676461295</c:v>
                </c:pt>
                <c:pt idx="2800">
                  <c:v>-0.15428676461295</c:v>
                </c:pt>
                <c:pt idx="2801">
                  <c:v>-0.15428676461295</c:v>
                </c:pt>
                <c:pt idx="2802">
                  <c:v>-0.15428676461295</c:v>
                </c:pt>
                <c:pt idx="2803">
                  <c:v>-0.15428676461295</c:v>
                </c:pt>
                <c:pt idx="2804">
                  <c:v>-0.15428676461295</c:v>
                </c:pt>
                <c:pt idx="2805">
                  <c:v>-0.15428676461295</c:v>
                </c:pt>
                <c:pt idx="2806">
                  <c:v>-0.15428676461295</c:v>
                </c:pt>
                <c:pt idx="2807">
                  <c:v>-0.15428676461295</c:v>
                </c:pt>
                <c:pt idx="2808">
                  <c:v>-0.15428676461295</c:v>
                </c:pt>
                <c:pt idx="2809">
                  <c:v>-0.15428676461295</c:v>
                </c:pt>
                <c:pt idx="2810">
                  <c:v>-0.15428676461295</c:v>
                </c:pt>
                <c:pt idx="2811">
                  <c:v>-0.15428676461295</c:v>
                </c:pt>
                <c:pt idx="2812">
                  <c:v>-0.15428676461295</c:v>
                </c:pt>
                <c:pt idx="2813">
                  <c:v>-0.15428676461295</c:v>
                </c:pt>
                <c:pt idx="2814">
                  <c:v>-0.15428676461295</c:v>
                </c:pt>
                <c:pt idx="2815">
                  <c:v>-0.15428676461295</c:v>
                </c:pt>
                <c:pt idx="2816">
                  <c:v>-0.15428676461295</c:v>
                </c:pt>
                <c:pt idx="2817">
                  <c:v>-0.15428676461295</c:v>
                </c:pt>
                <c:pt idx="2818">
                  <c:v>-0.15428676461295</c:v>
                </c:pt>
                <c:pt idx="2819">
                  <c:v>-0.15428676461295</c:v>
                </c:pt>
                <c:pt idx="2820">
                  <c:v>-0.15428676461295</c:v>
                </c:pt>
                <c:pt idx="2821">
                  <c:v>-0.15428676461295</c:v>
                </c:pt>
                <c:pt idx="2822">
                  <c:v>-0.15428676461295</c:v>
                </c:pt>
                <c:pt idx="2823">
                  <c:v>-0.15428676461295</c:v>
                </c:pt>
                <c:pt idx="2824">
                  <c:v>-0.15428676461295</c:v>
                </c:pt>
                <c:pt idx="2825">
                  <c:v>-0.15428676461295</c:v>
                </c:pt>
                <c:pt idx="2826">
                  <c:v>-0.15428676461295</c:v>
                </c:pt>
                <c:pt idx="2827">
                  <c:v>-0.15428676461295</c:v>
                </c:pt>
                <c:pt idx="2828">
                  <c:v>-0.15428676461295</c:v>
                </c:pt>
                <c:pt idx="2829">
                  <c:v>-0.15428676461295</c:v>
                </c:pt>
                <c:pt idx="2830">
                  <c:v>-0.15428676461295</c:v>
                </c:pt>
                <c:pt idx="2831">
                  <c:v>-0.15428676461295</c:v>
                </c:pt>
                <c:pt idx="2832">
                  <c:v>-0.15428676461295</c:v>
                </c:pt>
                <c:pt idx="2833">
                  <c:v>-0.15428676461295</c:v>
                </c:pt>
                <c:pt idx="2834">
                  <c:v>-0.15428676461295</c:v>
                </c:pt>
                <c:pt idx="2835">
                  <c:v>-0.15428676461295</c:v>
                </c:pt>
                <c:pt idx="2836">
                  <c:v>-0.15428676461295</c:v>
                </c:pt>
                <c:pt idx="2837">
                  <c:v>-0.15428676461295</c:v>
                </c:pt>
                <c:pt idx="2838">
                  <c:v>-0.15428676461295</c:v>
                </c:pt>
                <c:pt idx="2839">
                  <c:v>-0.15428676461295</c:v>
                </c:pt>
                <c:pt idx="2840">
                  <c:v>-0.107473428729363</c:v>
                </c:pt>
                <c:pt idx="2841">
                  <c:v>-0.121345827916495</c:v>
                </c:pt>
                <c:pt idx="2842">
                  <c:v>-0.100537229135798</c:v>
                </c:pt>
                <c:pt idx="2843">
                  <c:v>-0.0949882694609452</c:v>
                </c:pt>
                <c:pt idx="2844">
                  <c:v>-0.0048176747445926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-0.0412818389661307</c:v>
                </c:pt>
                <c:pt idx="2849">
                  <c:v>-0.100077185372438</c:v>
                </c:pt>
                <c:pt idx="2850">
                  <c:v>-0.141359024338569</c:v>
                </c:pt>
                <c:pt idx="2851">
                  <c:v>-0.0587953464063074</c:v>
                </c:pt>
                <c:pt idx="2852">
                  <c:v>-0.0125096481715548</c:v>
                </c:pt>
                <c:pt idx="2853">
                  <c:v>-0.0225173667087986</c:v>
                </c:pt>
                <c:pt idx="2854">
                  <c:v>0</c:v>
                </c:pt>
                <c:pt idx="2855">
                  <c:v>0</c:v>
                </c:pt>
                <c:pt idx="2856">
                  <c:v>-0.0281093749143763</c:v>
                </c:pt>
                <c:pt idx="2857">
                  <c:v>-0.022487499931501</c:v>
                </c:pt>
                <c:pt idx="2858">
                  <c:v>-0.0123681249623255</c:v>
                </c:pt>
                <c:pt idx="2859">
                  <c:v>-0.0123681249623255</c:v>
                </c:pt>
                <c:pt idx="2860">
                  <c:v>0</c:v>
                </c:pt>
                <c:pt idx="2861">
                  <c:v>-0.00776584432183225</c:v>
                </c:pt>
                <c:pt idx="2862">
                  <c:v>-0.0521420975894449</c:v>
                </c:pt>
                <c:pt idx="2863">
                  <c:v>-0.0787678495500125</c:v>
                </c:pt>
                <c:pt idx="2864">
                  <c:v>-0.107612414173961</c:v>
                </c:pt>
                <c:pt idx="2865">
                  <c:v>-0.0532515039211352</c:v>
                </c:pt>
                <c:pt idx="2866">
                  <c:v>-0.0687831925647996</c:v>
                </c:pt>
                <c:pt idx="2867">
                  <c:v>-0.00665643799014193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-0.0712553051918653</c:v>
                </c:pt>
                <c:pt idx="2872">
                  <c:v>-0.0916139638181125</c:v>
                </c:pt>
                <c:pt idx="2873">
                  <c:v>-0.0865242991615507</c:v>
                </c:pt>
                <c:pt idx="2874">
                  <c:v>-0.160833403147353</c:v>
                </c:pt>
                <c:pt idx="2875">
                  <c:v>-0.184245860567537</c:v>
                </c:pt>
                <c:pt idx="2876">
                  <c:v>-0.11197262244436</c:v>
                </c:pt>
                <c:pt idx="2877">
                  <c:v>-0.142510610383731</c:v>
                </c:pt>
                <c:pt idx="2878">
                  <c:v>-0.123169884688796</c:v>
                </c:pt>
                <c:pt idx="2879">
                  <c:v>-0.101793293131236</c:v>
                </c:pt>
                <c:pt idx="2880">
                  <c:v>-0.0977215614059867</c:v>
                </c:pt>
                <c:pt idx="2881">
                  <c:v>-0.105865024856486</c:v>
                </c:pt>
                <c:pt idx="2882">
                  <c:v>-0.0325738538019955</c:v>
                </c:pt>
                <c:pt idx="2883">
                  <c:v>-0.0885601650241754</c:v>
                </c:pt>
                <c:pt idx="2884">
                  <c:v>-0.144546476246355</c:v>
                </c:pt>
                <c:pt idx="2885">
                  <c:v>-0.140709717339763</c:v>
                </c:pt>
                <c:pt idx="2886">
                  <c:v>-0.140709717339763</c:v>
                </c:pt>
                <c:pt idx="2887">
                  <c:v>-0.140709717339763</c:v>
                </c:pt>
                <c:pt idx="2888">
                  <c:v>-0.140709717339763</c:v>
                </c:pt>
                <c:pt idx="2889">
                  <c:v>-0.140709717339763</c:v>
                </c:pt>
                <c:pt idx="2890">
                  <c:v>-0.140709717339763</c:v>
                </c:pt>
                <c:pt idx="2891">
                  <c:v>-0.140709717339763</c:v>
                </c:pt>
                <c:pt idx="2892">
                  <c:v>-0.140709717339763</c:v>
                </c:pt>
                <c:pt idx="2893">
                  <c:v>-0.140709717339763</c:v>
                </c:pt>
                <c:pt idx="2894">
                  <c:v>-0.140709717339763</c:v>
                </c:pt>
                <c:pt idx="2895">
                  <c:v>-0.140709717339763</c:v>
                </c:pt>
                <c:pt idx="2896">
                  <c:v>-0.140709717339763</c:v>
                </c:pt>
                <c:pt idx="2897">
                  <c:v>-0.140709717339763</c:v>
                </c:pt>
                <c:pt idx="2898">
                  <c:v>-0.177113734761332</c:v>
                </c:pt>
                <c:pt idx="2899">
                  <c:v>-0.165644720248825</c:v>
                </c:pt>
                <c:pt idx="2900">
                  <c:v>-0.203328625075635</c:v>
                </c:pt>
                <c:pt idx="2901">
                  <c:v>-0.164006289604181</c:v>
                </c:pt>
                <c:pt idx="2902">
                  <c:v>-0.0640620202809011</c:v>
                </c:pt>
                <c:pt idx="2903">
                  <c:v>-0.0919153412398479</c:v>
                </c:pt>
                <c:pt idx="2904">
                  <c:v>-0.13451453800059</c:v>
                </c:pt>
                <c:pt idx="2905">
                  <c:v>-0.0706157428594768</c:v>
                </c:pt>
                <c:pt idx="2906">
                  <c:v>-0.067338881570189</c:v>
                </c:pt>
                <c:pt idx="2907">
                  <c:v>-0.105022786396999</c:v>
                </c:pt>
                <c:pt idx="2908">
                  <c:v>-0.175475304116688</c:v>
                </c:pt>
                <c:pt idx="2909">
                  <c:v>-0.165644720248825</c:v>
                </c:pt>
                <c:pt idx="2910">
                  <c:v>-0.0837231880166283</c:v>
                </c:pt>
                <c:pt idx="2911">
                  <c:v>-0.04276242190053</c:v>
                </c:pt>
                <c:pt idx="2912">
                  <c:v>0</c:v>
                </c:pt>
                <c:pt idx="2913">
                  <c:v>-0.0127542779778408</c:v>
                </c:pt>
                <c:pt idx="2914">
                  <c:v>0</c:v>
                </c:pt>
                <c:pt idx="2915">
                  <c:v>-0.0579939710953812</c:v>
                </c:pt>
                <c:pt idx="2916">
                  <c:v>-0.0488370282908474</c:v>
                </c:pt>
                <c:pt idx="2917">
                  <c:v>-0.0442585568885804</c:v>
                </c:pt>
                <c:pt idx="2918">
                  <c:v>-0.07478169957036</c:v>
                </c:pt>
                <c:pt idx="2919">
                  <c:v>-0.0457847140226694</c:v>
                </c:pt>
                <c:pt idx="2920">
                  <c:v>0</c:v>
                </c:pt>
                <c:pt idx="2921">
                  <c:v>-0.0567486908108711</c:v>
                </c:pt>
                <c:pt idx="2922">
                  <c:v>-0.0494732176299902</c:v>
                </c:pt>
                <c:pt idx="2923">
                  <c:v>-0.0494732176299902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-0.00632718754502037</c:v>
                </c:pt>
                <c:pt idx="2928">
                  <c:v>0</c:v>
                </c:pt>
                <c:pt idx="2929">
                  <c:v>-0.0270190433365969</c:v>
                </c:pt>
                <c:pt idx="2930">
                  <c:v>-0.0233346283361519</c:v>
                </c:pt>
                <c:pt idx="2931">
                  <c:v>0</c:v>
                </c:pt>
                <c:pt idx="2932">
                  <c:v>0</c:v>
                </c:pt>
                <c:pt idx="2933">
                  <c:v>-0.0151826497789718</c:v>
                </c:pt>
                <c:pt idx="2934">
                  <c:v>-0.0233579227368796</c:v>
                </c:pt>
                <c:pt idx="2935">
                  <c:v>0</c:v>
                </c:pt>
                <c:pt idx="2936">
                  <c:v>-0.0782099644434918</c:v>
                </c:pt>
                <c:pt idx="2937">
                  <c:v>-0.0714090979701447</c:v>
                </c:pt>
                <c:pt idx="2938">
                  <c:v>-0.0736760534612605</c:v>
                </c:pt>
                <c:pt idx="2939">
                  <c:v>-0.0555404095323349</c:v>
                </c:pt>
                <c:pt idx="2940">
                  <c:v>-0.0317373768756198</c:v>
                </c:pt>
                <c:pt idx="2941">
                  <c:v>-0.0351378101122934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-0.0241282230715381</c:v>
                </c:pt>
                <c:pt idx="2947">
                  <c:v>0</c:v>
                </c:pt>
                <c:pt idx="2948">
                  <c:v>-0.048591843333332</c:v>
                </c:pt>
                <c:pt idx="2949">
                  <c:v>-0.0258467251773042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-0.00581823528197667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-0.000901517730834134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-0.0773944587580706</c:v>
                </c:pt>
                <c:pt idx="2963">
                  <c:v>-0.0592304531311765</c:v>
                </c:pt>
                <c:pt idx="2964">
                  <c:v>-0.0931892462597177</c:v>
                </c:pt>
                <c:pt idx="2965">
                  <c:v>-0.0955584643849647</c:v>
                </c:pt>
                <c:pt idx="2966">
                  <c:v>-0.101876379385624</c:v>
                </c:pt>
                <c:pt idx="2967">
                  <c:v>-0.100296900635459</c:v>
                </c:pt>
                <c:pt idx="2968">
                  <c:v>-0.0742355012577413</c:v>
                </c:pt>
                <c:pt idx="2969">
                  <c:v>-0.0868713312590589</c:v>
                </c:pt>
                <c:pt idx="2970">
                  <c:v>-0.1208301243876</c:v>
                </c:pt>
                <c:pt idx="2971">
                  <c:v>-0.112142991261694</c:v>
                </c:pt>
                <c:pt idx="2972">
                  <c:v>-0.116091688137106</c:v>
                </c:pt>
                <c:pt idx="2973">
                  <c:v>-0.116091688137106</c:v>
                </c:pt>
                <c:pt idx="2974">
                  <c:v>-0.123989081887929</c:v>
                </c:pt>
                <c:pt idx="2975">
                  <c:v>-0.122536066761802</c:v>
                </c:pt>
                <c:pt idx="2976">
                  <c:v>-0.122536066761802</c:v>
                </c:pt>
                <c:pt idx="2977">
                  <c:v>-0.122536066761802</c:v>
                </c:pt>
                <c:pt idx="2978">
                  <c:v>-0.122536066761802</c:v>
                </c:pt>
                <c:pt idx="2979">
                  <c:v>0</c:v>
                </c:pt>
                <c:pt idx="2980">
                  <c:v>-0.103686424099614</c:v>
                </c:pt>
                <c:pt idx="2981">
                  <c:v>-0.141190024305857</c:v>
                </c:pt>
                <c:pt idx="2982">
                  <c:v>-0.00441218825955803</c:v>
                </c:pt>
                <c:pt idx="2983">
                  <c:v>0</c:v>
                </c:pt>
                <c:pt idx="2984">
                  <c:v>-0.0744894654952607</c:v>
                </c:pt>
                <c:pt idx="2985">
                  <c:v>-0.0889735282304502</c:v>
                </c:pt>
                <c:pt idx="2986">
                  <c:v>-0.0579362509407583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-0.0180834854183332</c:v>
                </c:pt>
                <c:pt idx="2992">
                  <c:v>-0.0706899884534843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-0.223956493917941</c:v>
                </c:pt>
                <c:pt idx="3001">
                  <c:v>-0.172744599404282</c:v>
                </c:pt>
                <c:pt idx="3002">
                  <c:v>-0.149813900368315</c:v>
                </c:pt>
                <c:pt idx="3003">
                  <c:v>-0.280518884873325</c:v>
                </c:pt>
                <c:pt idx="3004">
                  <c:v>-0.349310981981225</c:v>
                </c:pt>
                <c:pt idx="3005">
                  <c:v>-0.278990171604261</c:v>
                </c:pt>
                <c:pt idx="3006">
                  <c:v>-0.209433717861829</c:v>
                </c:pt>
                <c:pt idx="3007">
                  <c:v>-0.136055480946735</c:v>
                </c:pt>
                <c:pt idx="3008">
                  <c:v>-0.11694656508343</c:v>
                </c:pt>
                <c:pt idx="3009">
                  <c:v>-0.122297061525155</c:v>
                </c:pt>
                <c:pt idx="3010">
                  <c:v>-0.0741425935496255</c:v>
                </c:pt>
                <c:pt idx="3011">
                  <c:v>0</c:v>
                </c:pt>
                <c:pt idx="3012">
                  <c:v>-0.099525758627801</c:v>
                </c:pt>
                <c:pt idx="3013">
                  <c:v>-0.145518722842164</c:v>
                </c:pt>
                <c:pt idx="3014">
                  <c:v>-0.116867368085675</c:v>
                </c:pt>
                <c:pt idx="3015">
                  <c:v>-0.178693975718097</c:v>
                </c:pt>
                <c:pt idx="3016">
                  <c:v>-0.166630247399576</c:v>
                </c:pt>
                <c:pt idx="3017">
                  <c:v>-0.208099313494493</c:v>
                </c:pt>
                <c:pt idx="3018">
                  <c:v>-0.201488490913529</c:v>
                </c:pt>
                <c:pt idx="3019">
                  <c:v>-0.201488490913529</c:v>
                </c:pt>
                <c:pt idx="3020">
                  <c:v>-0.201488490913529</c:v>
                </c:pt>
                <c:pt idx="3021">
                  <c:v>-0.201488490913529</c:v>
                </c:pt>
                <c:pt idx="3022">
                  <c:v>-0.201488490913529</c:v>
                </c:pt>
                <c:pt idx="3023">
                  <c:v>-0.201488490913529</c:v>
                </c:pt>
                <c:pt idx="3024">
                  <c:v>-0.201488490913529</c:v>
                </c:pt>
                <c:pt idx="3025">
                  <c:v>-0.201488490913529</c:v>
                </c:pt>
                <c:pt idx="3026">
                  <c:v>-0.201488490913529</c:v>
                </c:pt>
                <c:pt idx="3027">
                  <c:v>-0.201488490913529</c:v>
                </c:pt>
                <c:pt idx="3028">
                  <c:v>-0.201488490913529</c:v>
                </c:pt>
                <c:pt idx="3029">
                  <c:v>-0.201488490913529</c:v>
                </c:pt>
                <c:pt idx="3030">
                  <c:v>-0.201488490913529</c:v>
                </c:pt>
                <c:pt idx="3031">
                  <c:v>-0.201488490913529</c:v>
                </c:pt>
                <c:pt idx="3032">
                  <c:v>-0.201488490913529</c:v>
                </c:pt>
                <c:pt idx="3033">
                  <c:v>-0.201488490913529</c:v>
                </c:pt>
                <c:pt idx="3034">
                  <c:v>-0.201488490913529</c:v>
                </c:pt>
                <c:pt idx="3035">
                  <c:v>-0.201488490913529</c:v>
                </c:pt>
                <c:pt idx="3036">
                  <c:v>-0.201488490913529</c:v>
                </c:pt>
                <c:pt idx="3037">
                  <c:v>-0.201488490913529</c:v>
                </c:pt>
                <c:pt idx="3038">
                  <c:v>-0.201488490913529</c:v>
                </c:pt>
                <c:pt idx="3039">
                  <c:v>-0.201488490913529</c:v>
                </c:pt>
                <c:pt idx="3040">
                  <c:v>-0.201488490913529</c:v>
                </c:pt>
                <c:pt idx="3041">
                  <c:v>-0.201488490913529</c:v>
                </c:pt>
                <c:pt idx="3042">
                  <c:v>-0.201488490913529</c:v>
                </c:pt>
                <c:pt idx="3043">
                  <c:v>-0.201488490913529</c:v>
                </c:pt>
                <c:pt idx="3044">
                  <c:v>-0.201488490913529</c:v>
                </c:pt>
                <c:pt idx="3045">
                  <c:v>-0.201488490913529</c:v>
                </c:pt>
                <c:pt idx="3046">
                  <c:v>-0.201488490913529</c:v>
                </c:pt>
                <c:pt idx="3047">
                  <c:v>-0.201488490913529</c:v>
                </c:pt>
                <c:pt idx="3048">
                  <c:v>-0.201488490913529</c:v>
                </c:pt>
                <c:pt idx="3049">
                  <c:v>-0.201488490913529</c:v>
                </c:pt>
                <c:pt idx="3050">
                  <c:v>-0.201488490913529</c:v>
                </c:pt>
                <c:pt idx="3051">
                  <c:v>-0.201488490913529</c:v>
                </c:pt>
                <c:pt idx="3052">
                  <c:v>-0.201488490913529</c:v>
                </c:pt>
                <c:pt idx="3053">
                  <c:v>-0.201488490913529</c:v>
                </c:pt>
                <c:pt idx="3054">
                  <c:v>-0.201488490913529</c:v>
                </c:pt>
                <c:pt idx="3055">
                  <c:v>-0.201488490913529</c:v>
                </c:pt>
                <c:pt idx="3056">
                  <c:v>-0.201488490913529</c:v>
                </c:pt>
                <c:pt idx="3057">
                  <c:v>-0.201488490913529</c:v>
                </c:pt>
                <c:pt idx="3058">
                  <c:v>-0.201488490913529</c:v>
                </c:pt>
                <c:pt idx="3059">
                  <c:v>-0.201488490913529</c:v>
                </c:pt>
                <c:pt idx="3060">
                  <c:v>-0.201488490913529</c:v>
                </c:pt>
                <c:pt idx="3061">
                  <c:v>-0.201488490913529</c:v>
                </c:pt>
                <c:pt idx="3062">
                  <c:v>-0.201488490913529</c:v>
                </c:pt>
                <c:pt idx="3063">
                  <c:v>-0.201488490913529</c:v>
                </c:pt>
                <c:pt idx="3064">
                  <c:v>-0.201488490913529</c:v>
                </c:pt>
                <c:pt idx="3065">
                  <c:v>-0.201488490913529</c:v>
                </c:pt>
                <c:pt idx="3066">
                  <c:v>-0.201488490913529</c:v>
                </c:pt>
                <c:pt idx="3067">
                  <c:v>-0.201488490913529</c:v>
                </c:pt>
                <c:pt idx="3068">
                  <c:v>-0.201488490913529</c:v>
                </c:pt>
                <c:pt idx="3069">
                  <c:v>-0.201488490913529</c:v>
                </c:pt>
                <c:pt idx="3070">
                  <c:v>-0.201488490913529</c:v>
                </c:pt>
                <c:pt idx="3071">
                  <c:v>-0.201488490913529</c:v>
                </c:pt>
                <c:pt idx="3072">
                  <c:v>-0.201488490913529</c:v>
                </c:pt>
                <c:pt idx="3073">
                  <c:v>-0.201488490913529</c:v>
                </c:pt>
                <c:pt idx="3074">
                  <c:v>-0.201488490913529</c:v>
                </c:pt>
                <c:pt idx="3075">
                  <c:v>-0.201488490913529</c:v>
                </c:pt>
                <c:pt idx="3076">
                  <c:v>-0.201488490913529</c:v>
                </c:pt>
                <c:pt idx="3077">
                  <c:v>-0.201488490913529</c:v>
                </c:pt>
                <c:pt idx="3078">
                  <c:v>-0.201488490913529</c:v>
                </c:pt>
                <c:pt idx="3079">
                  <c:v>-0.201488490913529</c:v>
                </c:pt>
                <c:pt idx="3080">
                  <c:v>-0.201488490913529</c:v>
                </c:pt>
                <c:pt idx="3081">
                  <c:v>-0.201488490913529</c:v>
                </c:pt>
                <c:pt idx="3082">
                  <c:v>-0.201488490913529</c:v>
                </c:pt>
                <c:pt idx="3083">
                  <c:v>-0.201488490913529</c:v>
                </c:pt>
                <c:pt idx="3084">
                  <c:v>-0.201488490913529</c:v>
                </c:pt>
                <c:pt idx="3085">
                  <c:v>-0.201488490913529</c:v>
                </c:pt>
                <c:pt idx="3086">
                  <c:v>-0.201488490913529</c:v>
                </c:pt>
                <c:pt idx="3087">
                  <c:v>-0.201488490913529</c:v>
                </c:pt>
                <c:pt idx="3088">
                  <c:v>-0.201488490913529</c:v>
                </c:pt>
                <c:pt idx="3089">
                  <c:v>-0.201488490913529</c:v>
                </c:pt>
                <c:pt idx="3090">
                  <c:v>-0.161247327670732</c:v>
                </c:pt>
                <c:pt idx="3091">
                  <c:v>-0.120672934223654</c:v>
                </c:pt>
                <c:pt idx="3092">
                  <c:v>-0.0239186113883138</c:v>
                </c:pt>
                <c:pt idx="3093">
                  <c:v>0</c:v>
                </c:pt>
                <c:pt idx="3094">
                  <c:v>-0.125684429673927</c:v>
                </c:pt>
                <c:pt idx="3095">
                  <c:v>-0.155165962560404</c:v>
                </c:pt>
                <c:pt idx="3096">
                  <c:v>-0.141201025929967</c:v>
                </c:pt>
                <c:pt idx="3097">
                  <c:v>-0.335158479130472</c:v>
                </c:pt>
                <c:pt idx="3098">
                  <c:v>-0.280850392234331</c:v>
                </c:pt>
                <c:pt idx="3099">
                  <c:v>-0.305676946243995</c:v>
                </c:pt>
                <c:pt idx="3100">
                  <c:v>-0.355330054263324</c:v>
                </c:pt>
                <c:pt idx="3101">
                  <c:v>-0.372398310144969</c:v>
                </c:pt>
                <c:pt idx="3102">
                  <c:v>-0.352226735012116</c:v>
                </c:pt>
                <c:pt idx="3103">
                  <c:v>-0.327400181002452</c:v>
                </c:pt>
                <c:pt idx="3104">
                  <c:v>-0.251368859347854</c:v>
                </c:pt>
                <c:pt idx="3105">
                  <c:v>-0.355330054263324</c:v>
                </c:pt>
                <c:pt idx="3106">
                  <c:v>-0.350675075386512</c:v>
                </c:pt>
                <c:pt idx="3107">
                  <c:v>-0.24981719972225</c:v>
                </c:pt>
                <c:pt idx="3108">
                  <c:v>-0.299470307741579</c:v>
                </c:pt>
                <c:pt idx="3109">
                  <c:v>-0.474279268892339</c:v>
                </c:pt>
                <c:pt idx="3110">
                  <c:v>-0.471737568127858</c:v>
                </c:pt>
                <c:pt idx="3111">
                  <c:v>-0.459773014136936</c:v>
                </c:pt>
                <c:pt idx="3112">
                  <c:v>-0.381543238042445</c:v>
                </c:pt>
                <c:pt idx="3113">
                  <c:v>-0.467135816592888</c:v>
                </c:pt>
                <c:pt idx="3114">
                  <c:v>-0.455171262601965</c:v>
                </c:pt>
                <c:pt idx="3115">
                  <c:v>-0.470817217820864</c:v>
                </c:pt>
                <c:pt idx="3116">
                  <c:v>-0.500268427644672</c:v>
                </c:pt>
                <c:pt idx="3117">
                  <c:v>-0.49290562518872</c:v>
                </c:pt>
                <c:pt idx="3118">
                  <c:v>-0.584020305581127</c:v>
                </c:pt>
                <c:pt idx="3119">
                  <c:v>-0.574816802511187</c:v>
                </c:pt>
                <c:pt idx="3120">
                  <c:v>-0.571135401283211</c:v>
                </c:pt>
                <c:pt idx="3121">
                  <c:v>-0.523277185319522</c:v>
                </c:pt>
                <c:pt idx="3122">
                  <c:v>-0.518675433784552</c:v>
                </c:pt>
                <c:pt idx="3123">
                  <c:v>-0.595984859572049</c:v>
                </c:pt>
                <c:pt idx="3124">
                  <c:v>-0.56193189821327</c:v>
                </c:pt>
                <c:pt idx="3125">
                  <c:v>-0.505790529486636</c:v>
                </c:pt>
                <c:pt idx="3126">
                  <c:v>-0.522356835012528</c:v>
                </c:pt>
                <c:pt idx="3127">
                  <c:v>-0.544445242380384</c:v>
                </c:pt>
                <c:pt idx="3128">
                  <c:v>-0.499348077337678</c:v>
                </c:pt>
                <c:pt idx="3129">
                  <c:v>-0.424799702471163</c:v>
                </c:pt>
                <c:pt idx="3130">
                  <c:v>-0.490144574267738</c:v>
                </c:pt>
                <c:pt idx="3131">
                  <c:v>-0.549046993915354</c:v>
                </c:pt>
                <c:pt idx="3132">
                  <c:v>-0.53432138900345</c:v>
                </c:pt>
                <c:pt idx="3133">
                  <c:v>-0.584940655888121</c:v>
                </c:pt>
                <c:pt idx="3134">
                  <c:v>-0.575737152818181</c:v>
                </c:pt>
                <c:pt idx="3135">
                  <c:v>-0.580338904353151</c:v>
                </c:pt>
                <c:pt idx="3136">
                  <c:v>-0.576657503125175</c:v>
                </c:pt>
                <c:pt idx="3137">
                  <c:v>-0.611630814790947</c:v>
                </c:pt>
                <c:pt idx="3138">
                  <c:v>-0.566533649748241</c:v>
                </c:pt>
                <c:pt idx="3139">
                  <c:v>-0.630037820930827</c:v>
                </c:pt>
                <c:pt idx="3140">
                  <c:v>-0.619913967553893</c:v>
                </c:pt>
                <c:pt idx="3141">
                  <c:v>-0.668399469091042</c:v>
                </c:pt>
                <c:pt idx="3142">
                  <c:v>-0.668399469091042</c:v>
                </c:pt>
                <c:pt idx="3143">
                  <c:v>-0.668399469091042</c:v>
                </c:pt>
                <c:pt idx="3144">
                  <c:v>-0.668399469091042</c:v>
                </c:pt>
                <c:pt idx="3145">
                  <c:v>-0.668399469091042</c:v>
                </c:pt>
                <c:pt idx="3146">
                  <c:v>-0.668399469091042</c:v>
                </c:pt>
                <c:pt idx="3147">
                  <c:v>-0.668399469091042</c:v>
                </c:pt>
                <c:pt idx="3148">
                  <c:v>-0.668399469091042</c:v>
                </c:pt>
                <c:pt idx="3149">
                  <c:v>-0.668399469091042</c:v>
                </c:pt>
                <c:pt idx="3150">
                  <c:v>-0.668399469091042</c:v>
                </c:pt>
                <c:pt idx="3151">
                  <c:v>-0.668399469091042</c:v>
                </c:pt>
                <c:pt idx="3152">
                  <c:v>-0.668399469091042</c:v>
                </c:pt>
                <c:pt idx="3153">
                  <c:v>-0.668399469091042</c:v>
                </c:pt>
                <c:pt idx="3154">
                  <c:v>-0.668399469091042</c:v>
                </c:pt>
                <c:pt idx="3155">
                  <c:v>-0.668399469091042</c:v>
                </c:pt>
                <c:pt idx="3156">
                  <c:v>-0.668399469091042</c:v>
                </c:pt>
                <c:pt idx="3157">
                  <c:v>-0.668399469091042</c:v>
                </c:pt>
                <c:pt idx="3158">
                  <c:v>-0.668399469091042</c:v>
                </c:pt>
                <c:pt idx="3159">
                  <c:v>-0.668399469091042</c:v>
                </c:pt>
                <c:pt idx="3160">
                  <c:v>-0.668399469091042</c:v>
                </c:pt>
                <c:pt idx="3161">
                  <c:v>-0.668399469091042</c:v>
                </c:pt>
                <c:pt idx="3162">
                  <c:v>-0.668399469091042</c:v>
                </c:pt>
                <c:pt idx="3163">
                  <c:v>-0.668399469091042</c:v>
                </c:pt>
                <c:pt idx="3164">
                  <c:v>-0.668399469091042</c:v>
                </c:pt>
                <c:pt idx="3165">
                  <c:v>-0.668399469091042</c:v>
                </c:pt>
                <c:pt idx="3166">
                  <c:v>-0.668399469091042</c:v>
                </c:pt>
                <c:pt idx="3167">
                  <c:v>-0.668399469091042</c:v>
                </c:pt>
                <c:pt idx="3168">
                  <c:v>-0.668399469091042</c:v>
                </c:pt>
                <c:pt idx="3169">
                  <c:v>-0.668399469091042</c:v>
                </c:pt>
                <c:pt idx="3170">
                  <c:v>-0.668399469091042</c:v>
                </c:pt>
                <c:pt idx="3171">
                  <c:v>-0.668399469091042</c:v>
                </c:pt>
                <c:pt idx="3172">
                  <c:v>-0.668399469091042</c:v>
                </c:pt>
                <c:pt idx="3173">
                  <c:v>-0.668399469091042</c:v>
                </c:pt>
                <c:pt idx="3174">
                  <c:v>-0.668399469091042</c:v>
                </c:pt>
                <c:pt idx="3175">
                  <c:v>-0.668399469091042</c:v>
                </c:pt>
                <c:pt idx="3176">
                  <c:v>-0.668399469091042</c:v>
                </c:pt>
                <c:pt idx="3177">
                  <c:v>-0.668399469091042</c:v>
                </c:pt>
                <c:pt idx="3178">
                  <c:v>-0.668399469091042</c:v>
                </c:pt>
                <c:pt idx="3179">
                  <c:v>-0.668399469091042</c:v>
                </c:pt>
                <c:pt idx="3180">
                  <c:v>-0.668399469091042</c:v>
                </c:pt>
                <c:pt idx="3181">
                  <c:v>-0.668399469091042</c:v>
                </c:pt>
                <c:pt idx="3182">
                  <c:v>-0.668399469091042</c:v>
                </c:pt>
                <c:pt idx="3183">
                  <c:v>-0.668399469091042</c:v>
                </c:pt>
                <c:pt idx="3184">
                  <c:v>-0.668399469091042</c:v>
                </c:pt>
                <c:pt idx="3185">
                  <c:v>-0.668399469091042</c:v>
                </c:pt>
                <c:pt idx="3186">
                  <c:v>-0.668399469091042</c:v>
                </c:pt>
                <c:pt idx="3187">
                  <c:v>-0.668399469091042</c:v>
                </c:pt>
                <c:pt idx="3188">
                  <c:v>-0.668399469091042</c:v>
                </c:pt>
                <c:pt idx="3189">
                  <c:v>-0.668399469091042</c:v>
                </c:pt>
                <c:pt idx="3190">
                  <c:v>-0.668399469091042</c:v>
                </c:pt>
                <c:pt idx="3191">
                  <c:v>-0.668399469091042</c:v>
                </c:pt>
                <c:pt idx="3192">
                  <c:v>-0.668399469091042</c:v>
                </c:pt>
                <c:pt idx="3193">
                  <c:v>-0.668399469091042</c:v>
                </c:pt>
                <c:pt idx="3194">
                  <c:v>-0.668399469091042</c:v>
                </c:pt>
                <c:pt idx="3195">
                  <c:v>-0.668399469091042</c:v>
                </c:pt>
                <c:pt idx="3196">
                  <c:v>-0.668399469091042</c:v>
                </c:pt>
                <c:pt idx="3197">
                  <c:v>-0.668399469091042</c:v>
                </c:pt>
                <c:pt idx="3198">
                  <c:v>-0.668399469091042</c:v>
                </c:pt>
                <c:pt idx="3199">
                  <c:v>-0.668399469091042</c:v>
                </c:pt>
                <c:pt idx="3200">
                  <c:v>-0.668399469091042</c:v>
                </c:pt>
                <c:pt idx="3201">
                  <c:v>-0.668399469091042</c:v>
                </c:pt>
                <c:pt idx="3202">
                  <c:v>-0.668399469091042</c:v>
                </c:pt>
                <c:pt idx="3203">
                  <c:v>-0.668399469091042</c:v>
                </c:pt>
                <c:pt idx="3204">
                  <c:v>-0.668399469091042</c:v>
                </c:pt>
                <c:pt idx="3205">
                  <c:v>-0.668399469091042</c:v>
                </c:pt>
                <c:pt idx="3206">
                  <c:v>-0.668399469091042</c:v>
                </c:pt>
                <c:pt idx="3207">
                  <c:v>-0.668399469091042</c:v>
                </c:pt>
                <c:pt idx="3208">
                  <c:v>-0.668399469091042</c:v>
                </c:pt>
                <c:pt idx="3209">
                  <c:v>-0.668399469091042</c:v>
                </c:pt>
                <c:pt idx="3210">
                  <c:v>-0.668399469091042</c:v>
                </c:pt>
                <c:pt idx="3211">
                  <c:v>-0.668399469091042</c:v>
                </c:pt>
                <c:pt idx="3212">
                  <c:v>-0.668399469091042</c:v>
                </c:pt>
                <c:pt idx="3213">
                  <c:v>-0.668399469091042</c:v>
                </c:pt>
                <c:pt idx="3214">
                  <c:v>-0.668399469091042</c:v>
                </c:pt>
                <c:pt idx="3215">
                  <c:v>-0.668399469091042</c:v>
                </c:pt>
                <c:pt idx="3216">
                  <c:v>-0.668399469091042</c:v>
                </c:pt>
                <c:pt idx="3217">
                  <c:v>-0.668399469091042</c:v>
                </c:pt>
                <c:pt idx="3218">
                  <c:v>-0.668399469091042</c:v>
                </c:pt>
                <c:pt idx="3219">
                  <c:v>-0.668399469091042</c:v>
                </c:pt>
                <c:pt idx="3220">
                  <c:v>-0.668399469091042</c:v>
                </c:pt>
                <c:pt idx="3221">
                  <c:v>-0.668399469091042</c:v>
                </c:pt>
                <c:pt idx="3222">
                  <c:v>-0.668399469091042</c:v>
                </c:pt>
                <c:pt idx="3223">
                  <c:v>-0.668399469091042</c:v>
                </c:pt>
                <c:pt idx="3224">
                  <c:v>-0.668399469091042</c:v>
                </c:pt>
                <c:pt idx="3225">
                  <c:v>-0.668399469091042</c:v>
                </c:pt>
                <c:pt idx="3226">
                  <c:v>-0.668399469091042</c:v>
                </c:pt>
                <c:pt idx="3227">
                  <c:v>-0.668399469091042</c:v>
                </c:pt>
                <c:pt idx="3228">
                  <c:v>-0.668399469091042</c:v>
                </c:pt>
                <c:pt idx="3229">
                  <c:v>-0.668399469091042</c:v>
                </c:pt>
                <c:pt idx="3230">
                  <c:v>-0.668399469091042</c:v>
                </c:pt>
                <c:pt idx="3231">
                  <c:v>-0.647971193099277</c:v>
                </c:pt>
                <c:pt idx="3232">
                  <c:v>-0.672229254476778</c:v>
                </c:pt>
                <c:pt idx="3233">
                  <c:v>-0.688049729288192</c:v>
                </c:pt>
                <c:pt idx="3234">
                  <c:v>-0.679084793561724</c:v>
                </c:pt>
                <c:pt idx="3235">
                  <c:v>-0.678030095240963</c:v>
                </c:pt>
                <c:pt idx="3236">
                  <c:v>-0.692795871731616</c:v>
                </c:pt>
                <c:pt idx="3237">
                  <c:v>-0.69754201417504</c:v>
                </c:pt>
                <c:pt idx="3238">
                  <c:v>-0.687522380127811</c:v>
                </c:pt>
                <c:pt idx="3239">
                  <c:v>-0.700178759976943</c:v>
                </c:pt>
                <c:pt idx="3240">
                  <c:v>-0.692795871731616</c:v>
                </c:pt>
                <c:pt idx="3241">
                  <c:v>-0.688049729288192</c:v>
                </c:pt>
                <c:pt idx="3242">
                  <c:v>-0.652717335542701</c:v>
                </c:pt>
                <c:pt idx="3243">
                  <c:v>-0.655881430504984</c:v>
                </c:pt>
                <c:pt idx="3244">
                  <c:v>-0.633732765769004</c:v>
                </c:pt>
                <c:pt idx="3245">
                  <c:v>-0.576779056447915</c:v>
                </c:pt>
                <c:pt idx="3246">
                  <c:v>-0.585743992174383</c:v>
                </c:pt>
                <c:pt idx="3247">
                  <c:v>-0.60578326026884</c:v>
                </c:pt>
                <c:pt idx="3248">
                  <c:v>-0.642697701495472</c:v>
                </c:pt>
                <c:pt idx="3249">
                  <c:v>-0.66273696958993</c:v>
                </c:pt>
                <c:pt idx="3250">
                  <c:v>-0.69754201417504</c:v>
                </c:pt>
                <c:pt idx="3251">
                  <c:v>-0.689104427608953</c:v>
                </c:pt>
                <c:pt idx="3252">
                  <c:v>-0.748878911261115</c:v>
                </c:pt>
                <c:pt idx="3253">
                  <c:v>-0.748878911261115</c:v>
                </c:pt>
                <c:pt idx="3254">
                  <c:v>-0.748878911261115</c:v>
                </c:pt>
                <c:pt idx="3255">
                  <c:v>-0.748878911261115</c:v>
                </c:pt>
                <c:pt idx="3256">
                  <c:v>-0.748878911261115</c:v>
                </c:pt>
                <c:pt idx="3257">
                  <c:v>-0.748878911261115</c:v>
                </c:pt>
                <c:pt idx="3258">
                  <c:v>-0.748878911261115</c:v>
                </c:pt>
                <c:pt idx="3259">
                  <c:v>-0.748878911261115</c:v>
                </c:pt>
                <c:pt idx="3260">
                  <c:v>-0.748878911261115</c:v>
                </c:pt>
                <c:pt idx="3261">
                  <c:v>-0.748878911261115</c:v>
                </c:pt>
                <c:pt idx="3262">
                  <c:v>-0.748878911261115</c:v>
                </c:pt>
                <c:pt idx="3263">
                  <c:v>-0.748878911261115</c:v>
                </c:pt>
                <c:pt idx="3264">
                  <c:v>-0.748878911261115</c:v>
                </c:pt>
                <c:pt idx="3265">
                  <c:v>-0.748878911261115</c:v>
                </c:pt>
                <c:pt idx="3266">
                  <c:v>-0.748878911261115</c:v>
                </c:pt>
                <c:pt idx="3267">
                  <c:v>-0.748878911261115</c:v>
                </c:pt>
                <c:pt idx="3268">
                  <c:v>-0.748878911261115</c:v>
                </c:pt>
                <c:pt idx="3269">
                  <c:v>-0.748878911261115</c:v>
                </c:pt>
                <c:pt idx="3270">
                  <c:v>-0.748878911261115</c:v>
                </c:pt>
                <c:pt idx="3271">
                  <c:v>-0.748878911261115</c:v>
                </c:pt>
                <c:pt idx="3272">
                  <c:v>-0.748878911261115</c:v>
                </c:pt>
                <c:pt idx="3273">
                  <c:v>-0.748878911261115</c:v>
                </c:pt>
                <c:pt idx="3274">
                  <c:v>-0.748878911261115</c:v>
                </c:pt>
                <c:pt idx="3275">
                  <c:v>-0.748878911261115</c:v>
                </c:pt>
                <c:pt idx="3276">
                  <c:v>-0.748878911261115</c:v>
                </c:pt>
                <c:pt idx="3277">
                  <c:v>-0.748878911261115</c:v>
                </c:pt>
                <c:pt idx="3278">
                  <c:v>-0.748878911261115</c:v>
                </c:pt>
                <c:pt idx="3279">
                  <c:v>-0.748878911261115</c:v>
                </c:pt>
                <c:pt idx="3280">
                  <c:v>-0.748878911261115</c:v>
                </c:pt>
                <c:pt idx="3281">
                  <c:v>-0.748878911261115</c:v>
                </c:pt>
                <c:pt idx="3282">
                  <c:v>-0.748878911261115</c:v>
                </c:pt>
                <c:pt idx="3283">
                  <c:v>-0.748878911261115</c:v>
                </c:pt>
                <c:pt idx="3284">
                  <c:v>-0.748878911261115</c:v>
                </c:pt>
                <c:pt idx="3285">
                  <c:v>-0.748878911261115</c:v>
                </c:pt>
                <c:pt idx="3286">
                  <c:v>-0.748878911261115</c:v>
                </c:pt>
                <c:pt idx="3287">
                  <c:v>-0.748878911261115</c:v>
                </c:pt>
                <c:pt idx="3288">
                  <c:v>-0.748878911261115</c:v>
                </c:pt>
                <c:pt idx="3289">
                  <c:v>-0.748878911261115</c:v>
                </c:pt>
                <c:pt idx="3290">
                  <c:v>-0.748878911261115</c:v>
                </c:pt>
                <c:pt idx="3291">
                  <c:v>-0.748878911261115</c:v>
                </c:pt>
                <c:pt idx="3292">
                  <c:v>-0.748878911261115</c:v>
                </c:pt>
                <c:pt idx="3293">
                  <c:v>-0.748878911261115</c:v>
                </c:pt>
                <c:pt idx="3294">
                  <c:v>-0.737580112637698</c:v>
                </c:pt>
                <c:pt idx="3295">
                  <c:v>-0.685551438871203</c:v>
                </c:pt>
                <c:pt idx="3296">
                  <c:v>-0.689115046663428</c:v>
                </c:pt>
                <c:pt idx="3297">
                  <c:v>-0.692678654455654</c:v>
                </c:pt>
                <c:pt idx="3298">
                  <c:v>-0.675929697832193</c:v>
                </c:pt>
                <c:pt idx="3299">
                  <c:v>-0.706576724845334</c:v>
                </c:pt>
                <c:pt idx="3300">
                  <c:v>-0.689471407442651</c:v>
                </c:pt>
                <c:pt idx="3301">
                  <c:v>-0.695529540689435</c:v>
                </c:pt>
                <c:pt idx="3302">
                  <c:v>-0.702656756273886</c:v>
                </c:pt>
                <c:pt idx="3303">
                  <c:v>-0.703113266310763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635453"/>
        <c:axId val="25748891"/>
      </c:lineChart>
      <c:catAx>
        <c:axId val="31635453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48891"/>
        <c:crosses val="autoZero"/>
        <c:auto val="1"/>
        <c:lblAlgn val="ctr"/>
        <c:lblOffset val="100"/>
        <c:noMultiLvlLbl val="0"/>
      </c:catAx>
      <c:valAx>
        <c:axId val="25748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354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581400</xdr:colOff>
      <xdr:row>17</xdr:row>
      <xdr:rowOff>1080</xdr:rowOff>
    </xdr:to>
    <xdr:graphicFrame>
      <xdr:nvGraphicFramePr>
        <xdr:cNvPr id="0" name="Chart 1"/>
        <xdr:cNvGraphicFramePr/>
      </xdr:nvGraphicFramePr>
      <xdr:xfrm>
        <a:off x="0" y="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12</xdr:col>
      <xdr:colOff>581400</xdr:colOff>
      <xdr:row>32</xdr:row>
      <xdr:rowOff>43200</xdr:rowOff>
    </xdr:to>
    <xdr:graphicFrame>
      <xdr:nvGraphicFramePr>
        <xdr:cNvPr id="1" name="Chart 2"/>
        <xdr:cNvGraphicFramePr/>
      </xdr:nvGraphicFramePr>
      <xdr:xfrm>
        <a:off x="0" y="3619440"/>
        <a:ext cx="79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参数说明!B4</f>
        <v>500000</v>
      </c>
      <c r="C4" s="3"/>
    </row>
    <row r="5" customFormat="false" ht="15" hidden="false" customHeight="false" outlineLevel="0" collapsed="false">
      <c r="A5" s="3" t="s">
        <v>5</v>
      </c>
      <c r="B5" s="4" t="n">
        <f aca="false">资金曲线!C3305</f>
        <v>274925378.52</v>
      </c>
      <c r="C5" s="5" t="s">
        <v>6</v>
      </c>
    </row>
    <row r="6" customFormat="false" ht="15" hidden="false" customHeight="false" outlineLevel="0" collapsed="false">
      <c r="A6" s="3" t="s">
        <v>7</v>
      </c>
      <c r="B6" s="6" t="n">
        <f aca="false">B5/B4-1</f>
        <v>548.85075704</v>
      </c>
      <c r="C6" s="3"/>
    </row>
    <row r="7" customFormat="false" ht="15" hidden="false" customHeight="false" outlineLevel="0" collapsed="false">
      <c r="A7" s="3" t="s">
        <v>8</v>
      </c>
      <c r="B7" s="7" t="n">
        <f aca="false">(资金曲线!A3305-资金曲线!A2)/365.25</f>
        <v>13.6043805612594</v>
      </c>
      <c r="C7" s="5" t="s">
        <v>9</v>
      </c>
    </row>
    <row r="8" customFormat="false" ht="15" hidden="false" customHeight="false" outlineLevel="0" collapsed="false">
      <c r="A8" s="3" t="s">
        <v>10</v>
      </c>
      <c r="B8" s="6" t="n">
        <f aca="false">(B5/B4)^(1/B7)-1</f>
        <v>0.590097342121194</v>
      </c>
      <c r="C8" s="3"/>
    </row>
    <row r="9" customFormat="false" ht="15" hidden="false" customHeight="false" outlineLevel="0" collapsed="false">
      <c r="A9" s="3" t="s">
        <v>11</v>
      </c>
      <c r="B9" s="8" t="n">
        <f aca="false">MIN(资金曲线!E2:E3305)</f>
        <v>-0.812129912430992</v>
      </c>
      <c r="C9" s="3" t="s">
        <v>12</v>
      </c>
    </row>
    <row r="10" customFormat="false" ht="15" hidden="false" customHeight="false" outlineLevel="0" collapsed="false">
      <c r="A10" s="3" t="s">
        <v>13</v>
      </c>
      <c r="B10" s="9" t="n">
        <f aca="false">INDEX(资金曲线!A2:A3305,MATCH(B9,资金曲线!E2:E3305,0))</f>
        <v>44585</v>
      </c>
      <c r="C10" s="3"/>
    </row>
    <row r="11" customFormat="false" ht="15" hidden="false" customHeight="false" outlineLevel="0" collapsed="false">
      <c r="A11" s="3" t="s">
        <v>14</v>
      </c>
      <c r="B11" s="10" t="n">
        <f aca="false">B8/ABS(B9)</f>
        <v>0.72660461471592</v>
      </c>
      <c r="C11" s="3"/>
    </row>
    <row r="12" customFormat="false" ht="15" hidden="false" customHeight="false" outlineLevel="0" collapsed="false">
      <c r="A12" s="3" t="s">
        <v>15</v>
      </c>
      <c r="B12" s="11" t="n">
        <f aca="false">COUNT(逐笔交易!$I$2:$I$65)</f>
        <v>64</v>
      </c>
      <c r="C12" s="3"/>
    </row>
    <row r="13" customFormat="false" ht="15" hidden="false" customHeight="false" outlineLevel="0" collapsed="false">
      <c r="A13" s="3" t="s">
        <v>16</v>
      </c>
      <c r="B13" s="12" t="n">
        <f aca="false">B12/B7</f>
        <v>4.7043670758704</v>
      </c>
      <c r="C13" s="3"/>
    </row>
    <row r="14" customFormat="false" ht="15" hidden="false" customHeight="false" outlineLevel="0" collapsed="false">
      <c r="A14" s="3" t="s">
        <v>17</v>
      </c>
      <c r="B14" s="11" t="n">
        <f aca="false">COUNTIF(逐笔交易!$I$2:$I$65,"&gt;0")</f>
        <v>35</v>
      </c>
      <c r="C14" s="3"/>
    </row>
    <row r="15" customFormat="false" ht="15" hidden="false" customHeight="false" outlineLevel="0" collapsed="false">
      <c r="A15" s="3" t="s">
        <v>18</v>
      </c>
      <c r="B15" s="11" t="n">
        <f aca="false">COUNTIF(逐笔交易!$I$2:$I$65,"&lt;=0")</f>
        <v>29</v>
      </c>
      <c r="C15" s="3"/>
    </row>
    <row r="16" customFormat="false" ht="15" hidden="false" customHeight="false" outlineLevel="0" collapsed="false">
      <c r="A16" s="3" t="s">
        <v>19</v>
      </c>
      <c r="B16" s="6" t="n">
        <f aca="false">B14/B12</f>
        <v>0.546875</v>
      </c>
      <c r="C16" s="3"/>
    </row>
    <row r="17" customFormat="false" ht="15" hidden="false" customHeight="false" outlineLevel="0" collapsed="false">
      <c r="A17" s="3" t="s">
        <v>20</v>
      </c>
      <c r="B17" s="4" t="n">
        <f aca="false">AVERAGEIF(逐笔交易!$I$2:$I$65,"&gt;0")</f>
        <v>26375117.9798</v>
      </c>
      <c r="C17" s="3"/>
    </row>
    <row r="18" customFormat="false" ht="15" hidden="false" customHeight="false" outlineLevel="0" collapsed="false">
      <c r="A18" s="3" t="s">
        <v>21</v>
      </c>
      <c r="B18" s="13" t="n">
        <f aca="false">AVERAGEIF(逐笔交易!$I$2:$I$65,"&lt;=0")</f>
        <v>-22369094.8543042</v>
      </c>
      <c r="C18" s="3"/>
    </row>
    <row r="19" customFormat="false" ht="15" hidden="false" customHeight="false" outlineLevel="0" collapsed="false">
      <c r="A19" s="3" t="s">
        <v>22</v>
      </c>
      <c r="B19" s="10" t="n">
        <f aca="false">B17/ABS(B18)</f>
        <v>1.17908740391992</v>
      </c>
      <c r="C19" s="3" t="s">
        <v>23</v>
      </c>
    </row>
    <row r="20" customFormat="false" ht="15" hidden="false" customHeight="false" outlineLevel="0" collapsed="false">
      <c r="A20" s="3" t="s">
        <v>24</v>
      </c>
      <c r="B20" s="8" t="n">
        <f aca="false">AVERAGEIF(逐笔交易!$I$2:$I$65,"&gt;0",逐笔交易!$K$2:$K$65)</f>
        <v>0.587372488346496</v>
      </c>
      <c r="C20" s="3"/>
    </row>
    <row r="21" customFormat="false" ht="15" hidden="false" customHeight="false" outlineLevel="0" collapsed="false">
      <c r="A21" s="3" t="s">
        <v>25</v>
      </c>
      <c r="B21" s="14" t="n">
        <f aca="false">AVERAGEIF(逐笔交易!$I$2:$I$65,"&lt;=0",逐笔交易!$K$2:$K$65)</f>
        <v>-0.22264849933923</v>
      </c>
      <c r="C21" s="3"/>
    </row>
    <row r="22" customFormat="false" ht="15" hidden="false" customHeight="false" outlineLevel="0" collapsed="false">
      <c r="A22" s="3" t="s">
        <v>26</v>
      </c>
      <c r="B22" s="10" t="n">
        <f aca="false">B20/ABS(B21)</f>
        <v>2.638115640077</v>
      </c>
      <c r="C22" s="3" t="s">
        <v>27</v>
      </c>
    </row>
    <row r="23" customFormat="false" ht="15" hidden="false" customHeight="false" outlineLevel="0" collapsed="false">
      <c r="A23" s="3" t="s">
        <v>28</v>
      </c>
      <c r="B23" s="7" t="n">
        <f aca="false">SUMIF(逐笔交易!$I$2:$I$65,"&gt;0")/ABS(SUMIF(逐笔交易!$I$2:$I$65,"&lt;=0"))</f>
        <v>1.42303652197232</v>
      </c>
      <c r="C23" s="3"/>
    </row>
    <row r="24" customFormat="false" ht="15" hidden="false" customHeight="false" outlineLevel="0" collapsed="false">
      <c r="A24" s="3" t="s">
        <v>29</v>
      </c>
      <c r="B24" s="4" t="n">
        <f aca="false">AVERAGE(逐笔交易!$I$2:$I$65)</f>
        <v>4287896.53934654</v>
      </c>
      <c r="C24" s="3"/>
    </row>
    <row r="25" customFormat="false" ht="15" hidden="false" customHeight="false" outlineLevel="0" collapsed="false">
      <c r="A25" s="3" t="s">
        <v>30</v>
      </c>
      <c r="B25" s="4" t="n">
        <f aca="false">MAX(逐笔交易!$I$2:$I$65)</f>
        <v>459303910.178</v>
      </c>
      <c r="C25" s="3"/>
    </row>
    <row r="26" customFormat="false" ht="15" hidden="false" customHeight="false" outlineLevel="0" collapsed="false">
      <c r="A26" s="3" t="s">
        <v>31</v>
      </c>
      <c r="B26" s="8" t="n">
        <f aca="false">MAX(逐笔交易!$K$2:$K$65)</f>
        <v>3.49031347857259</v>
      </c>
      <c r="C26" s="3"/>
    </row>
    <row r="27" customFormat="false" ht="15" hidden="false" customHeight="false" outlineLevel="0" collapsed="false">
      <c r="A27" s="3" t="s">
        <v>32</v>
      </c>
      <c r="B27" s="13" t="n">
        <f aca="false">MIN(逐笔交易!$I$2:$I$65)</f>
        <v>-248397585.182857</v>
      </c>
      <c r="C27" s="3"/>
    </row>
    <row r="28" customFormat="false" ht="15" hidden="false" customHeight="false" outlineLevel="0" collapsed="false">
      <c r="A28" s="3" t="s">
        <v>33</v>
      </c>
      <c r="B28" s="14" t="n">
        <f aca="false">MIN(逐笔交易!$K$2:$K$65)</f>
        <v>-0.595110016038235</v>
      </c>
      <c r="C28" s="3"/>
    </row>
    <row r="29" customFormat="false" ht="15" hidden="false" customHeight="false" outlineLevel="0" collapsed="false">
      <c r="A29" s="3" t="s">
        <v>34</v>
      </c>
      <c r="B29" s="11" t="n">
        <f aca="false">MAX(逐笔交易!$O$2:$O$65)</f>
        <v>4</v>
      </c>
      <c r="C29" s="3"/>
    </row>
    <row r="30" customFormat="false" ht="15" hidden="false" customHeight="false" outlineLevel="0" collapsed="false">
      <c r="A30" s="3" t="s">
        <v>35</v>
      </c>
      <c r="B30" s="11" t="n">
        <f aca="false">MAX(逐笔交易!$P$2:$P$65)</f>
        <v>4</v>
      </c>
      <c r="C30" s="3"/>
    </row>
    <row r="31" customFormat="false" ht="15" hidden="false" customHeight="false" outlineLevel="0" collapsed="false">
      <c r="A31" s="3" t="s">
        <v>36</v>
      </c>
      <c r="B31" s="15" t="n">
        <f aca="false">AVERAGE(逐笔交易!$H$2:$H$65)</f>
        <v>33.703125</v>
      </c>
      <c r="C31" s="3"/>
    </row>
    <row r="32" customFormat="false" ht="15" hidden="false" customHeight="false" outlineLevel="0" collapsed="false">
      <c r="A32" s="3" t="s">
        <v>37</v>
      </c>
      <c r="B32" s="15" t="n">
        <f aca="false">AVERAGEIF(逐笔交易!$I$2:$I$65,"&gt;0",逐笔交易!$H$2:$H$65)</f>
        <v>46.3428571428571</v>
      </c>
      <c r="C32" s="3"/>
    </row>
    <row r="33" customFormat="false" ht="15" hidden="false" customHeight="false" outlineLevel="0" collapsed="false">
      <c r="A33" s="3" t="s">
        <v>38</v>
      </c>
      <c r="B33" s="15" t="n">
        <f aca="false">AVERAGEIF(逐笔交易!$I$2:$I$65,"&lt;=0",逐笔交易!$H$2:$H$65)</f>
        <v>18.448275862069</v>
      </c>
      <c r="C33" s="3"/>
    </row>
    <row r="34" customFormat="false" ht="15" hidden="false" customHeight="false" outlineLevel="0" collapsed="false">
      <c r="A34" s="3" t="s">
        <v>39</v>
      </c>
      <c r="B34" s="11" t="n">
        <f aca="false">COUNTIF(逐笔交易!$M$2:$M$65,"慢SAR翻转离场")</f>
        <v>51</v>
      </c>
      <c r="C34" s="3"/>
    </row>
    <row r="35" customFormat="false" ht="15" hidden="false" customHeight="false" outlineLevel="0" collapsed="false">
      <c r="A35" s="3" t="s">
        <v>40</v>
      </c>
      <c r="B35" s="11" t="n">
        <f aca="false">COUNTIF(逐笔交易!$M$2:$M$65,"止损")</f>
        <v>12</v>
      </c>
      <c r="C35" s="3"/>
    </row>
    <row r="36" customFormat="false" ht="15" hidden="false" customHeight="false" outlineLevel="0" collapsed="false">
      <c r="A36" s="3" t="s">
        <v>41</v>
      </c>
      <c r="B36" s="11" t="n">
        <f aca="false">COUNTIF(逐笔交易!$B$2:$B$65,"多")</f>
        <v>32</v>
      </c>
      <c r="C36" s="3"/>
    </row>
    <row r="37" customFormat="false" ht="15" hidden="false" customHeight="false" outlineLevel="0" collapsed="false">
      <c r="A37" s="3" t="s">
        <v>42</v>
      </c>
      <c r="B37" s="8" t="n">
        <f aca="false">COUNTIFS(逐笔交易!$B$2:$B$65,"多",逐笔交易!$I$2:$I$65,"&gt;0")/B36</f>
        <v>0.53125</v>
      </c>
      <c r="C37" s="3"/>
    </row>
    <row r="38" customFormat="false" ht="15" hidden="false" customHeight="false" outlineLevel="0" collapsed="false">
      <c r="A38" s="3" t="s">
        <v>43</v>
      </c>
      <c r="B38" s="13" t="n">
        <f aca="false">SUMIF(逐笔交易!$B$2:$B$65,"多",逐笔交易!$I$2:$I$65)</f>
        <v>327804085.500036</v>
      </c>
      <c r="C38" s="3"/>
    </row>
    <row r="39" customFormat="false" ht="15" hidden="false" customHeight="false" outlineLevel="0" collapsed="false">
      <c r="A39" s="3" t="s">
        <v>44</v>
      </c>
      <c r="B39" s="11" t="n">
        <f aca="false">COUNTIF(逐笔交易!$B$2:$B$65,"空")</f>
        <v>32</v>
      </c>
      <c r="C39" s="3"/>
    </row>
    <row r="40" customFormat="false" ht="15" hidden="false" customHeight="false" outlineLevel="0" collapsed="false">
      <c r="A40" s="3" t="s">
        <v>45</v>
      </c>
      <c r="B40" s="8" t="n">
        <f aca="false">COUNTIFS(逐笔交易!$B$2:$B$65,"空",逐笔交易!$I$2:$I$65,"&gt;0")/B39</f>
        <v>0.5625</v>
      </c>
      <c r="C40" s="3"/>
    </row>
    <row r="41" customFormat="false" ht="15" hidden="false" customHeight="false" outlineLevel="0" collapsed="false">
      <c r="A41" s="3" t="s">
        <v>46</v>
      </c>
      <c r="B41" s="13" t="n">
        <f aca="false">SUMIF(逐笔交易!$B$2:$B$65,"空",逐笔交易!$I$2:$I$65)</f>
        <v>-53378706.9818573</v>
      </c>
      <c r="C41" s="3"/>
    </row>
    <row r="42" customFormat="false" ht="15" hidden="false" customHeight="false" outlineLevel="0" collapsed="false">
      <c r="A42" s="3" t="s">
        <v>47</v>
      </c>
      <c r="B42" s="16" t="n">
        <f aca="false">AVERAGE(逐笔交易!$N$2:$N$65)</f>
        <v>4.15612679538858</v>
      </c>
      <c r="C42" s="3"/>
    </row>
    <row r="43" customFormat="false" ht="15" hidden="false" customHeight="false" outlineLevel="0" collapsed="false">
      <c r="A43" s="3" t="s">
        <v>48</v>
      </c>
      <c r="B43" s="16" t="n">
        <f aca="false">MAX(逐笔交易!$N$2:$N$65)</f>
        <v>4.16662781286479</v>
      </c>
      <c r="C43" s="3"/>
    </row>
    <row r="44" customFormat="false" ht="15" hidden="false" customHeight="false" outlineLevel="0" collapsed="false">
      <c r="A44" s="3" t="s">
        <v>49</v>
      </c>
      <c r="B44" s="17" t="n">
        <f aca="false">SUM(逐笔交易!$I$2:$I$65)-(B5-B4)</f>
        <v>-0.00182163715362549</v>
      </c>
      <c r="C44" s="3" t="s">
        <v>50</v>
      </c>
    </row>
    <row r="46" customFormat="false" ht="15" hidden="false" customHeight="false" outlineLevel="0" collapsed="false">
      <c r="A46" s="18" t="s">
        <v>51</v>
      </c>
    </row>
    <row r="47" customFormat="false" ht="15" hidden="false" customHeight="false" outlineLevel="0" collapsed="false">
      <c r="A47" s="19" t="s">
        <v>52</v>
      </c>
      <c r="B47" s="19" t="s">
        <v>10</v>
      </c>
      <c r="C47" s="19" t="s">
        <v>11</v>
      </c>
      <c r="D47" s="19" t="s">
        <v>15</v>
      </c>
      <c r="E47" s="19" t="s">
        <v>19</v>
      </c>
      <c r="F47" s="19" t="s">
        <v>53</v>
      </c>
      <c r="G47" s="19" t="s">
        <v>54</v>
      </c>
      <c r="H47" s="19" t="s">
        <v>55</v>
      </c>
      <c r="I47" s="19" t="s">
        <v>5</v>
      </c>
    </row>
    <row r="48" customFormat="false" ht="15" hidden="false" customHeight="false" outlineLevel="0" collapsed="false">
      <c r="A48" s="20" t="s">
        <v>56</v>
      </c>
      <c r="B48" s="6" t="n">
        <v>0.651092434760036</v>
      </c>
      <c r="C48" s="21" t="n">
        <v>-0.643992657933014</v>
      </c>
      <c r="D48" s="22" t="n">
        <v>40</v>
      </c>
      <c r="E48" s="6" t="n">
        <v>0.525</v>
      </c>
      <c r="F48" s="10" t="n">
        <v>1.81443141201847</v>
      </c>
      <c r="G48" s="10" t="n">
        <v>3.23281297974595</v>
      </c>
      <c r="H48" s="21" t="n">
        <v>-0.432144093907844</v>
      </c>
      <c r="I48" s="23" t="n">
        <v>24708525.7369643</v>
      </c>
    </row>
    <row r="49" customFormat="false" ht="15" hidden="false" customHeight="false" outlineLevel="0" collapsed="false">
      <c r="A49" s="20" t="s">
        <v>57</v>
      </c>
      <c r="B49" s="6" t="n">
        <v>0.496740617445906</v>
      </c>
      <c r="C49" s="21" t="n">
        <v>-0.804671621757914</v>
      </c>
      <c r="D49" s="22" t="n">
        <v>24</v>
      </c>
      <c r="E49" s="6" t="n">
        <v>0.583333333333333</v>
      </c>
      <c r="F49" s="10" t="n">
        <v>0.998995106491465</v>
      </c>
      <c r="G49" s="10" t="n">
        <v>2.00661499253273</v>
      </c>
      <c r="H49" s="21" t="n">
        <v>-0.589893842752798</v>
      </c>
      <c r="I49" s="23" t="n">
        <v>5217726.68432142</v>
      </c>
    </row>
    <row r="50" customFormat="false" ht="15" hidden="false" customHeight="false" outlineLevel="0" collapsed="false">
      <c r="A50" s="20" t="s">
        <v>58</v>
      </c>
      <c r="B50" s="6" t="n">
        <v>0.219297999670471</v>
      </c>
      <c r="C50" s="21" t="n">
        <v>-0.423483246946592</v>
      </c>
      <c r="D50" s="22" t="n">
        <v>64</v>
      </c>
      <c r="E50" s="6" t="n">
        <v>0.546875</v>
      </c>
      <c r="F50" s="10" t="n">
        <v>2.62859900662663</v>
      </c>
      <c r="G50" s="10" t="n">
        <v>3.1533974943239</v>
      </c>
      <c r="H50" s="21" t="n">
        <v>-0.152386251194613</v>
      </c>
      <c r="I50" s="23" t="n">
        <v>7420639.39746429</v>
      </c>
    </row>
    <row r="51" customFormat="false" ht="15" hidden="false" customHeight="false" outlineLevel="0" collapsed="false">
      <c r="A51" s="20" t="s">
        <v>59</v>
      </c>
      <c r="B51" s="6" t="n">
        <v>0.548436704439226</v>
      </c>
      <c r="C51" s="21" t="n">
        <v>-0.726646739153669</v>
      </c>
      <c r="D51" s="22" t="n">
        <v>64</v>
      </c>
      <c r="E51" s="6" t="n">
        <v>0.546875</v>
      </c>
      <c r="F51" s="10" t="n">
        <v>1.32401464890665</v>
      </c>
      <c r="G51" s="10" t="n">
        <v>2.64145930592811</v>
      </c>
      <c r="H51" s="21" t="n">
        <v>-0.476257397870324</v>
      </c>
      <c r="I51" s="23" t="n">
        <v>191581189.086857</v>
      </c>
    </row>
    <row r="52" customFormat="false" ht="15" hidden="false" customHeight="false" outlineLevel="0" collapsed="false">
      <c r="A52" s="20" t="s">
        <v>60</v>
      </c>
      <c r="B52" s="6" t="n">
        <v>0.46377719419636</v>
      </c>
      <c r="C52" s="21" t="n">
        <v>-0.620824306724557</v>
      </c>
      <c r="D52" s="22" t="n">
        <v>64</v>
      </c>
      <c r="E52" s="6" t="n">
        <v>0.546875</v>
      </c>
      <c r="F52" s="10" t="n">
        <v>1.52077470916536</v>
      </c>
      <c r="G52" s="10" t="n">
        <v>2.64186055374519</v>
      </c>
      <c r="H52" s="21" t="n">
        <v>-0.356860800454552</v>
      </c>
      <c r="I52" s="23" t="n">
        <v>89156817.6188571</v>
      </c>
    </row>
    <row r="53" customFormat="false" ht="15" hidden="false" customHeight="false" outlineLevel="0" collapsed="false">
      <c r="A53" s="20" t="s">
        <v>61</v>
      </c>
      <c r="B53" s="6" t="n">
        <v>0.166593672905232</v>
      </c>
      <c r="C53" s="21" t="n">
        <v>-0.21416478320104</v>
      </c>
      <c r="D53" s="22" t="n">
        <v>64</v>
      </c>
      <c r="E53" s="6" t="n">
        <v>0.546875</v>
      </c>
      <c r="F53" s="10" t="n">
        <v>2.45980229919144</v>
      </c>
      <c r="G53" s="10" t="n">
        <v>2.73521473607534</v>
      </c>
      <c r="H53" s="21" t="n">
        <v>-0.0504037855918111</v>
      </c>
      <c r="I53" s="23" t="n">
        <v>4067896.89375</v>
      </c>
    </row>
    <row r="54" customFormat="false" ht="15" hidden="false" customHeight="false" outlineLevel="0" collapsed="false">
      <c r="A54" s="20" t="s">
        <v>62</v>
      </c>
      <c r="B54" s="6" t="n">
        <v>0.261270450719733</v>
      </c>
      <c r="C54" s="21" t="n">
        <v>-0.323989261002596</v>
      </c>
      <c r="D54" s="22" t="n">
        <v>64</v>
      </c>
      <c r="E54" s="6" t="n">
        <v>0.546875</v>
      </c>
      <c r="F54" s="10" t="n">
        <v>2.22472823707037</v>
      </c>
      <c r="G54" s="10" t="n">
        <v>2.73556024587926</v>
      </c>
      <c r="H54" s="21" t="n">
        <v>-0.0815546689313858</v>
      </c>
      <c r="I54" s="23" t="n">
        <v>11759894.02625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5" hidden="false" customHeight="false" outlineLevel="0" collapsed="false">
      <c r="A2" s="22" t="n">
        <v>2013</v>
      </c>
      <c r="B2" s="9" t="n">
        <f aca="false">_xlfn.MAXIFS(资金曲线!$A$2:$A$3305,资金曲线!$F$2:$F$3305,A2)</f>
        <v>41639</v>
      </c>
      <c r="C2" s="23" t="n">
        <f aca="false">参数说明!$B$4</f>
        <v>500000</v>
      </c>
      <c r="D2" s="4" t="n">
        <f aca="false">INDEX(资金曲线!$C$2:$C$3305,MATCH(B2,资金曲线!$A$2:$A$3305,0))</f>
        <v>657516.91</v>
      </c>
      <c r="E2" s="21" t="n">
        <f aca="false">D2/C2-1</f>
        <v>0.31503382</v>
      </c>
      <c r="F2" s="11" t="n">
        <f aca="false">COUNTIFS(逐笔交易!$C$2:$C$65,"&gt;="&amp;DATE(A2,1,1),逐笔交易!$C$2:$C$65,"&lt;="&amp;DATE(A2,12,31))</f>
        <v>3</v>
      </c>
      <c r="G2" s="13" t="n">
        <f aca="false">SUMIFS(逐笔交易!$I$2:$I$65,逐笔交易!$E$2:$E$65,"&gt;="&amp;DATE(A2,1,1),逐笔交易!$E$2:$E$65,"&lt;="&amp;DATE(A2,12,31))</f>
        <v>157516.912571429</v>
      </c>
    </row>
    <row r="3" customFormat="false" ht="15" hidden="false" customHeight="false" outlineLevel="0" collapsed="false">
      <c r="A3" s="22" t="n">
        <v>2014</v>
      </c>
      <c r="B3" s="9" t="n">
        <f aca="false">_xlfn.MAXIFS(资金曲线!$A$2:$A$3305,资金曲线!$F$2:$F$3305,A3)</f>
        <v>42004</v>
      </c>
      <c r="C3" s="23" t="n">
        <f aca="false">D2</f>
        <v>657516.91</v>
      </c>
      <c r="D3" s="4" t="n">
        <f aca="false">INDEX(资金曲线!$C$2:$C$3305,MATCH(B3,资金曲线!$A$2:$A$3305,0))</f>
        <v>545567.65</v>
      </c>
      <c r="E3" s="21" t="n">
        <f aca="false">D3/C3-1</f>
        <v>-0.170260655349533</v>
      </c>
      <c r="F3" s="11" t="n">
        <f aca="false">COUNTIFS(逐笔交易!$C$2:$C$65,"&gt;="&amp;DATE(A3,1,1),逐笔交易!$C$2:$C$65,"&lt;="&amp;DATE(A3,12,31))</f>
        <v>6</v>
      </c>
      <c r="G3" s="13" t="n">
        <f aca="false">SUMIFS(逐笔交易!$I$2:$I$65,逐笔交易!$E$2:$E$65,"&gt;="&amp;DATE(A3,1,1),逐笔交易!$E$2:$E$65,"&lt;="&amp;DATE(A3,12,31))</f>
        <v>-111949.262857143</v>
      </c>
    </row>
    <row r="4" customFormat="false" ht="15" hidden="false" customHeight="false" outlineLevel="0" collapsed="false">
      <c r="A4" s="22" t="n">
        <v>2015</v>
      </c>
      <c r="B4" s="9" t="n">
        <f aca="false">_xlfn.MAXIFS(资金曲线!$A$2:$A$3305,资金曲线!$F$2:$F$3305,A4)</f>
        <v>42369</v>
      </c>
      <c r="C4" s="23" t="n">
        <f aca="false">D3</f>
        <v>545567.65</v>
      </c>
      <c r="D4" s="4" t="n">
        <f aca="false">INDEX(资金曲线!$C$2:$C$3305,MATCH(B4,资金曲线!$A$2:$A$3305,0))</f>
        <v>912617.38</v>
      </c>
      <c r="E4" s="21" t="n">
        <f aca="false">D4/C4-1</f>
        <v>0.672784997424242</v>
      </c>
      <c r="F4" s="11" t="n">
        <f aca="false">COUNTIFS(逐笔交易!$C$2:$C$65,"&gt;="&amp;DATE(A4,1,1),逐笔交易!$C$2:$C$65,"&lt;="&amp;DATE(A4,12,31))</f>
        <v>5</v>
      </c>
      <c r="G4" s="13" t="n">
        <f aca="false">SUMIFS(逐笔交易!$I$2:$I$65,逐笔交易!$E$2:$E$65,"&gt;="&amp;DATE(A4,1,1),逐笔交易!$E$2:$E$65,"&lt;="&amp;DATE(A4,12,31))</f>
        <v>244378.032</v>
      </c>
    </row>
    <row r="5" customFormat="false" ht="15" hidden="false" customHeight="false" outlineLevel="0" collapsed="false">
      <c r="A5" s="22" t="n">
        <v>2016</v>
      </c>
      <c r="B5" s="9" t="n">
        <f aca="false">_xlfn.MAXIFS(资金曲线!$A$2:$A$3305,资金曲线!$F$2:$F$3305,A5)</f>
        <v>42734</v>
      </c>
      <c r="C5" s="23" t="n">
        <f aca="false">D4</f>
        <v>912617.38</v>
      </c>
      <c r="D5" s="4" t="n">
        <f aca="false">INDEX(资金曲线!$C$2:$C$3305,MATCH(B5,资金曲线!$A$2:$A$3305,0))</f>
        <v>6170306.27</v>
      </c>
      <c r="E5" s="21" t="n">
        <f aca="false">D5/C5-1</f>
        <v>5.76110975445153</v>
      </c>
      <c r="F5" s="11" t="n">
        <f aca="false">COUNTIFS(逐笔交易!$C$2:$C$65,"&gt;="&amp;DATE(A5,1,1),逐笔交易!$C$2:$C$65,"&lt;="&amp;DATE(A5,12,31))</f>
        <v>4</v>
      </c>
      <c r="G5" s="13" t="n">
        <f aca="false">SUMIFS(逐笔交易!$I$2:$I$65,逐笔交易!$E$2:$E$65,"&gt;="&amp;DATE(A5,1,1),逐笔交易!$E$2:$E$65,"&lt;="&amp;DATE(A5,12,31))</f>
        <v>2881684.646</v>
      </c>
    </row>
    <row r="6" customFormat="false" ht="15" hidden="false" customHeight="false" outlineLevel="0" collapsed="false">
      <c r="A6" s="22" t="n">
        <v>2017</v>
      </c>
      <c r="B6" s="9" t="n">
        <f aca="false">_xlfn.MAXIFS(资金曲线!$A$2:$A$3305,资金曲线!$F$2:$F$3305,A6)</f>
        <v>43098</v>
      </c>
      <c r="C6" s="23" t="n">
        <f aca="false">D5</f>
        <v>6170306.27</v>
      </c>
      <c r="D6" s="4" t="n">
        <f aca="false">INDEX(资金曲线!$C$2:$C$3305,MATCH(B6,资金曲线!$A$2:$A$3305,0))</f>
        <v>19561832.9</v>
      </c>
      <c r="E6" s="21" t="n">
        <f aca="false">D6/C6-1</f>
        <v>2.17031797839753</v>
      </c>
      <c r="F6" s="11" t="n">
        <f aca="false">COUNTIFS(逐笔交易!$C$2:$C$65,"&gt;="&amp;DATE(A6,1,1),逐笔交易!$C$2:$C$65,"&lt;="&amp;DATE(A6,12,31))</f>
        <v>6</v>
      </c>
      <c r="G6" s="13" t="n">
        <f aca="false">SUMIFS(逐笔交易!$I$2:$I$65,逐笔交易!$E$2:$E$65,"&gt;="&amp;DATE(A6,1,1),逐笔交易!$E$2:$E$65,"&lt;="&amp;DATE(A6,12,31))</f>
        <v>17506430.733</v>
      </c>
    </row>
    <row r="7" customFormat="false" ht="15" hidden="false" customHeight="false" outlineLevel="0" collapsed="false">
      <c r="A7" s="22" t="n">
        <v>2018</v>
      </c>
      <c r="B7" s="9" t="n">
        <f aca="false">_xlfn.MAXIFS(资金曲线!$A$2:$A$3305,资金曲线!$F$2:$F$3305,A7)</f>
        <v>43462</v>
      </c>
      <c r="C7" s="23" t="n">
        <f aca="false">D6</f>
        <v>19561832.9</v>
      </c>
      <c r="D7" s="4" t="n">
        <f aca="false">INDEX(资金曲线!$C$2:$C$3305,MATCH(B7,资金曲线!$A$2:$A$3305,0))</f>
        <v>18694689.16</v>
      </c>
      <c r="E7" s="21" t="n">
        <f aca="false">D7/C7-1</f>
        <v>-0.0443283481886811</v>
      </c>
      <c r="F7" s="11" t="n">
        <f aca="false">COUNTIFS(逐笔交易!$C$2:$C$65,"&gt;="&amp;DATE(A7,1,1),逐笔交易!$C$2:$C$65,"&lt;="&amp;DATE(A7,12,31))</f>
        <v>5</v>
      </c>
      <c r="G7" s="13" t="n">
        <f aca="false">SUMIFS(逐笔交易!$I$2:$I$65,逐笔交易!$E$2:$E$65,"&gt;="&amp;DATE(A7,1,1),逐笔交易!$E$2:$E$65,"&lt;="&amp;DATE(A7,12,31))</f>
        <v>-8292176.613</v>
      </c>
    </row>
    <row r="8" customFormat="false" ht="15" hidden="false" customHeight="false" outlineLevel="0" collapsed="false">
      <c r="A8" s="22" t="n">
        <v>2019</v>
      </c>
      <c r="B8" s="9" t="n">
        <f aca="false">_xlfn.MAXIFS(资金曲线!$A$2:$A$3305,资金曲线!$F$2:$F$3305,A8)</f>
        <v>43830</v>
      </c>
      <c r="C8" s="23" t="n">
        <f aca="false">D7</f>
        <v>18694689.16</v>
      </c>
      <c r="D8" s="4" t="n">
        <f aca="false">INDEX(资金曲线!$C$2:$C$3305,MATCH(B8,资金曲线!$A$2:$A$3305,0))</f>
        <v>17241341.31</v>
      </c>
      <c r="E8" s="21" t="n">
        <f aca="false">D8/C8-1</f>
        <v>-0.0777412150349978</v>
      </c>
      <c r="F8" s="11" t="n">
        <f aca="false">COUNTIFS(逐笔交易!$C$2:$C$65,"&gt;="&amp;DATE(A8,1,1),逐笔交易!$C$2:$C$65,"&lt;="&amp;DATE(A8,12,31))</f>
        <v>5</v>
      </c>
      <c r="G8" s="13" t="n">
        <f aca="false">SUMIFS(逐笔交易!$I$2:$I$65,逐笔交易!$E$2:$E$65,"&gt;="&amp;DATE(A8,1,1),逐笔交易!$E$2:$E$65,"&lt;="&amp;DATE(A8,12,31))</f>
        <v>3550868.70225</v>
      </c>
    </row>
    <row r="9" customFormat="false" ht="15" hidden="false" customHeight="false" outlineLevel="0" collapsed="false">
      <c r="A9" s="22" t="n">
        <v>2020</v>
      </c>
      <c r="B9" s="9" t="n">
        <f aca="false">_xlfn.MAXIFS(资金曲线!$A$2:$A$3305,资金曲线!$F$2:$F$3305,A9)</f>
        <v>44196</v>
      </c>
      <c r="C9" s="23" t="n">
        <f aca="false">D8</f>
        <v>17241341.31</v>
      </c>
      <c r="D9" s="4" t="n">
        <f aca="false">INDEX(资金曲线!$C$2:$C$3305,MATCH(B9,资金曲线!$A$2:$A$3305,0))</f>
        <v>24738408.54</v>
      </c>
      <c r="E9" s="21" t="n">
        <f aca="false">D9/C9-1</f>
        <v>0.434830857715907</v>
      </c>
      <c r="F9" s="11" t="n">
        <f aca="false">COUNTIFS(逐笔交易!$C$2:$C$65,"&gt;="&amp;DATE(A9,1,1),逐笔交易!$C$2:$C$65,"&lt;="&amp;DATE(A9,12,31))</f>
        <v>6</v>
      </c>
      <c r="G9" s="13" t="n">
        <f aca="false">SUMIFS(逐笔交易!$I$2:$I$65,逐笔交易!$E$2:$E$65,"&gt;="&amp;DATE(A9,1,1),逐笔交易!$E$2:$E$65,"&lt;="&amp;DATE(A9,12,31))</f>
        <v>-1224982.84200001</v>
      </c>
    </row>
    <row r="10" customFormat="false" ht="15" hidden="false" customHeight="false" outlineLevel="0" collapsed="false">
      <c r="A10" s="22" t="n">
        <v>2021</v>
      </c>
      <c r="B10" s="9" t="n">
        <f aca="false">_xlfn.MAXIFS(资金曲线!$A$2:$A$3305,资金曲线!$F$2:$F$3305,A10)</f>
        <v>44561</v>
      </c>
      <c r="C10" s="23" t="n">
        <f aca="false">D9</f>
        <v>24738408.54</v>
      </c>
      <c r="D10" s="4" t="n">
        <f aca="false">INDEX(资金曲线!$C$2:$C$3305,MATCH(B10,资金曲线!$A$2:$A$3305,0))</f>
        <v>14538744.19</v>
      </c>
      <c r="E10" s="21" t="n">
        <f aca="false">D10/C10-1</f>
        <v>-0.412300748187094</v>
      </c>
      <c r="F10" s="11" t="n">
        <f aca="false">COUNTIFS(逐笔交易!$C$2:$C$65,"&gt;="&amp;DATE(A10,1,1),逐笔交易!$C$2:$C$65,"&lt;="&amp;DATE(A10,12,31))</f>
        <v>5</v>
      </c>
      <c r="G10" s="13" t="n">
        <f aca="false">SUMIFS(逐笔交易!$I$2:$I$65,逐笔交易!$E$2:$E$65,"&gt;="&amp;DATE(A10,1,1),逐笔交易!$E$2:$E$65,"&lt;="&amp;DATE(A10,12,31))</f>
        <v>-673026.122142858</v>
      </c>
    </row>
    <row r="11" customFormat="false" ht="15" hidden="false" customHeight="false" outlineLevel="0" collapsed="false">
      <c r="A11" s="22" t="n">
        <v>2022</v>
      </c>
      <c r="B11" s="9" t="n">
        <f aca="false">_xlfn.MAXIFS(资金曲线!$A$2:$A$3305,资金曲线!$F$2:$F$3305,A11)</f>
        <v>44925</v>
      </c>
      <c r="C11" s="23" t="n">
        <f aca="false">D10</f>
        <v>14538744.19</v>
      </c>
      <c r="D11" s="4" t="n">
        <f aca="false">INDEX(资金曲线!$C$2:$C$3305,MATCH(B11,资金曲线!$A$2:$A$3305,0))</f>
        <v>29961823.37</v>
      </c>
      <c r="E11" s="21" t="n">
        <f aca="false">D11/C11-1</f>
        <v>1.06082609188545</v>
      </c>
      <c r="F11" s="11" t="n">
        <f aca="false">COUNTIFS(逐笔交易!$C$2:$C$65,"&gt;="&amp;DATE(A11,1,1),逐笔交易!$C$2:$C$65,"&lt;="&amp;DATE(A11,12,31))</f>
        <v>5</v>
      </c>
      <c r="G11" s="13" t="n">
        <f aca="false">SUMIFS(逐笔交易!$I$2:$I$65,逐笔交易!$E$2:$E$65,"&gt;="&amp;DATE(A11,1,1),逐笔交易!$E$2:$E$65,"&lt;="&amp;DATE(A11,12,31))</f>
        <v>27851575.0695714</v>
      </c>
    </row>
    <row r="12" customFormat="false" ht="15" hidden="false" customHeight="false" outlineLevel="0" collapsed="false">
      <c r="A12" s="22" t="n">
        <v>2023</v>
      </c>
      <c r="B12" s="9" t="n">
        <f aca="false">_xlfn.MAXIFS(资金曲线!$A$2:$A$3305,资金曲线!$F$2:$F$3305,A12)</f>
        <v>45289</v>
      </c>
      <c r="C12" s="23" t="n">
        <f aca="false">D11</f>
        <v>29961823.37</v>
      </c>
      <c r="D12" s="4" t="n">
        <f aca="false">INDEX(资金曲线!$C$2:$C$3305,MATCH(B12,资金曲线!$A$2:$A$3305,0))</f>
        <v>59749116.07</v>
      </c>
      <c r="E12" s="21" t="n">
        <f aca="false">D12/C12-1</f>
        <v>0.994174898241515</v>
      </c>
      <c r="F12" s="11" t="n">
        <f aca="false">COUNTIFS(逐笔交易!$C$2:$C$65,"&gt;="&amp;DATE(A12,1,1),逐笔交易!$C$2:$C$65,"&lt;="&amp;DATE(A12,12,31))</f>
        <v>4</v>
      </c>
      <c r="G12" s="13" t="n">
        <f aca="false">SUMIFS(逐笔交易!$I$2:$I$65,逐笔交易!$E$2:$E$65,"&gt;="&amp;DATE(A12,1,1),逐笔交易!$E$2:$E$65,"&lt;="&amp;DATE(A12,12,31))</f>
        <v>17358796.8163929</v>
      </c>
    </row>
    <row r="13" customFormat="false" ht="15" hidden="false" customHeight="false" outlineLevel="0" collapsed="false">
      <c r="A13" s="22" t="n">
        <v>2024</v>
      </c>
      <c r="B13" s="9" t="n">
        <f aca="false">_xlfn.MAXIFS(资金曲线!$A$2:$A$3305,资金曲线!$F$2:$F$3305,A13)</f>
        <v>45657</v>
      </c>
      <c r="C13" s="23" t="n">
        <f aca="false">D12</f>
        <v>59749116.07</v>
      </c>
      <c r="D13" s="4" t="n">
        <f aca="false">INDEX(资金曲线!$C$2:$C$3305,MATCH(B13,资金曲线!$A$2:$A$3305,0))</f>
        <v>128119792.03</v>
      </c>
      <c r="E13" s="21" t="n">
        <f aca="false">D13/C13-1</f>
        <v>1.14429602405999</v>
      </c>
      <c r="F13" s="11" t="n">
        <f aca="false">COUNTIFS(逐笔交易!$C$2:$C$65,"&gt;="&amp;DATE(A13,1,1),逐笔交易!$C$2:$C$65,"&lt;="&amp;DATE(A13,12,31))</f>
        <v>4</v>
      </c>
      <c r="G13" s="13" t="n">
        <f aca="false">SUMIFS(逐笔交易!$I$2:$I$65,逐笔交易!$E$2:$E$65,"&gt;="&amp;DATE(A13,1,1),逐笔交易!$E$2:$E$65,"&lt;="&amp;DATE(A13,12,31))</f>
        <v>34311827.049</v>
      </c>
    </row>
    <row r="14" customFormat="false" ht="15" hidden="false" customHeight="false" outlineLevel="0" collapsed="false">
      <c r="A14" s="22" t="n">
        <v>2025</v>
      </c>
      <c r="B14" s="9" t="n">
        <f aca="false">_xlfn.MAXIFS(资金曲线!$A$2:$A$3305,资金曲线!$F$2:$F$3305,A14)</f>
        <v>46022</v>
      </c>
      <c r="C14" s="23" t="n">
        <f aca="false">D13</f>
        <v>128119792.03</v>
      </c>
      <c r="D14" s="4" t="n">
        <f aca="false">INDEX(资金曲线!$C$2:$C$3305,MATCH(B14,资金曲线!$A$2:$A$3305,0))</f>
        <v>601292952.58</v>
      </c>
      <c r="E14" s="21" t="n">
        <f aca="false">D14/C14-1</f>
        <v>3.69320893402015</v>
      </c>
      <c r="F14" s="11" t="n">
        <f aca="false">COUNTIFS(逐笔交易!$C$2:$C$65,"&gt;="&amp;DATE(A14,1,1),逐笔交易!$C$2:$C$65,"&lt;="&amp;DATE(A14,12,31))</f>
        <v>3</v>
      </c>
      <c r="G14" s="13" t="n">
        <f aca="false">SUMIFS(逐笔交易!$I$2:$I$65,逐笔交易!$E$2:$E$65,"&gt;="&amp;DATE(A14,1,1),逐笔交易!$E$2:$E$65,"&lt;="&amp;DATE(A14,12,31))</f>
        <v>641168671.231</v>
      </c>
    </row>
    <row r="15" customFormat="false" ht="15" hidden="false" customHeight="false" outlineLevel="0" collapsed="false">
      <c r="A15" s="22" t="n">
        <v>2026</v>
      </c>
      <c r="B15" s="9" t="n">
        <f aca="false">_xlfn.MAXIFS(资金曲线!$A$2:$A$3305,资金曲线!$F$2:$F$3305,A15)</f>
        <v>46324</v>
      </c>
      <c r="C15" s="23" t="n">
        <f aca="false">D14</f>
        <v>601292952.58</v>
      </c>
      <c r="D15" s="4" t="n">
        <f aca="false">INDEX(资金曲线!$C$2:$C$3305,MATCH(B15,资金曲线!$A$2:$A$3305,0))</f>
        <v>274925378.52</v>
      </c>
      <c r="E15" s="21" t="n">
        <f aca="false">D15/C15-1</f>
        <v>-0.542776316701596</v>
      </c>
      <c r="F15" s="11" t="n">
        <f aca="false">COUNTIFS(逐笔交易!$C$2:$C$65,"&gt;="&amp;DATE(A15,1,1),逐笔交易!$C$2:$C$65,"&lt;="&amp;DATE(A15,12,31))</f>
        <v>3</v>
      </c>
      <c r="G15" s="13" t="n">
        <f aca="false">SUMIFS(逐笔交易!$I$2:$I$65,逐笔交易!$E$2:$E$65,"&gt;="&amp;DATE(A15,1,1),逐笔交易!$E$2:$E$65,"&lt;="&amp;DATE(A15,12,31))</f>
        <v>-460304235.833607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2" t="s">
        <v>71</v>
      </c>
      <c r="B3" s="2" t="s">
        <v>2</v>
      </c>
      <c r="C3" s="2" t="s">
        <v>72</v>
      </c>
    </row>
    <row r="4" customFormat="false" ht="15" hidden="false" customHeight="false" outlineLevel="0" collapsed="false">
      <c r="A4" s="3" t="s">
        <v>4</v>
      </c>
      <c r="B4" s="24" t="n">
        <v>500000</v>
      </c>
      <c r="C4" s="3" t="s">
        <v>73</v>
      </c>
    </row>
    <row r="5" customFormat="false" ht="15" hidden="false" customHeight="false" outlineLevel="0" collapsed="false">
      <c r="A5" s="3" t="s">
        <v>74</v>
      </c>
      <c r="B5" s="25" t="n">
        <v>0.5</v>
      </c>
      <c r="C5" s="3" t="s">
        <v>75</v>
      </c>
    </row>
    <row r="6" customFormat="false" ht="15" hidden="false" customHeight="false" outlineLevel="0" collapsed="false">
      <c r="A6" s="3" t="s">
        <v>76</v>
      </c>
      <c r="B6" s="25" t="n">
        <v>0.12</v>
      </c>
      <c r="C6" s="3" t="s">
        <v>77</v>
      </c>
    </row>
    <row r="7" customFormat="false" ht="15" hidden="false" customHeight="false" outlineLevel="0" collapsed="false">
      <c r="A7" s="3" t="s">
        <v>78</v>
      </c>
      <c r="B7" s="26" t="n">
        <v>60</v>
      </c>
      <c r="C7" s="3" t="s">
        <v>79</v>
      </c>
    </row>
    <row r="8" customFormat="false" ht="15" hidden="false" customHeight="false" outlineLevel="0" collapsed="false">
      <c r="A8" s="3" t="s">
        <v>80</v>
      </c>
      <c r="B8" s="27" t="n">
        <v>0.0001</v>
      </c>
      <c r="C8" s="3" t="s">
        <v>81</v>
      </c>
    </row>
    <row r="9" customFormat="false" ht="15" hidden="false" customHeight="false" outlineLevel="0" collapsed="false">
      <c r="A9" s="3" t="s">
        <v>82</v>
      </c>
      <c r="B9" s="27" t="n">
        <v>0.0002</v>
      </c>
      <c r="C9" s="3" t="s">
        <v>83</v>
      </c>
    </row>
    <row r="10" customFormat="false" ht="15" hidden="false" customHeight="false" outlineLevel="0" collapsed="false">
      <c r="A10" s="3" t="s">
        <v>84</v>
      </c>
      <c r="B10" s="28" t="n">
        <v>0.01</v>
      </c>
      <c r="C10" s="3" t="s">
        <v>85</v>
      </c>
    </row>
    <row r="11" customFormat="false" ht="15" hidden="false" customHeight="false" outlineLevel="0" collapsed="false">
      <c r="A11" s="3" t="s">
        <v>86</v>
      </c>
      <c r="B11" s="29" t="n">
        <v>0.5</v>
      </c>
      <c r="C11" s="3" t="s">
        <v>87</v>
      </c>
    </row>
    <row r="12" customFormat="false" ht="15" hidden="false" customHeight="false" outlineLevel="0" collapsed="false">
      <c r="A12" s="3" t="s">
        <v>88</v>
      </c>
      <c r="B12" s="30" t="s">
        <v>89</v>
      </c>
      <c r="C12" s="3" t="s">
        <v>90</v>
      </c>
    </row>
    <row r="14" customFormat="false" ht="26.85" hidden="false" customHeight="false" outlineLevel="0" collapsed="false">
      <c r="A14" s="31" t="s">
        <v>91</v>
      </c>
      <c r="C14" s="32" t="s">
        <v>92</v>
      </c>
    </row>
    <row r="16" customFormat="false" ht="15" hidden="false" customHeight="false" outlineLevel="0" collapsed="false">
      <c r="A16" s="18" t="s">
        <v>93</v>
      </c>
    </row>
    <row r="17" customFormat="false" ht="30" hidden="false" customHeight="true" outlineLevel="0" collapsed="false">
      <c r="A17" s="31" t="s">
        <v>94</v>
      </c>
      <c r="B17" s="33" t="s">
        <v>95</v>
      </c>
      <c r="C17" s="33"/>
    </row>
    <row r="18" customFormat="false" ht="30" hidden="false" customHeight="true" outlineLevel="0" collapsed="false">
      <c r="A18" s="31" t="s">
        <v>96</v>
      </c>
      <c r="B18" s="33" t="s">
        <v>97</v>
      </c>
      <c r="C18" s="33"/>
    </row>
    <row r="19" customFormat="false" ht="30" hidden="false" customHeight="true" outlineLevel="0" collapsed="false">
      <c r="A19" s="31" t="s">
        <v>98</v>
      </c>
      <c r="B19" s="33" t="s">
        <v>99</v>
      </c>
      <c r="C19" s="33"/>
    </row>
    <row r="20" customFormat="false" ht="30" hidden="false" customHeight="true" outlineLevel="0" collapsed="false">
      <c r="A20" s="31" t="s">
        <v>100</v>
      </c>
      <c r="B20" s="33" t="s">
        <v>101</v>
      </c>
      <c r="C20" s="33"/>
    </row>
    <row r="21" customFormat="false" ht="30" hidden="false" customHeight="true" outlineLevel="0" collapsed="false">
      <c r="A21" s="31" t="s">
        <v>102</v>
      </c>
      <c r="B21" s="33" t="s">
        <v>103</v>
      </c>
      <c r="C21" s="33"/>
    </row>
    <row r="22" customFormat="false" ht="30" hidden="false" customHeight="true" outlineLevel="0" collapsed="false">
      <c r="A22" s="31" t="s">
        <v>104</v>
      </c>
      <c r="B22" s="33" t="s">
        <v>105</v>
      </c>
      <c r="C22" s="33"/>
    </row>
    <row r="23" customFormat="false" ht="30" hidden="false" customHeight="true" outlineLevel="0" collapsed="false">
      <c r="A23" s="31" t="s">
        <v>106</v>
      </c>
      <c r="B23" s="33" t="s">
        <v>107</v>
      </c>
      <c r="C23" s="33"/>
    </row>
    <row r="24" customFormat="false" ht="30" hidden="false" customHeight="true" outlineLevel="0" collapsed="false">
      <c r="A24" s="31" t="s">
        <v>108</v>
      </c>
      <c r="B24" s="33" t="s">
        <v>109</v>
      </c>
      <c r="C24" s="33"/>
    </row>
  </sheetData>
  <mergeCells count="8">
    <mergeCell ref="B17:C17"/>
    <mergeCell ref="B18:C18"/>
    <mergeCell ref="B19:C19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6" min="15" style="0" width="9"/>
  </cols>
  <sheetData>
    <row r="1" customFormat="false" ht="15" hidden="false" customHeight="false" outlineLevel="0" collapsed="false">
      <c r="A1" s="2" t="s">
        <v>110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34" t="s">
        <v>121</v>
      </c>
      <c r="M1" s="2" t="s">
        <v>122</v>
      </c>
      <c r="N1" s="2" t="s">
        <v>123</v>
      </c>
      <c r="O1" s="2" t="s">
        <v>124</v>
      </c>
      <c r="P1" s="2" t="s">
        <v>125</v>
      </c>
    </row>
    <row r="2" customFormat="false" ht="15" hidden="false" customHeight="false" outlineLevel="0" collapsed="false">
      <c r="A2" s="22" t="n">
        <v>1</v>
      </c>
      <c r="B2" s="20" t="s">
        <v>126</v>
      </c>
      <c r="C2" s="35" t="n">
        <v>41467</v>
      </c>
      <c r="D2" s="12" t="n">
        <v>1062.5</v>
      </c>
      <c r="E2" s="35" t="n">
        <v>41533</v>
      </c>
      <c r="F2" s="12" t="n">
        <v>1143.5</v>
      </c>
      <c r="G2" s="23" t="n">
        <v>32</v>
      </c>
      <c r="H2" s="22" t="n">
        <v>46</v>
      </c>
      <c r="I2" s="36" t="n">
        <v>155095.808</v>
      </c>
      <c r="J2" s="4" t="n">
        <f aca="false">参数说明!$B$4</f>
        <v>500000</v>
      </c>
      <c r="K2" s="21" t="n">
        <f aca="false">I2/J2</f>
        <v>0.310191616</v>
      </c>
      <c r="L2" s="10" t="n">
        <v>1.564</v>
      </c>
      <c r="M2" s="3" t="s">
        <v>127</v>
      </c>
      <c r="N2" s="37" t="n">
        <f aca="false">G2*D2*参数说明!$B$7/J2</f>
        <v>4.08</v>
      </c>
      <c r="O2" s="22" t="n">
        <f aca="false">IF(I2&lt;=0,1,0)</f>
        <v>0</v>
      </c>
      <c r="P2" s="22" t="n">
        <f aca="false">IF(I2&gt;0,1,0)</f>
        <v>1</v>
      </c>
    </row>
    <row r="3" customFormat="false" ht="15" hidden="false" customHeight="false" outlineLevel="0" collapsed="false">
      <c r="A3" s="22" t="n">
        <v>2</v>
      </c>
      <c r="B3" s="20" t="s">
        <v>128</v>
      </c>
      <c r="C3" s="35" t="n">
        <v>41555</v>
      </c>
      <c r="D3" s="12" t="n">
        <v>1149.5</v>
      </c>
      <c r="E3" s="35" t="n">
        <v>41613</v>
      </c>
      <c r="F3" s="12" t="n">
        <v>1116.5</v>
      </c>
      <c r="G3" s="23" t="n">
        <v>39</v>
      </c>
      <c r="H3" s="22" t="n">
        <v>42</v>
      </c>
      <c r="I3" s="36" t="n">
        <v>76688.976</v>
      </c>
      <c r="J3" s="23" t="n">
        <f aca="false">J2+I2</f>
        <v>655095.808</v>
      </c>
      <c r="K3" s="21" t="n">
        <f aca="false">I3/J3</f>
        <v>0.117065282762426</v>
      </c>
      <c r="L3" s="10" t="n">
        <v>0.786</v>
      </c>
      <c r="M3" s="3" t="s">
        <v>127</v>
      </c>
      <c r="N3" s="37" t="n">
        <f aca="false">G3*D3*参数说明!$B$7/J3</f>
        <v>4.10601009371747</v>
      </c>
      <c r="O3" s="22" t="n">
        <f aca="false">IF(I3&lt;=0,O2+1,0)</f>
        <v>0</v>
      </c>
      <c r="P3" s="22" t="n">
        <f aca="false">IF(I3&gt;0,P2+1,0)</f>
        <v>2</v>
      </c>
    </row>
    <row r="4" customFormat="false" ht="15" hidden="false" customHeight="false" outlineLevel="0" collapsed="false">
      <c r="A4" s="22" t="n">
        <v>3</v>
      </c>
      <c r="B4" s="20" t="s">
        <v>126</v>
      </c>
      <c r="C4" s="35" t="n">
        <v>41613</v>
      </c>
      <c r="D4" s="12" t="n">
        <v>1116.5</v>
      </c>
      <c r="E4" s="35" t="n">
        <v>41621</v>
      </c>
      <c r="F4" s="12" t="n">
        <v>1089.21428571429</v>
      </c>
      <c r="G4" s="23" t="n">
        <v>45</v>
      </c>
      <c r="H4" s="22" t="n">
        <v>6</v>
      </c>
      <c r="I4" s="36" t="n">
        <v>-74267.8714285713</v>
      </c>
      <c r="J4" s="23" t="n">
        <f aca="false">J3+I3</f>
        <v>731784.784</v>
      </c>
      <c r="K4" s="21" t="n">
        <f aca="false">I4/J4</f>
        <v>-0.101488679530362</v>
      </c>
      <c r="L4" s="10" t="n">
        <v>-1.019</v>
      </c>
      <c r="M4" s="3" t="s">
        <v>102</v>
      </c>
      <c r="N4" s="37" t="n">
        <f aca="false">G4*D4*参数说明!$B$7/J4</f>
        <v>4.1194488679065</v>
      </c>
      <c r="O4" s="22" t="n">
        <f aca="false">IF(I4&lt;=0,O3+1,0)</f>
        <v>1</v>
      </c>
      <c r="P4" s="22" t="n">
        <f aca="false">IF(I4&gt;0,P3+1,0)</f>
        <v>0</v>
      </c>
    </row>
    <row r="5" customFormat="false" ht="15" hidden="false" customHeight="false" outlineLevel="0" collapsed="false">
      <c r="A5" s="22" t="n">
        <v>4</v>
      </c>
      <c r="B5" s="20" t="s">
        <v>128</v>
      </c>
      <c r="C5" s="35" t="n">
        <v>41652</v>
      </c>
      <c r="D5" s="12" t="n">
        <v>991.5</v>
      </c>
      <c r="E5" s="35" t="n">
        <v>41733</v>
      </c>
      <c r="F5" s="12" t="n">
        <v>845.5</v>
      </c>
      <c r="G5" s="23" t="n">
        <v>46</v>
      </c>
      <c r="H5" s="22" t="n">
        <v>54</v>
      </c>
      <c r="I5" s="36" t="n">
        <v>402452.068</v>
      </c>
      <c r="J5" s="23" t="n">
        <f aca="false">J4+I4</f>
        <v>657516.912571429</v>
      </c>
      <c r="K5" s="21" t="n">
        <f aca="false">I5/J5</f>
        <v>0.61207865578101</v>
      </c>
      <c r="L5" s="10" t="n">
        <v>3.539</v>
      </c>
      <c r="M5" s="3" t="s">
        <v>127</v>
      </c>
      <c r="N5" s="37" t="n">
        <f aca="false">G5*D5*参数说明!$B$7/J5</f>
        <v>4.16193096736918</v>
      </c>
      <c r="O5" s="22" t="n">
        <f aca="false">IF(I5&lt;=0,O4+1,0)</f>
        <v>0</v>
      </c>
      <c r="P5" s="22" t="n">
        <f aca="false">IF(I5&gt;0,P4+1,0)</f>
        <v>1</v>
      </c>
    </row>
    <row r="6" customFormat="false" ht="15" hidden="false" customHeight="false" outlineLevel="0" collapsed="false">
      <c r="A6" s="22" t="n">
        <v>5</v>
      </c>
      <c r="B6" s="20" t="s">
        <v>128</v>
      </c>
      <c r="C6" s="35" t="n">
        <v>41778</v>
      </c>
      <c r="D6" s="12" t="n">
        <v>819.5</v>
      </c>
      <c r="E6" s="35" t="n">
        <v>41857</v>
      </c>
      <c r="F6" s="12" t="n">
        <v>794.5</v>
      </c>
      <c r="G6" s="23" t="n">
        <v>89</v>
      </c>
      <c r="H6" s="22" t="n">
        <v>56</v>
      </c>
      <c r="I6" s="36" t="n">
        <v>132636.344</v>
      </c>
      <c r="J6" s="23" t="n">
        <f aca="false">J5+I5</f>
        <v>1059968.98057143</v>
      </c>
      <c r="K6" s="21" t="n">
        <f aca="false">I6/J6</f>
        <v>0.125132288237808</v>
      </c>
      <c r="L6" s="10" t="n">
        <v>0.511</v>
      </c>
      <c r="M6" s="3" t="s">
        <v>127</v>
      </c>
      <c r="N6" s="37" t="n">
        <f aca="false">G6*D6*参数说明!$B$7/J6</f>
        <v>4.12854534445039</v>
      </c>
      <c r="O6" s="22" t="n">
        <f aca="false">IF(I6&lt;=0,O5+1,0)</f>
        <v>0</v>
      </c>
      <c r="P6" s="22" t="n">
        <f aca="false">IF(I6&gt;0,P5+1,0)</f>
        <v>2</v>
      </c>
    </row>
    <row r="7" customFormat="false" ht="15" hidden="false" customHeight="false" outlineLevel="0" collapsed="false">
      <c r="A7" s="22" t="n">
        <v>6</v>
      </c>
      <c r="B7" s="20" t="s">
        <v>126</v>
      </c>
      <c r="C7" s="35" t="n">
        <v>41876</v>
      </c>
      <c r="D7" s="12" t="n">
        <v>794.5</v>
      </c>
      <c r="E7" s="35" t="n">
        <v>41892</v>
      </c>
      <c r="F7" s="12" t="n">
        <v>769.5</v>
      </c>
      <c r="G7" s="23" t="n">
        <v>104</v>
      </c>
      <c r="H7" s="22" t="n">
        <v>11</v>
      </c>
      <c r="I7" s="36" t="n">
        <v>-156978.016</v>
      </c>
      <c r="J7" s="23" t="n">
        <f aca="false">J6+I6</f>
        <v>1192605.32457143</v>
      </c>
      <c r="K7" s="21" t="n">
        <f aca="false">I7/J7</f>
        <v>-0.131626123719019</v>
      </c>
      <c r="L7" s="10" t="n">
        <v>-0.642</v>
      </c>
      <c r="M7" s="3" t="s">
        <v>127</v>
      </c>
      <c r="N7" s="37" t="n">
        <f aca="false">G7*D7*参数说明!$B$7/J7</f>
        <v>4.15701648974406</v>
      </c>
      <c r="O7" s="22" t="n">
        <f aca="false">IF(I7&lt;=0,O6+1,0)</f>
        <v>1</v>
      </c>
      <c r="P7" s="22" t="n">
        <f aca="false">IF(I7&gt;0,P6+1,0)</f>
        <v>0</v>
      </c>
    </row>
    <row r="8" customFormat="false" ht="15" hidden="false" customHeight="false" outlineLevel="0" collapsed="false">
      <c r="A8" s="22" t="n">
        <v>7</v>
      </c>
      <c r="B8" s="20" t="s">
        <v>128</v>
      </c>
      <c r="C8" s="35" t="n">
        <v>41905</v>
      </c>
      <c r="D8" s="12" t="n">
        <v>777.5</v>
      </c>
      <c r="E8" s="35" t="n">
        <v>41921</v>
      </c>
      <c r="F8" s="12" t="n">
        <v>816.928571428571</v>
      </c>
      <c r="G8" s="23" t="n">
        <v>92</v>
      </c>
      <c r="H8" s="22" t="n">
        <v>7</v>
      </c>
      <c r="I8" s="36" t="n">
        <v>-218527.678857143</v>
      </c>
      <c r="J8" s="23" t="n">
        <f aca="false">J7+I7</f>
        <v>1035627.30857143</v>
      </c>
      <c r="K8" s="21" t="n">
        <f aca="false">I8/J8</f>
        <v>-0.211009961835195</v>
      </c>
      <c r="L8" s="10" t="n">
        <v>-1.013</v>
      </c>
      <c r="M8" s="3" t="s">
        <v>102</v>
      </c>
      <c r="N8" s="37" t="n">
        <f aca="false">G8*D8*参数说明!$B$7/J8</f>
        <v>4.1441549141073</v>
      </c>
      <c r="O8" s="22" t="n">
        <f aca="false">IF(I8&lt;=0,O7+1,0)</f>
        <v>2</v>
      </c>
      <c r="P8" s="22" t="n">
        <f aca="false">IF(I8&gt;0,P7+1,0)</f>
        <v>0</v>
      </c>
    </row>
    <row r="9" customFormat="false" ht="15" hidden="false" customHeight="false" outlineLevel="0" collapsed="false">
      <c r="A9" s="22" t="n">
        <v>8</v>
      </c>
      <c r="B9" s="20" t="s">
        <v>126</v>
      </c>
      <c r="C9" s="35" t="n">
        <v>41922</v>
      </c>
      <c r="D9" s="12" t="n">
        <v>813.5</v>
      </c>
      <c r="E9" s="35" t="n">
        <v>41934</v>
      </c>
      <c r="F9" s="12" t="n">
        <v>770.5</v>
      </c>
      <c r="G9" s="23" t="n">
        <v>69</v>
      </c>
      <c r="H9" s="22" t="n">
        <v>8</v>
      </c>
      <c r="I9" s="36" t="n">
        <v>-178677.156</v>
      </c>
      <c r="J9" s="23" t="n">
        <f aca="false">J8+I8</f>
        <v>817099.629714286</v>
      </c>
      <c r="K9" s="21" t="n">
        <f aca="false">I9/J9</f>
        <v>-0.218672423168859</v>
      </c>
      <c r="L9" s="10" t="n">
        <v>-1.012</v>
      </c>
      <c r="M9" s="3" t="s">
        <v>102</v>
      </c>
      <c r="N9" s="37" t="n">
        <f aca="false">G9*D9*参数说明!$B$7/J9</f>
        <v>4.12176175037265</v>
      </c>
      <c r="O9" s="22" t="n">
        <f aca="false">IF(I9&lt;=0,O8+1,0)</f>
        <v>3</v>
      </c>
      <c r="P9" s="22" t="n">
        <f aca="false">IF(I9&gt;0,P8+1,0)</f>
        <v>0</v>
      </c>
    </row>
    <row r="10" customFormat="false" ht="15" hidden="false" customHeight="false" outlineLevel="0" collapsed="false">
      <c r="A10" s="22" t="n">
        <v>9</v>
      </c>
      <c r="B10" s="20" t="s">
        <v>126</v>
      </c>
      <c r="C10" s="35" t="n">
        <v>41976</v>
      </c>
      <c r="D10" s="12" t="n">
        <v>764.5</v>
      </c>
      <c r="E10" s="35" t="n">
        <v>41996</v>
      </c>
      <c r="F10" s="12" t="n">
        <v>737.5</v>
      </c>
      <c r="G10" s="23" t="n">
        <v>57</v>
      </c>
      <c r="H10" s="22" t="n">
        <v>14</v>
      </c>
      <c r="I10" s="36" t="n">
        <v>-92854.824</v>
      </c>
      <c r="J10" s="23" t="n">
        <f aca="false">J9+I9</f>
        <v>638422.473714286</v>
      </c>
      <c r="K10" s="21" t="n">
        <f aca="false">I10/J10</f>
        <v>-0.145444165616193</v>
      </c>
      <c r="L10" s="10" t="n">
        <v>-0.975</v>
      </c>
      <c r="M10" s="3" t="s">
        <v>127</v>
      </c>
      <c r="N10" s="37" t="n">
        <f aca="false">G10*D10*参数说明!$B$7/J10</f>
        <v>4.09539154345326</v>
      </c>
      <c r="O10" s="22" t="n">
        <f aca="false">IF(I10&lt;=0,O9+1,0)</f>
        <v>4</v>
      </c>
      <c r="P10" s="22" t="n">
        <f aca="false">IF(I10&gt;0,P9+1,0)</f>
        <v>0</v>
      </c>
    </row>
    <row r="11" customFormat="false" ht="15" hidden="false" customHeight="false" outlineLevel="0" collapsed="false">
      <c r="A11" s="22" t="n">
        <v>10</v>
      </c>
      <c r="B11" s="20" t="s">
        <v>128</v>
      </c>
      <c r="C11" s="35" t="n">
        <v>42017</v>
      </c>
      <c r="D11" s="12" t="n">
        <v>727.5</v>
      </c>
      <c r="E11" s="35" t="n">
        <v>42122</v>
      </c>
      <c r="F11" s="12" t="n">
        <v>684</v>
      </c>
      <c r="G11" s="23" t="n">
        <v>52</v>
      </c>
      <c r="H11" s="22" t="n">
        <v>69</v>
      </c>
      <c r="I11" s="36" t="n">
        <v>135278.572</v>
      </c>
      <c r="J11" s="23" t="n">
        <f aca="false">J10+I10</f>
        <v>545567.649714286</v>
      </c>
      <c r="K11" s="21" t="n">
        <f aca="false">I11/J11</f>
        <v>0.247959299036234</v>
      </c>
      <c r="L11" s="10" t="n">
        <v>1.083</v>
      </c>
      <c r="M11" s="3" t="s">
        <v>127</v>
      </c>
      <c r="N11" s="37" t="n">
        <f aca="false">G11*D11*参数说明!$B$7/J11</f>
        <v>4.16043730083464</v>
      </c>
      <c r="O11" s="22" t="n">
        <f aca="false">IF(I11&lt;=0,O10+1,0)</f>
        <v>0</v>
      </c>
      <c r="P11" s="22" t="n">
        <f aca="false">IF(I11&gt;0,P10+1,0)</f>
        <v>1</v>
      </c>
    </row>
    <row r="12" customFormat="false" ht="15" hidden="false" customHeight="false" outlineLevel="0" collapsed="false">
      <c r="A12" s="22" t="n">
        <v>11</v>
      </c>
      <c r="B12" s="20" t="s">
        <v>126</v>
      </c>
      <c r="C12" s="35" t="n">
        <v>42122</v>
      </c>
      <c r="D12" s="12" t="n">
        <v>684</v>
      </c>
      <c r="E12" s="35" t="n">
        <v>42129</v>
      </c>
      <c r="F12" s="12" t="n">
        <v>675</v>
      </c>
      <c r="G12" s="23" t="n">
        <v>69</v>
      </c>
      <c r="H12" s="22" t="n">
        <v>4</v>
      </c>
      <c r="I12" s="36" t="n">
        <v>-37824.006</v>
      </c>
      <c r="J12" s="23" t="n">
        <f aca="false">J11+I11</f>
        <v>680846.221714286</v>
      </c>
      <c r="K12" s="21" t="n">
        <f aca="false">I12/J12</f>
        <v>-0.0555544039074842</v>
      </c>
      <c r="L12" s="10" t="n">
        <v>-0.313</v>
      </c>
      <c r="M12" s="3" t="s">
        <v>127</v>
      </c>
      <c r="N12" s="37" t="n">
        <f aca="false">G12*D12*参数说明!$B$7/J12</f>
        <v>4.15917707947322</v>
      </c>
      <c r="O12" s="22" t="n">
        <f aca="false">IF(I12&lt;=0,O11+1,0)</f>
        <v>1</v>
      </c>
      <c r="P12" s="22" t="n">
        <f aca="false">IF(I12&gt;0,P11+1,0)</f>
        <v>0</v>
      </c>
    </row>
    <row r="13" customFormat="false" ht="15" hidden="false" customHeight="false" outlineLevel="0" collapsed="false">
      <c r="A13" s="22" t="n">
        <v>12</v>
      </c>
      <c r="B13" s="20" t="s">
        <v>126</v>
      </c>
      <c r="C13" s="35" t="n">
        <v>42130</v>
      </c>
      <c r="D13" s="12" t="n">
        <v>686</v>
      </c>
      <c r="E13" s="35" t="n">
        <v>42192</v>
      </c>
      <c r="F13" s="12" t="n">
        <v>652</v>
      </c>
      <c r="G13" s="23" t="n">
        <v>65</v>
      </c>
      <c r="H13" s="22" t="n">
        <v>43</v>
      </c>
      <c r="I13" s="36" t="n">
        <v>-133123.12</v>
      </c>
      <c r="J13" s="23" t="n">
        <f aca="false">J12+I12</f>
        <v>643022.215714286</v>
      </c>
      <c r="K13" s="21" t="n">
        <f aca="false">I13/J13</f>
        <v>-0.207027248432036</v>
      </c>
      <c r="L13" s="10" t="n">
        <v>-1.005</v>
      </c>
      <c r="M13" s="3" t="s">
        <v>127</v>
      </c>
      <c r="N13" s="37" t="n">
        <f aca="false">G13*D13*参数说明!$B$7/J13</f>
        <v>4.16066495778547</v>
      </c>
      <c r="O13" s="22" t="n">
        <f aca="false">IF(I13&lt;=0,O12+1,0)</f>
        <v>2</v>
      </c>
      <c r="P13" s="22" t="n">
        <f aca="false">IF(I13&gt;0,P12+1,0)</f>
        <v>0</v>
      </c>
    </row>
    <row r="14" customFormat="false" ht="15" hidden="false" customHeight="false" outlineLevel="0" collapsed="false">
      <c r="A14" s="22" t="n">
        <v>13</v>
      </c>
      <c r="B14" s="20" t="s">
        <v>128</v>
      </c>
      <c r="C14" s="35" t="n">
        <v>42221</v>
      </c>
      <c r="D14" s="12" t="n">
        <v>614.5</v>
      </c>
      <c r="E14" s="35" t="n">
        <v>42356</v>
      </c>
      <c r="F14" s="12" t="n">
        <v>532.5</v>
      </c>
      <c r="G14" s="23" t="n">
        <v>57</v>
      </c>
      <c r="H14" s="22" t="n">
        <v>90</v>
      </c>
      <c r="I14" s="36" t="n">
        <v>280046.586</v>
      </c>
      <c r="J14" s="23" t="n">
        <f aca="false">J13+I13</f>
        <v>509899.095714286</v>
      </c>
      <c r="K14" s="21" t="n">
        <f aca="false">I14/J14</f>
        <v>0.549219616888514</v>
      </c>
      <c r="L14" s="10" t="n">
        <v>2.843</v>
      </c>
      <c r="M14" s="3" t="s">
        <v>127</v>
      </c>
      <c r="N14" s="37" t="n">
        <f aca="false">G14*D14*参数说明!$B$7/J14</f>
        <v>4.12158016686814</v>
      </c>
      <c r="O14" s="22" t="n">
        <f aca="false">IF(I14&lt;=0,O13+1,0)</f>
        <v>0</v>
      </c>
      <c r="P14" s="22" t="n">
        <f aca="false">IF(I14&gt;0,P13+1,0)</f>
        <v>1</v>
      </c>
    </row>
    <row r="15" customFormat="false" ht="15" hidden="false" customHeight="false" outlineLevel="0" collapsed="false">
      <c r="A15" s="22" t="n">
        <v>14</v>
      </c>
      <c r="B15" s="20" t="s">
        <v>126</v>
      </c>
      <c r="C15" s="35" t="n">
        <v>42359</v>
      </c>
      <c r="D15" s="12" t="n">
        <v>545.5</v>
      </c>
      <c r="E15" s="35" t="n">
        <v>42383</v>
      </c>
      <c r="F15" s="12" t="n">
        <v>531.5</v>
      </c>
      <c r="G15" s="23" t="n">
        <v>100</v>
      </c>
      <c r="H15" s="22" t="n">
        <v>17</v>
      </c>
      <c r="I15" s="36" t="n">
        <v>-84648.2</v>
      </c>
      <c r="J15" s="23" t="n">
        <f aca="false">J14+I14</f>
        <v>789945.681714286</v>
      </c>
      <c r="K15" s="21" t="n">
        <f aca="false">I15/J15</f>
        <v>-0.10715698808088</v>
      </c>
      <c r="L15" s="10" t="n">
        <v>-0.592</v>
      </c>
      <c r="M15" s="3" t="s">
        <v>127</v>
      </c>
      <c r="N15" s="37" t="n">
        <f aca="false">G15*D15*参数说明!$B$7/J15</f>
        <v>4.14332285847447</v>
      </c>
      <c r="O15" s="22" t="n">
        <f aca="false">IF(I15&lt;=0,O14+1,0)</f>
        <v>1</v>
      </c>
      <c r="P15" s="22" t="n">
        <f aca="false">IF(I15&gt;0,P14+1,0)</f>
        <v>0</v>
      </c>
    </row>
    <row r="16" customFormat="false" ht="15" hidden="false" customHeight="false" outlineLevel="0" collapsed="false">
      <c r="A16" s="22" t="n">
        <v>15</v>
      </c>
      <c r="B16" s="20" t="s">
        <v>126</v>
      </c>
      <c r="C16" s="35" t="n">
        <v>42417</v>
      </c>
      <c r="D16" s="12" t="n">
        <v>565</v>
      </c>
      <c r="E16" s="35" t="n">
        <v>42496</v>
      </c>
      <c r="F16" s="12" t="n">
        <v>707.5</v>
      </c>
      <c r="G16" s="23" t="n">
        <v>86</v>
      </c>
      <c r="H16" s="22" t="n">
        <v>55</v>
      </c>
      <c r="I16" s="36" t="n">
        <v>734641.67</v>
      </c>
      <c r="J16" s="23" t="n">
        <f aca="false">J15+I15</f>
        <v>705297.481714286</v>
      </c>
      <c r="K16" s="21" t="n">
        <f aca="false">I16/J16</f>
        <v>1.04160540629521</v>
      </c>
      <c r="L16" s="10" t="n">
        <v>5.955</v>
      </c>
      <c r="M16" s="3" t="s">
        <v>127</v>
      </c>
      <c r="N16" s="37" t="n">
        <f aca="false">G16*D16*参数说明!$B$7/J16</f>
        <v>4.13357494615445</v>
      </c>
      <c r="O16" s="22" t="n">
        <f aca="false">IF(I16&lt;=0,O15+1,0)</f>
        <v>0</v>
      </c>
      <c r="P16" s="22" t="n">
        <f aca="false">IF(I16&gt;0,P15+1,0)</f>
        <v>1</v>
      </c>
    </row>
    <row r="17" customFormat="false" ht="15" hidden="false" customHeight="false" outlineLevel="0" collapsed="false">
      <c r="A17" s="22" t="n">
        <v>16</v>
      </c>
      <c r="B17" s="20" t="s">
        <v>128</v>
      </c>
      <c r="C17" s="35" t="n">
        <v>42515</v>
      </c>
      <c r="D17" s="12" t="n">
        <v>664.5</v>
      </c>
      <c r="E17" s="35" t="n">
        <v>42549</v>
      </c>
      <c r="F17" s="12" t="n">
        <v>733.5</v>
      </c>
      <c r="G17" s="23" t="n">
        <v>150</v>
      </c>
      <c r="H17" s="22" t="n">
        <v>22</v>
      </c>
      <c r="I17" s="36" t="n">
        <v>-622261.2</v>
      </c>
      <c r="J17" s="23" t="n">
        <f aca="false">J16+I16</f>
        <v>1439939.15171429</v>
      </c>
      <c r="K17" s="21" t="n">
        <f aca="false">I17/J17</f>
        <v>-0.432144093907844</v>
      </c>
      <c r="L17" s="10" t="n">
        <v>-0.696</v>
      </c>
      <c r="M17" s="3" t="s">
        <v>127</v>
      </c>
      <c r="N17" s="37" t="n">
        <f aca="false">G17*D17*参数说明!$B$7/J17</f>
        <v>4.15330050084412</v>
      </c>
      <c r="O17" s="22" t="n">
        <f aca="false">IF(I17&lt;=0,O16+1,0)</f>
        <v>1</v>
      </c>
      <c r="P17" s="22" t="n">
        <f aca="false">IF(I17&gt;0,P16+1,0)</f>
        <v>0</v>
      </c>
    </row>
    <row r="18" customFormat="false" ht="15" hidden="false" customHeight="false" outlineLevel="0" collapsed="false">
      <c r="A18" s="22" t="n">
        <v>17</v>
      </c>
      <c r="B18" s="20" t="s">
        <v>126</v>
      </c>
      <c r="C18" s="35" t="n">
        <v>42579</v>
      </c>
      <c r="D18" s="12" t="n">
        <v>766.5</v>
      </c>
      <c r="E18" s="35" t="n">
        <v>42705</v>
      </c>
      <c r="F18" s="12" t="n">
        <v>1409.5</v>
      </c>
      <c r="G18" s="23" t="n">
        <v>74</v>
      </c>
      <c r="H18" s="22" t="n">
        <v>83</v>
      </c>
      <c r="I18" s="36" t="n">
        <v>2853952.376</v>
      </c>
      <c r="J18" s="23" t="n">
        <f aca="false">J17+I17</f>
        <v>817677.951714286</v>
      </c>
      <c r="K18" s="21" t="n">
        <f aca="false">I18/J18</f>
        <v>3.49031347857259</v>
      </c>
      <c r="L18" s="10" t="n">
        <v>10.377</v>
      </c>
      <c r="M18" s="3" t="s">
        <v>127</v>
      </c>
      <c r="N18" s="37" t="n">
        <f aca="false">G18*D18*参数说明!$B$7/J18</f>
        <v>4.16210317627492</v>
      </c>
      <c r="O18" s="22" t="n">
        <f aca="false">IF(I18&lt;=0,O17+1,0)</f>
        <v>0</v>
      </c>
      <c r="P18" s="22" t="n">
        <f aca="false">IF(I18&gt;0,P17+1,0)</f>
        <v>1</v>
      </c>
    </row>
    <row r="19" customFormat="false" ht="15" hidden="false" customHeight="false" outlineLevel="0" collapsed="false">
      <c r="A19" s="22" t="n">
        <v>18</v>
      </c>
      <c r="B19" s="20" t="s">
        <v>128</v>
      </c>
      <c r="C19" s="35" t="n">
        <v>42705</v>
      </c>
      <c r="D19" s="12" t="n">
        <v>1409.5</v>
      </c>
      <c r="E19" s="35" t="n">
        <v>42781</v>
      </c>
      <c r="F19" s="12" t="n">
        <v>1216</v>
      </c>
      <c r="G19" s="23" t="n">
        <v>180</v>
      </c>
      <c r="H19" s="22" t="n">
        <v>48</v>
      </c>
      <c r="I19" s="36" t="n">
        <v>2086960.86</v>
      </c>
      <c r="J19" s="23" t="n">
        <f aca="false">J18+I18</f>
        <v>3671630.32771429</v>
      </c>
      <c r="K19" s="21" t="n">
        <f aca="false">I19/J19</f>
        <v>0.568401683646405</v>
      </c>
      <c r="L19" s="10" t="n">
        <v>0.783</v>
      </c>
      <c r="M19" s="3" t="s">
        <v>127</v>
      </c>
      <c r="N19" s="37" t="n">
        <f aca="false">G19*D19*参数说明!$B$7/J19</f>
        <v>4.14600562728127</v>
      </c>
      <c r="O19" s="22" t="n">
        <f aca="false">IF(I19&lt;=0,O18+1,0)</f>
        <v>0</v>
      </c>
      <c r="P19" s="22" t="n">
        <f aca="false">IF(I19&gt;0,P18+1,0)</f>
        <v>2</v>
      </c>
    </row>
    <row r="20" customFormat="false" ht="15" hidden="false" customHeight="false" outlineLevel="0" collapsed="false">
      <c r="A20" s="22" t="n">
        <v>19</v>
      </c>
      <c r="B20" s="20" t="s">
        <v>126</v>
      </c>
      <c r="C20" s="35" t="n">
        <v>42794</v>
      </c>
      <c r="D20" s="12" t="n">
        <v>1265</v>
      </c>
      <c r="E20" s="35" t="n">
        <v>42822</v>
      </c>
      <c r="F20" s="12" t="n">
        <v>1204.5</v>
      </c>
      <c r="G20" s="23" t="n">
        <v>316</v>
      </c>
      <c r="H20" s="22" t="n">
        <v>20</v>
      </c>
      <c r="I20" s="36" t="n">
        <v>-1151768.492</v>
      </c>
      <c r="J20" s="23" t="n">
        <f aca="false">J19+I19</f>
        <v>5758591.18771429</v>
      </c>
      <c r="K20" s="21" t="n">
        <f aca="false">I20/J20</f>
        <v>-0.200008726866608</v>
      </c>
      <c r="L20" s="10" t="n">
        <v>-0.509</v>
      </c>
      <c r="M20" s="3" t="s">
        <v>127</v>
      </c>
      <c r="N20" s="37" t="n">
        <f aca="false">G20*D20*参数说明!$B$7/J20</f>
        <v>4.16497702618129</v>
      </c>
      <c r="O20" s="22" t="n">
        <f aca="false">IF(I20&lt;=0,O19+1,0)</f>
        <v>1</v>
      </c>
      <c r="P20" s="22" t="n">
        <f aca="false">IF(I20&gt;0,P19+1,0)</f>
        <v>0</v>
      </c>
    </row>
    <row r="21" customFormat="false" ht="15" hidden="false" customHeight="false" outlineLevel="0" collapsed="false">
      <c r="A21" s="22" t="n">
        <v>20</v>
      </c>
      <c r="B21" s="20" t="s">
        <v>128</v>
      </c>
      <c r="C21" s="35" t="n">
        <v>42838</v>
      </c>
      <c r="D21" s="12" t="n">
        <v>1172.5</v>
      </c>
      <c r="E21" s="35" t="n">
        <v>42907</v>
      </c>
      <c r="F21" s="12" t="n">
        <v>1005</v>
      </c>
      <c r="G21" s="23" t="n">
        <v>272</v>
      </c>
      <c r="H21" s="22" t="n">
        <v>46</v>
      </c>
      <c r="I21" s="36" t="n">
        <v>2730040.88</v>
      </c>
      <c r="J21" s="23" t="n">
        <f aca="false">J20+I20</f>
        <v>4606822.69571429</v>
      </c>
      <c r="K21" s="21" t="n">
        <f aca="false">I21/J21</f>
        <v>0.59260819448071</v>
      </c>
      <c r="L21" s="10" t="n">
        <v>1.265</v>
      </c>
      <c r="M21" s="3" t="s">
        <v>127</v>
      </c>
      <c r="N21" s="37" t="n">
        <f aca="false">G21*D21*参数说明!$B$7/J21</f>
        <v>4.15366539237584</v>
      </c>
      <c r="O21" s="22" t="n">
        <f aca="false">IF(I21&lt;=0,O20+1,0)</f>
        <v>0</v>
      </c>
      <c r="P21" s="22" t="n">
        <f aca="false">IF(I21&gt;0,P20+1,0)</f>
        <v>1</v>
      </c>
    </row>
    <row r="22" customFormat="false" ht="15" hidden="false" customHeight="false" outlineLevel="0" collapsed="false">
      <c r="A22" s="22" t="n">
        <v>21</v>
      </c>
      <c r="B22" s="20" t="s">
        <v>126</v>
      </c>
      <c r="C22" s="35" t="n">
        <v>42943</v>
      </c>
      <c r="D22" s="12" t="n">
        <v>1238.5</v>
      </c>
      <c r="E22" s="35" t="n">
        <v>42986</v>
      </c>
      <c r="F22" s="12" t="n">
        <v>1392.5</v>
      </c>
      <c r="G22" s="23" t="n">
        <v>411</v>
      </c>
      <c r="H22" s="22" t="n">
        <v>31</v>
      </c>
      <c r="I22" s="36" t="n">
        <v>3791143.734</v>
      </c>
      <c r="J22" s="23" t="n">
        <f aca="false">J21+I21</f>
        <v>7336863.57571429</v>
      </c>
      <c r="K22" s="21" t="n">
        <f aca="false">I22/J22</f>
        <v>0.516725395651222</v>
      </c>
      <c r="L22" s="10" t="n">
        <v>1.484</v>
      </c>
      <c r="M22" s="3" t="s">
        <v>127</v>
      </c>
      <c r="N22" s="37" t="n">
        <f aca="false">G22*D22*参数说明!$B$7/J22</f>
        <v>4.1627338010066</v>
      </c>
      <c r="O22" s="22" t="n">
        <f aca="false">IF(I22&lt;=0,O21+1,0)</f>
        <v>0</v>
      </c>
      <c r="P22" s="22" t="n">
        <f aca="false">IF(I22&gt;0,P21+1,0)</f>
        <v>2</v>
      </c>
    </row>
    <row r="23" customFormat="false" ht="15" hidden="false" customHeight="false" outlineLevel="0" collapsed="false">
      <c r="A23" s="22" t="n">
        <v>22</v>
      </c>
      <c r="B23" s="20" t="s">
        <v>128</v>
      </c>
      <c r="C23" s="35" t="n">
        <v>42986</v>
      </c>
      <c r="D23" s="12" t="n">
        <v>1392.5</v>
      </c>
      <c r="E23" s="35" t="n">
        <v>43047</v>
      </c>
      <c r="F23" s="12" t="n">
        <v>1182.5</v>
      </c>
      <c r="G23" s="23" t="n">
        <v>554</v>
      </c>
      <c r="H23" s="22" t="n">
        <v>38</v>
      </c>
      <c r="I23" s="36" t="n">
        <v>6971829.62</v>
      </c>
      <c r="J23" s="23" t="n">
        <f aca="false">J22+I22</f>
        <v>11128007.3097143</v>
      </c>
      <c r="K23" s="21" t="n">
        <f aca="false">I23/J23</f>
        <v>0.626511955461593</v>
      </c>
      <c r="L23" s="10" t="n">
        <v>1.359</v>
      </c>
      <c r="M23" s="3" t="s">
        <v>127</v>
      </c>
      <c r="N23" s="37" t="n">
        <f aca="false">G23*D23*参数说明!$B$7/J23</f>
        <v>4.15947785724347</v>
      </c>
      <c r="O23" s="22" t="n">
        <f aca="false">IF(I23&lt;=0,O22+1,0)</f>
        <v>0</v>
      </c>
      <c r="P23" s="22" t="n">
        <f aca="false">IF(I23&gt;0,P22+1,0)</f>
        <v>3</v>
      </c>
    </row>
    <row r="24" customFormat="false" ht="15" hidden="false" customHeight="false" outlineLevel="0" collapsed="false">
      <c r="A24" s="22" t="n">
        <v>23</v>
      </c>
      <c r="B24" s="20" t="s">
        <v>126</v>
      </c>
      <c r="C24" s="35" t="n">
        <v>43061</v>
      </c>
      <c r="D24" s="12" t="n">
        <v>1230.5</v>
      </c>
      <c r="E24" s="35" t="n">
        <v>43087</v>
      </c>
      <c r="F24" s="12" t="n">
        <v>1281</v>
      </c>
      <c r="G24" s="23" t="n">
        <v>1021</v>
      </c>
      <c r="H24" s="22" t="n">
        <v>18</v>
      </c>
      <c r="I24" s="36" t="n">
        <v>3078224.131</v>
      </c>
      <c r="J24" s="23" t="n">
        <f aca="false">J23+I23</f>
        <v>18099836.9297143</v>
      </c>
      <c r="K24" s="21" t="n">
        <f aca="false">I24/J24</f>
        <v>0.170069163769455</v>
      </c>
      <c r="L24" s="10" t="n">
        <v>0.528</v>
      </c>
      <c r="M24" s="3" t="s">
        <v>127</v>
      </c>
      <c r="N24" s="37" t="n">
        <f aca="false">G24*D24*参数说明!$B$7/J24</f>
        <v>4.16470216238517</v>
      </c>
      <c r="O24" s="22" t="n">
        <f aca="false">IF(I24&lt;=0,O23+1,0)</f>
        <v>0</v>
      </c>
      <c r="P24" s="22" t="n">
        <f aca="false">IF(I24&gt;0,P23+1,0)</f>
        <v>4</v>
      </c>
    </row>
    <row r="25" customFormat="false" ht="15" hidden="false" customHeight="false" outlineLevel="0" collapsed="false">
      <c r="A25" s="22" t="n">
        <v>24</v>
      </c>
      <c r="B25" s="20" t="s">
        <v>128</v>
      </c>
      <c r="C25" s="35" t="n">
        <v>43097</v>
      </c>
      <c r="D25" s="12" t="n">
        <v>1289</v>
      </c>
      <c r="E25" s="35" t="n">
        <v>43154</v>
      </c>
      <c r="F25" s="12" t="n">
        <v>1373</v>
      </c>
      <c r="G25" s="23" t="n">
        <v>1140</v>
      </c>
      <c r="H25" s="22" t="n">
        <v>35</v>
      </c>
      <c r="I25" s="36" t="n">
        <v>-5763830.88</v>
      </c>
      <c r="J25" s="23" t="n">
        <f aca="false">J24+I24</f>
        <v>21178061.0607143</v>
      </c>
      <c r="K25" s="21" t="n">
        <f aca="false">I25/J25</f>
        <v>-0.272160461879677</v>
      </c>
      <c r="L25" s="10" t="n">
        <v>-0.654</v>
      </c>
      <c r="M25" s="3" t="s">
        <v>127</v>
      </c>
      <c r="N25" s="37" t="n">
        <f aca="false">G25*D25*参数说明!$B$7/J25</f>
        <v>4.16315732338465</v>
      </c>
      <c r="O25" s="22" t="n">
        <f aca="false">IF(I25&lt;=0,O24+1,0)</f>
        <v>1</v>
      </c>
      <c r="P25" s="22" t="n">
        <f aca="false">IF(I25&gt;0,P24+1,0)</f>
        <v>0</v>
      </c>
    </row>
    <row r="26" customFormat="false" ht="15" hidden="false" customHeight="false" outlineLevel="0" collapsed="false">
      <c r="A26" s="22" t="n">
        <v>25</v>
      </c>
      <c r="B26" s="20" t="s">
        <v>128</v>
      </c>
      <c r="C26" s="35" t="n">
        <v>43185</v>
      </c>
      <c r="D26" s="12" t="n">
        <v>1217</v>
      </c>
      <c r="E26" s="35" t="n">
        <v>43228</v>
      </c>
      <c r="F26" s="12" t="n">
        <v>1248</v>
      </c>
      <c r="G26" s="23" t="n">
        <v>879</v>
      </c>
      <c r="H26" s="22" t="n">
        <v>27</v>
      </c>
      <c r="I26" s="36" t="n">
        <v>-1647957.99</v>
      </c>
      <c r="J26" s="23" t="n">
        <f aca="false">J25+I25</f>
        <v>15414230.1807143</v>
      </c>
      <c r="K26" s="21" t="n">
        <f aca="false">I26/J26</f>
        <v>-0.106911468862186</v>
      </c>
      <c r="L26" s="10" t="n">
        <v>-0.323</v>
      </c>
      <c r="M26" s="3" t="s">
        <v>127</v>
      </c>
      <c r="N26" s="37" t="n">
        <f aca="false">G26*D26*参数说明!$B$7/J26</f>
        <v>4.16398219356458</v>
      </c>
      <c r="O26" s="22" t="n">
        <f aca="false">IF(I26&lt;=0,O25+1,0)</f>
        <v>2</v>
      </c>
      <c r="P26" s="22" t="n">
        <f aca="false">IF(I26&gt;0,P25+1,0)</f>
        <v>0</v>
      </c>
    </row>
    <row r="27" customFormat="false" ht="15" hidden="false" customHeight="false" outlineLevel="0" collapsed="false">
      <c r="A27" s="22" t="n">
        <v>26</v>
      </c>
      <c r="B27" s="20" t="s">
        <v>128</v>
      </c>
      <c r="C27" s="35" t="n">
        <v>43284</v>
      </c>
      <c r="D27" s="12" t="n">
        <v>1165</v>
      </c>
      <c r="E27" s="35" t="n">
        <v>43313</v>
      </c>
      <c r="F27" s="12" t="n">
        <v>1206.5</v>
      </c>
      <c r="G27" s="23" t="n">
        <v>820</v>
      </c>
      <c r="H27" s="22" t="n">
        <v>21</v>
      </c>
      <c r="I27" s="36" t="n">
        <v>-2053484.18</v>
      </c>
      <c r="J27" s="23" t="n">
        <f aca="false">J26+I26</f>
        <v>13766272.1907143</v>
      </c>
      <c r="K27" s="21" t="n">
        <f aca="false">I27/J27</f>
        <v>-0.149167774075042</v>
      </c>
      <c r="L27" s="10" t="n">
        <v>-0.491</v>
      </c>
      <c r="M27" s="3" t="s">
        <v>127</v>
      </c>
      <c r="N27" s="37" t="n">
        <f aca="false">G27*D27*参数说明!$B$7/J27</f>
        <v>4.16365441609258</v>
      </c>
      <c r="O27" s="22" t="n">
        <f aca="false">IF(I27&lt;=0,O26+1,0)</f>
        <v>3</v>
      </c>
      <c r="P27" s="22" t="n">
        <f aca="false">IF(I27&gt;0,P26+1,0)</f>
        <v>0</v>
      </c>
    </row>
    <row r="28" customFormat="false" ht="15" hidden="false" customHeight="false" outlineLevel="0" collapsed="false">
      <c r="A28" s="22" t="n">
        <v>27</v>
      </c>
      <c r="B28" s="20" t="s">
        <v>126</v>
      </c>
      <c r="C28" s="35" t="n">
        <v>43319</v>
      </c>
      <c r="D28" s="12" t="n">
        <v>1242</v>
      </c>
      <c r="E28" s="35" t="n">
        <v>43371</v>
      </c>
      <c r="F28" s="12" t="n">
        <v>1252.5</v>
      </c>
      <c r="G28" s="23" t="n">
        <v>654</v>
      </c>
      <c r="H28" s="22" t="n">
        <v>37</v>
      </c>
      <c r="I28" s="36" t="n">
        <v>402218.502</v>
      </c>
      <c r="J28" s="23" t="n">
        <f aca="false">J27+I27</f>
        <v>11712788.0107143</v>
      </c>
      <c r="K28" s="21" t="n">
        <f aca="false">I28/J28</f>
        <v>0.0343401162585774</v>
      </c>
      <c r="L28" s="10" t="n">
        <v>0.162</v>
      </c>
      <c r="M28" s="3" t="s">
        <v>127</v>
      </c>
      <c r="N28" s="37" t="n">
        <f aca="false">G28*D28*参数说明!$B$7/J28</f>
        <v>4.16092905936816</v>
      </c>
      <c r="O28" s="22" t="n">
        <f aca="false">IF(I28&lt;=0,O27+1,0)</f>
        <v>0</v>
      </c>
      <c r="P28" s="22" t="n">
        <f aca="false">IF(I28&gt;0,P27+1,0)</f>
        <v>1</v>
      </c>
    </row>
    <row r="29" customFormat="false" ht="15" hidden="false" customHeight="false" outlineLevel="0" collapsed="false">
      <c r="A29" s="22" t="n">
        <v>28</v>
      </c>
      <c r="B29" s="20" t="s">
        <v>126</v>
      </c>
      <c r="C29" s="35" t="n">
        <v>43382</v>
      </c>
      <c r="D29" s="12" t="n">
        <v>1323</v>
      </c>
      <c r="E29" s="35" t="n">
        <v>43426</v>
      </c>
      <c r="F29" s="12" t="n">
        <v>1343.5</v>
      </c>
      <c r="G29" s="23" t="n">
        <v>635</v>
      </c>
      <c r="H29" s="22" t="n">
        <v>32</v>
      </c>
      <c r="I29" s="36" t="n">
        <v>770877.935</v>
      </c>
      <c r="J29" s="23" t="n">
        <f aca="false">J28+I28</f>
        <v>12115006.5127143</v>
      </c>
      <c r="K29" s="21" t="n">
        <f aca="false">I29/J29</f>
        <v>0.0636300058271525</v>
      </c>
      <c r="L29" s="10" t="n">
        <v>0.269</v>
      </c>
      <c r="M29" s="3" t="s">
        <v>127</v>
      </c>
      <c r="N29" s="37" t="n">
        <f aca="false">G29*D29*参数说明!$B$7/J29</f>
        <v>4.16064984753416</v>
      </c>
      <c r="O29" s="22" t="n">
        <f aca="false">IF(I29&lt;=0,O28+1,0)</f>
        <v>0</v>
      </c>
      <c r="P29" s="22" t="n">
        <f aca="false">IF(I29&gt;0,P28+1,0)</f>
        <v>2</v>
      </c>
    </row>
    <row r="30" customFormat="false" ht="15" hidden="false" customHeight="false" outlineLevel="0" collapsed="false">
      <c r="A30" s="22" t="n">
        <v>29</v>
      </c>
      <c r="B30" s="20" t="s">
        <v>128</v>
      </c>
      <c r="C30" s="35" t="n">
        <v>43426</v>
      </c>
      <c r="D30" s="12" t="n">
        <v>1343.5</v>
      </c>
      <c r="E30" s="35" t="n">
        <v>43497</v>
      </c>
      <c r="F30" s="12" t="n">
        <v>1281</v>
      </c>
      <c r="G30" s="23" t="n">
        <v>666</v>
      </c>
      <c r="H30" s="22" t="n">
        <v>49</v>
      </c>
      <c r="I30" s="36" t="n">
        <v>2486999.178</v>
      </c>
      <c r="J30" s="23" t="n">
        <f aca="false">J29+I29</f>
        <v>12885884.4477143</v>
      </c>
      <c r="K30" s="21" t="n">
        <f aca="false">I30/J30</f>
        <v>0.193001822117158</v>
      </c>
      <c r="L30" s="10" t="n">
        <v>0.789</v>
      </c>
      <c r="M30" s="3" t="s">
        <v>127</v>
      </c>
      <c r="N30" s="37" t="n">
        <f aca="false">G30*D30*参数说明!$B$7/J30</f>
        <v>4.16628445007692</v>
      </c>
      <c r="O30" s="22" t="n">
        <f aca="false">IF(I30&lt;=0,O29+1,0)</f>
        <v>0</v>
      </c>
      <c r="P30" s="22" t="n">
        <f aca="false">IF(I30&gt;0,P29+1,0)</f>
        <v>3</v>
      </c>
    </row>
    <row r="31" customFormat="false" ht="15" hidden="false" customHeight="false" outlineLevel="0" collapsed="false">
      <c r="A31" s="22" t="n">
        <v>30</v>
      </c>
      <c r="B31" s="20" t="s">
        <v>126</v>
      </c>
      <c r="C31" s="35" t="n">
        <v>43497</v>
      </c>
      <c r="D31" s="12" t="n">
        <v>1281</v>
      </c>
      <c r="E31" s="35" t="n">
        <v>43545</v>
      </c>
      <c r="F31" s="12" t="n">
        <v>1247.5</v>
      </c>
      <c r="G31" s="23" t="n">
        <v>833</v>
      </c>
      <c r="H31" s="22" t="n">
        <v>29</v>
      </c>
      <c r="I31" s="36" t="n">
        <v>-1686984.103</v>
      </c>
      <c r="J31" s="23" t="n">
        <f aca="false">J30+I30</f>
        <v>15372883.6257143</v>
      </c>
      <c r="K31" s="21" t="n">
        <f aca="false">I31/J31</f>
        <v>-0.109737648711409</v>
      </c>
      <c r="L31" s="10" t="n">
        <v>-0.487</v>
      </c>
      <c r="M31" s="3" t="s">
        <v>127</v>
      </c>
      <c r="N31" s="37" t="n">
        <f aca="false">G31*D31*参数说明!$B$7/J31</f>
        <v>4.16476059786897</v>
      </c>
      <c r="O31" s="22" t="n">
        <f aca="false">IF(I31&lt;=0,O30+1,0)</f>
        <v>1</v>
      </c>
      <c r="P31" s="22" t="n">
        <f aca="false">IF(I31&gt;0,P30+1,0)</f>
        <v>0</v>
      </c>
    </row>
    <row r="32" customFormat="false" ht="15" hidden="false" customHeight="false" outlineLevel="0" collapsed="false">
      <c r="A32" s="22" t="n">
        <v>31</v>
      </c>
      <c r="B32" s="20" t="s">
        <v>126</v>
      </c>
      <c r="C32" s="35" t="n">
        <v>43557</v>
      </c>
      <c r="D32" s="12" t="n">
        <v>1281</v>
      </c>
      <c r="E32" s="35" t="n">
        <v>43635</v>
      </c>
      <c r="F32" s="12" t="n">
        <v>1385.5</v>
      </c>
      <c r="G32" s="23" t="n">
        <v>741</v>
      </c>
      <c r="H32" s="22" t="n">
        <v>51</v>
      </c>
      <c r="I32" s="36" t="n">
        <v>4634199.921</v>
      </c>
      <c r="J32" s="23" t="n">
        <f aca="false">J31+I31</f>
        <v>13685899.5227143</v>
      </c>
      <c r="K32" s="21" t="n">
        <f aca="false">I32/J32</f>
        <v>0.338611277491018</v>
      </c>
      <c r="L32" s="10" t="n">
        <v>2.273</v>
      </c>
      <c r="M32" s="3" t="s">
        <v>127</v>
      </c>
      <c r="N32" s="37" t="n">
        <f aca="false">G32*D32*参数说明!$B$7/J32</f>
        <v>4.16145536546396</v>
      </c>
      <c r="O32" s="22" t="n">
        <f aca="false">IF(I32&lt;=0,O31+1,0)</f>
        <v>0</v>
      </c>
      <c r="P32" s="22" t="n">
        <f aca="false">IF(I32&gt;0,P31+1,0)</f>
        <v>1</v>
      </c>
    </row>
    <row r="33" customFormat="false" ht="15" hidden="false" customHeight="false" outlineLevel="0" collapsed="false">
      <c r="A33" s="22" t="n">
        <v>32</v>
      </c>
      <c r="B33" s="20" t="s">
        <v>128</v>
      </c>
      <c r="C33" s="35" t="n">
        <v>43651</v>
      </c>
      <c r="D33" s="12" t="n">
        <v>1371.5</v>
      </c>
      <c r="E33" s="35" t="n">
        <v>43720</v>
      </c>
      <c r="F33" s="12" t="n">
        <v>1348</v>
      </c>
      <c r="G33" s="23" t="n">
        <v>927</v>
      </c>
      <c r="H33" s="22" t="n">
        <v>49</v>
      </c>
      <c r="I33" s="36" t="n">
        <v>1291925.601</v>
      </c>
      <c r="J33" s="23" t="n">
        <f aca="false">J32+I32</f>
        <v>18320099.4437143</v>
      </c>
      <c r="K33" s="21" t="n">
        <f aca="false">I33/J33</f>
        <v>0.0705195735956153</v>
      </c>
      <c r="L33" s="10" t="n">
        <v>0.451</v>
      </c>
      <c r="M33" s="3" t="s">
        <v>127</v>
      </c>
      <c r="N33" s="37" t="n">
        <f aca="false">G33*D33*参数说明!$B$7/J33</f>
        <v>4.16388733229137</v>
      </c>
      <c r="O33" s="22" t="n">
        <f aca="false">IF(I33&lt;=0,O32+1,0)</f>
        <v>0</v>
      </c>
      <c r="P33" s="22" t="n">
        <f aca="false">IF(I33&gt;0,P32+1,0)</f>
        <v>2</v>
      </c>
    </row>
    <row r="34" customFormat="false" ht="15" hidden="false" customHeight="false" outlineLevel="0" collapsed="false">
      <c r="A34" s="22" t="n">
        <v>33</v>
      </c>
      <c r="B34" s="20" t="s">
        <v>126</v>
      </c>
      <c r="C34" s="35" t="n">
        <v>43789</v>
      </c>
      <c r="D34" s="12" t="n">
        <v>1238.5</v>
      </c>
      <c r="E34" s="35" t="n">
        <v>43822</v>
      </c>
      <c r="F34" s="12" t="n">
        <v>1190.58928571429</v>
      </c>
      <c r="G34" s="23" t="n">
        <v>1099</v>
      </c>
      <c r="H34" s="22" t="n">
        <v>23</v>
      </c>
      <c r="I34" s="36" t="n">
        <v>-3175271.89475</v>
      </c>
      <c r="J34" s="23" t="n">
        <f aca="false">J33+I33</f>
        <v>19612025.0447143</v>
      </c>
      <c r="K34" s="21" t="n">
        <f aca="false">I34/J34</f>
        <v>-0.161904336115753</v>
      </c>
      <c r="L34" s="10" t="n">
        <v>-1.011</v>
      </c>
      <c r="M34" s="3" t="s">
        <v>102</v>
      </c>
      <c r="N34" s="37" t="n">
        <f aca="false">G34*D34*参数说明!$B$7/J34</f>
        <v>4.16411307928705</v>
      </c>
      <c r="O34" s="22" t="n">
        <f aca="false">IF(I34&lt;=0,O33+1,0)</f>
        <v>1</v>
      </c>
      <c r="P34" s="22" t="n">
        <f aca="false">IF(I34&gt;0,P33+1,0)</f>
        <v>0</v>
      </c>
    </row>
    <row r="35" customFormat="false" ht="15" hidden="false" customHeight="false" outlineLevel="0" collapsed="false">
      <c r="A35" s="22" t="n">
        <v>34</v>
      </c>
      <c r="B35" s="20" t="s">
        <v>128</v>
      </c>
      <c r="C35" s="35" t="n">
        <v>43823</v>
      </c>
      <c r="D35" s="12" t="n">
        <v>1180.5</v>
      </c>
      <c r="E35" s="35" t="n">
        <v>43838</v>
      </c>
      <c r="F35" s="12" t="n">
        <v>1209.57142857143</v>
      </c>
      <c r="G35" s="23" t="n">
        <v>966</v>
      </c>
      <c r="H35" s="22" t="n">
        <v>10</v>
      </c>
      <c r="I35" s="36" t="n">
        <v>-1698852.17400001</v>
      </c>
      <c r="J35" s="23" t="n">
        <f aca="false">J34+I34</f>
        <v>16436753.1499643</v>
      </c>
      <c r="K35" s="21" t="n">
        <f aca="false">I35/J35</f>
        <v>-0.103356919611809</v>
      </c>
      <c r="L35" s="10" t="n">
        <v>-1.018</v>
      </c>
      <c r="M35" s="3" t="s">
        <v>102</v>
      </c>
      <c r="N35" s="37" t="n">
        <f aca="false">G35*D35*参数说明!$B$7/J35</f>
        <v>4.16273088582271</v>
      </c>
      <c r="O35" s="22" t="n">
        <f aca="false">IF(I35&lt;=0,O34+1,0)</f>
        <v>2</v>
      </c>
      <c r="P35" s="22" t="n">
        <f aca="false">IF(I35&gt;0,P34+1,0)</f>
        <v>0</v>
      </c>
    </row>
    <row r="36" customFormat="false" ht="15" hidden="false" customHeight="false" outlineLevel="0" collapsed="false">
      <c r="A36" s="22" t="n">
        <v>35</v>
      </c>
      <c r="B36" s="20" t="s">
        <v>126</v>
      </c>
      <c r="C36" s="35" t="n">
        <v>43868</v>
      </c>
      <c r="D36" s="12" t="n">
        <v>1226</v>
      </c>
      <c r="E36" s="35" t="n">
        <v>43920</v>
      </c>
      <c r="F36" s="12" t="n">
        <v>1223.5</v>
      </c>
      <c r="G36" s="23" t="n">
        <v>834</v>
      </c>
      <c r="H36" s="22" t="n">
        <v>36</v>
      </c>
      <c r="I36" s="36" t="n">
        <v>-137373.978</v>
      </c>
      <c r="J36" s="23" t="n">
        <f aca="false">J35+I35</f>
        <v>14737900.9759643</v>
      </c>
      <c r="K36" s="21" t="n">
        <f aca="false">I36/J36</f>
        <v>-0.00932113590829794</v>
      </c>
      <c r="L36" s="10" t="n">
        <v>-0.05</v>
      </c>
      <c r="M36" s="3" t="s">
        <v>127</v>
      </c>
      <c r="N36" s="37" t="n">
        <f aca="false">G36*D36*参数说明!$B$7/J36</f>
        <v>4.16267147540568</v>
      </c>
      <c r="O36" s="22" t="n">
        <f aca="false">IF(I36&lt;=0,O35+1,0)</f>
        <v>3</v>
      </c>
      <c r="P36" s="22" t="n">
        <f aca="false">IF(I36&gt;0,P35+1,0)</f>
        <v>0</v>
      </c>
    </row>
    <row r="37" customFormat="false" ht="15" hidden="false" customHeight="false" outlineLevel="0" collapsed="false">
      <c r="A37" s="22" t="n">
        <v>36</v>
      </c>
      <c r="B37" s="20" t="s">
        <v>128</v>
      </c>
      <c r="C37" s="35" t="n">
        <v>43943</v>
      </c>
      <c r="D37" s="12" t="n">
        <v>1114.5</v>
      </c>
      <c r="E37" s="35" t="n">
        <v>43966</v>
      </c>
      <c r="F37" s="12" t="n">
        <v>1122.5</v>
      </c>
      <c r="G37" s="23" t="n">
        <v>909</v>
      </c>
      <c r="H37" s="22" t="n">
        <v>14</v>
      </c>
      <c r="I37" s="36" t="n">
        <v>-448538.778</v>
      </c>
      <c r="J37" s="23" t="n">
        <f aca="false">J36+I36</f>
        <v>14600526.9979643</v>
      </c>
      <c r="K37" s="21" t="n">
        <f aca="false">I37/J37</f>
        <v>-0.0307207252219416</v>
      </c>
      <c r="L37" s="10" t="n">
        <v>-0.116</v>
      </c>
      <c r="M37" s="3" t="s">
        <v>127</v>
      </c>
      <c r="N37" s="37" t="n">
        <f aca="false">G37*D37*参数说明!$B$7/J37</f>
        <v>4.16319424692513</v>
      </c>
      <c r="O37" s="22" t="n">
        <f aca="false">IF(I37&lt;=0,O36+1,0)</f>
        <v>4</v>
      </c>
      <c r="P37" s="22" t="n">
        <f aca="false">IF(I37&gt;0,P36+1,0)</f>
        <v>0</v>
      </c>
    </row>
    <row r="38" customFormat="false" ht="15" hidden="false" customHeight="false" outlineLevel="0" collapsed="false">
      <c r="A38" s="22" t="n">
        <v>37</v>
      </c>
      <c r="B38" s="20" t="s">
        <v>126</v>
      </c>
      <c r="C38" s="35" t="n">
        <v>43991</v>
      </c>
      <c r="D38" s="12" t="n">
        <v>1184.5</v>
      </c>
      <c r="E38" s="35" t="n">
        <v>44049</v>
      </c>
      <c r="F38" s="12" t="n">
        <v>1214</v>
      </c>
      <c r="G38" s="23" t="n">
        <v>829</v>
      </c>
      <c r="H38" s="22" t="n">
        <v>40</v>
      </c>
      <c r="I38" s="36" t="n">
        <v>1455383.281</v>
      </c>
      <c r="J38" s="23" t="n">
        <f aca="false">J37+I37</f>
        <v>14151988.2199643</v>
      </c>
      <c r="K38" s="21" t="n">
        <f aca="false">I38/J38</f>
        <v>0.102839492117926</v>
      </c>
      <c r="L38" s="10" t="n">
        <v>0.567</v>
      </c>
      <c r="M38" s="3" t="s">
        <v>127</v>
      </c>
      <c r="N38" s="37" t="n">
        <f aca="false">G38*D38*参数说明!$B$7/J38</f>
        <v>4.1631627361649</v>
      </c>
      <c r="O38" s="22" t="n">
        <f aca="false">IF(I38&lt;=0,O37+1,0)</f>
        <v>0</v>
      </c>
      <c r="P38" s="22" t="n">
        <f aca="false">IF(I38&gt;0,P37+1,0)</f>
        <v>1</v>
      </c>
    </row>
    <row r="39" customFormat="false" ht="15" hidden="false" customHeight="false" outlineLevel="0" collapsed="false">
      <c r="A39" s="22" t="n">
        <v>38</v>
      </c>
      <c r="B39" s="20" t="s">
        <v>126</v>
      </c>
      <c r="C39" s="35" t="n">
        <v>44053</v>
      </c>
      <c r="D39" s="12" t="n">
        <v>1222</v>
      </c>
      <c r="E39" s="35" t="n">
        <v>44144</v>
      </c>
      <c r="F39" s="12" t="n">
        <v>1303.5</v>
      </c>
      <c r="G39" s="23" t="n">
        <v>886</v>
      </c>
      <c r="H39" s="22" t="n">
        <v>59</v>
      </c>
      <c r="I39" s="36" t="n">
        <v>4319096.722</v>
      </c>
      <c r="J39" s="23" t="n">
        <f aca="false">J38+I38</f>
        <v>15607371.5009643</v>
      </c>
      <c r="K39" s="21" t="n">
        <f aca="false">I39/J39</f>
        <v>0.276734408592321</v>
      </c>
      <c r="L39" s="10" t="n">
        <v>1.558</v>
      </c>
      <c r="M39" s="3" t="s">
        <v>127</v>
      </c>
      <c r="N39" s="37" t="n">
        <f aca="false">G39*D39*参数说明!$B$7/J39</f>
        <v>4.16223321114554</v>
      </c>
      <c r="O39" s="22" t="n">
        <f aca="false">IF(I39&lt;=0,O38+1,0)</f>
        <v>0</v>
      </c>
      <c r="P39" s="22" t="n">
        <f aca="false">IF(I39&gt;0,P38+1,0)</f>
        <v>2</v>
      </c>
    </row>
    <row r="40" customFormat="false" ht="15" hidden="false" customHeight="false" outlineLevel="0" collapsed="false">
      <c r="A40" s="22" t="n">
        <v>39</v>
      </c>
      <c r="B40" s="20" t="s">
        <v>128</v>
      </c>
      <c r="C40" s="35" t="n">
        <v>44155</v>
      </c>
      <c r="D40" s="12" t="n">
        <v>1308.5</v>
      </c>
      <c r="E40" s="35" t="n">
        <v>44159</v>
      </c>
      <c r="F40" s="12" t="n">
        <v>1382.57142857143</v>
      </c>
      <c r="G40" s="23" t="n">
        <v>1057</v>
      </c>
      <c r="H40" s="22" t="n">
        <v>2</v>
      </c>
      <c r="I40" s="36" t="n">
        <v>-4714697.91500001</v>
      </c>
      <c r="J40" s="23" t="n">
        <f aca="false">J39+I39</f>
        <v>19926468.2229643</v>
      </c>
      <c r="K40" s="21" t="n">
        <f aca="false">I40/J40</f>
        <v>-0.236604794298999</v>
      </c>
      <c r="L40" s="10" t="n">
        <v>-1.007</v>
      </c>
      <c r="M40" s="3" t="s">
        <v>102</v>
      </c>
      <c r="N40" s="37" t="n">
        <f aca="false">G40*D40*参数说明!$B$7/J40</f>
        <v>4.16456489285762</v>
      </c>
      <c r="O40" s="22" t="n">
        <f aca="false">IF(I40&lt;=0,O39+1,0)</f>
        <v>1</v>
      </c>
      <c r="P40" s="22" t="n">
        <f aca="false">IF(I40&gt;0,P39+1,0)</f>
        <v>0</v>
      </c>
    </row>
    <row r="41" customFormat="false" ht="15" hidden="false" customHeight="false" outlineLevel="0" collapsed="false">
      <c r="A41" s="22" t="n">
        <v>40</v>
      </c>
      <c r="B41" s="20" t="s">
        <v>126</v>
      </c>
      <c r="C41" s="35" t="n">
        <v>44160</v>
      </c>
      <c r="D41" s="12" t="n">
        <v>1402</v>
      </c>
      <c r="E41" s="35" t="n">
        <v>44217</v>
      </c>
      <c r="F41" s="12" t="n">
        <v>1629</v>
      </c>
      <c r="G41" s="23" t="n">
        <v>753</v>
      </c>
      <c r="H41" s="22" t="n">
        <v>40</v>
      </c>
      <c r="I41" s="36" t="n">
        <v>10242150.882</v>
      </c>
      <c r="J41" s="23" t="n">
        <f aca="false">J40+I40</f>
        <v>15211770.3079643</v>
      </c>
      <c r="K41" s="21" t="n">
        <f aca="false">I41/J41</f>
        <v>0.673304334383593</v>
      </c>
      <c r="L41" s="10" t="n">
        <v>3.027</v>
      </c>
      <c r="M41" s="3" t="s">
        <v>127</v>
      </c>
      <c r="N41" s="37" t="n">
        <f aca="false">G41*D41*参数说明!$B$7/J41</f>
        <v>4.16403605350499</v>
      </c>
      <c r="O41" s="22" t="n">
        <f aca="false">IF(I41&lt;=0,O40+1,0)</f>
        <v>0</v>
      </c>
      <c r="P41" s="22" t="n">
        <f aca="false">IF(I41&gt;0,P40+1,0)</f>
        <v>1</v>
      </c>
    </row>
    <row r="42" customFormat="false" ht="15" hidden="false" customHeight="false" outlineLevel="0" collapsed="false">
      <c r="A42" s="22" t="n">
        <v>41</v>
      </c>
      <c r="B42" s="20" t="s">
        <v>128</v>
      </c>
      <c r="C42" s="35" t="n">
        <v>44250</v>
      </c>
      <c r="D42" s="12" t="n">
        <v>1494.5</v>
      </c>
      <c r="E42" s="35" t="n">
        <v>44273</v>
      </c>
      <c r="F42" s="12" t="n">
        <v>1577</v>
      </c>
      <c r="G42" s="23" t="n">
        <v>1182</v>
      </c>
      <c r="H42" s="22" t="n">
        <v>17</v>
      </c>
      <c r="I42" s="36" t="n">
        <v>-5872706.718</v>
      </c>
      <c r="J42" s="23" t="n">
        <f aca="false">J41+I41</f>
        <v>25453921.1899643</v>
      </c>
      <c r="K42" s="21" t="n">
        <f aca="false">I42/J42</f>
        <v>-0.23071913652013</v>
      </c>
      <c r="L42" s="10" t="n">
        <v>-0.633</v>
      </c>
      <c r="M42" s="3" t="s">
        <v>127</v>
      </c>
      <c r="N42" s="37" t="n">
        <f aca="false">G42*D42*参数说明!$B$7/J42</f>
        <v>4.16399262058644</v>
      </c>
      <c r="O42" s="22" t="n">
        <f aca="false">IF(I42&lt;=0,O41+1,0)</f>
        <v>1</v>
      </c>
      <c r="P42" s="22" t="n">
        <f aca="false">IF(I42&gt;0,P41+1,0)</f>
        <v>0</v>
      </c>
    </row>
    <row r="43" customFormat="false" ht="15" hidden="false" customHeight="false" outlineLevel="0" collapsed="false">
      <c r="A43" s="22" t="n">
        <v>42</v>
      </c>
      <c r="B43" s="20" t="s">
        <v>126</v>
      </c>
      <c r="C43" s="35" t="n">
        <v>44285</v>
      </c>
      <c r="D43" s="12" t="n">
        <v>1654.5</v>
      </c>
      <c r="E43" s="35" t="n">
        <v>44340</v>
      </c>
      <c r="F43" s="12" t="n">
        <v>1715.5</v>
      </c>
      <c r="G43" s="23" t="n">
        <v>821</v>
      </c>
      <c r="H43" s="22" t="n">
        <v>35</v>
      </c>
      <c r="I43" s="36" t="n">
        <v>2988242.96</v>
      </c>
      <c r="J43" s="23" t="n">
        <f aca="false">J42+I42</f>
        <v>19581214.4719643</v>
      </c>
      <c r="K43" s="21" t="n">
        <f aca="false">I43/J43</f>
        <v>0.152607641588241</v>
      </c>
      <c r="L43" s="10" t="n">
        <v>0.437</v>
      </c>
      <c r="M43" s="3" t="s">
        <v>127</v>
      </c>
      <c r="N43" s="37" t="n">
        <f aca="false">G43*D43*参数说明!$B$7/J43</f>
        <v>4.16218667727121</v>
      </c>
      <c r="O43" s="22" t="n">
        <f aca="false">IF(I43&lt;=0,O42+1,0)</f>
        <v>0</v>
      </c>
      <c r="P43" s="22" t="n">
        <f aca="false">IF(I43&gt;0,P42+1,0)</f>
        <v>1</v>
      </c>
    </row>
    <row r="44" customFormat="false" ht="15" hidden="false" customHeight="false" outlineLevel="0" collapsed="false">
      <c r="A44" s="22" t="n">
        <v>43</v>
      </c>
      <c r="B44" s="20" t="s">
        <v>126</v>
      </c>
      <c r="C44" s="35" t="n">
        <v>44372</v>
      </c>
      <c r="D44" s="12" t="n">
        <v>2028</v>
      </c>
      <c r="E44" s="35" t="n">
        <v>44385</v>
      </c>
      <c r="F44" s="12" t="n">
        <v>1843.48214285714</v>
      </c>
      <c r="G44" s="23" t="n">
        <v>772</v>
      </c>
      <c r="H44" s="22" t="n">
        <v>9</v>
      </c>
      <c r="I44" s="36" t="n">
        <v>-8564815.28814286</v>
      </c>
      <c r="J44" s="23" t="n">
        <f aca="false">J43+I43</f>
        <v>22569457.4319643</v>
      </c>
      <c r="K44" s="21" t="n">
        <f aca="false">I44/J44</f>
        <v>-0.379486982084595</v>
      </c>
      <c r="L44" s="10" t="n">
        <v>-1.003</v>
      </c>
      <c r="M44" s="3" t="s">
        <v>102</v>
      </c>
      <c r="N44" s="37" t="n">
        <f aca="false">G44*D44*参数说明!$B$7/J44</f>
        <v>4.16212752491607</v>
      </c>
      <c r="O44" s="22" t="n">
        <f aca="false">IF(I44&lt;=0,O43+1,0)</f>
        <v>1</v>
      </c>
      <c r="P44" s="22" t="n">
        <f aca="false">IF(I44&gt;0,P43+1,0)</f>
        <v>0</v>
      </c>
    </row>
    <row r="45" customFormat="false" ht="15" hidden="false" customHeight="false" outlineLevel="0" collapsed="false">
      <c r="A45" s="22" t="n">
        <v>44</v>
      </c>
      <c r="B45" s="20" t="s">
        <v>126</v>
      </c>
      <c r="C45" s="35" t="n">
        <v>44417</v>
      </c>
      <c r="D45" s="12" t="n">
        <v>2258.5</v>
      </c>
      <c r="E45" s="35" t="n">
        <v>44491</v>
      </c>
      <c r="F45" s="12" t="n">
        <v>3108</v>
      </c>
      <c r="G45" s="23" t="n">
        <v>430</v>
      </c>
      <c r="H45" s="22" t="n">
        <v>47</v>
      </c>
      <c r="I45" s="36" t="n">
        <v>21903245.83</v>
      </c>
      <c r="J45" s="23" t="n">
        <f aca="false">J44+I44</f>
        <v>14004642.1438214</v>
      </c>
      <c r="K45" s="21" t="n">
        <f aca="false">I45/J45</f>
        <v>1.56399896584743</v>
      </c>
      <c r="L45" s="10" t="n">
        <v>5.053</v>
      </c>
      <c r="M45" s="3" t="s">
        <v>127</v>
      </c>
      <c r="N45" s="37" t="n">
        <f aca="false">G45*D45*参数说明!$B$7/J45</f>
        <v>4.1607132407669</v>
      </c>
      <c r="O45" s="22" t="n">
        <f aca="false">IF(I45&lt;=0,O44+1,0)</f>
        <v>0</v>
      </c>
      <c r="P45" s="22" t="n">
        <f aca="false">IF(I45&gt;0,P44+1,0)</f>
        <v>1</v>
      </c>
    </row>
    <row r="46" customFormat="false" ht="15" hidden="false" customHeight="false" outlineLevel="0" collapsed="false">
      <c r="A46" s="22" t="n">
        <v>45</v>
      </c>
      <c r="B46" s="20" t="s">
        <v>128</v>
      </c>
      <c r="C46" s="35" t="n">
        <v>44516</v>
      </c>
      <c r="D46" s="12" t="n">
        <v>1885</v>
      </c>
      <c r="E46" s="35" t="n">
        <v>44550</v>
      </c>
      <c r="F46" s="12" t="n">
        <v>2154</v>
      </c>
      <c r="G46" s="23" t="n">
        <v>1322</v>
      </c>
      <c r="H46" s="22" t="n">
        <v>24</v>
      </c>
      <c r="I46" s="36" t="n">
        <v>-21369143.788</v>
      </c>
      <c r="J46" s="23" t="n">
        <f aca="false">J45+I45</f>
        <v>35907887.9738214</v>
      </c>
      <c r="K46" s="21" t="n">
        <f aca="false">I46/J46</f>
        <v>-0.595110016038235</v>
      </c>
      <c r="L46" s="10" t="n">
        <v>-0.576</v>
      </c>
      <c r="M46" s="3" t="s">
        <v>127</v>
      </c>
      <c r="N46" s="37" t="n">
        <f aca="false">G46*D46*参数说明!$B$7/J46</f>
        <v>4.1639374643534</v>
      </c>
      <c r="O46" s="22" t="n">
        <f aca="false">IF(I46&lt;=0,O45+1,0)</f>
        <v>1</v>
      </c>
      <c r="P46" s="22" t="n">
        <f aca="false">IF(I46&gt;0,P45+1,0)</f>
        <v>0</v>
      </c>
    </row>
    <row r="47" customFormat="false" ht="15" hidden="false" customHeight="false" outlineLevel="0" collapsed="false">
      <c r="A47" s="22" t="n">
        <v>46</v>
      </c>
      <c r="B47" s="20" t="s">
        <v>126</v>
      </c>
      <c r="C47" s="35" t="n">
        <v>44574</v>
      </c>
      <c r="D47" s="12" t="n">
        <v>2338.5</v>
      </c>
      <c r="E47" s="35" t="n">
        <v>44671</v>
      </c>
      <c r="F47" s="12" t="n">
        <v>3051</v>
      </c>
      <c r="G47" s="23" t="n">
        <v>431</v>
      </c>
      <c r="H47" s="22" t="n">
        <v>62</v>
      </c>
      <c r="I47" s="36" t="n">
        <v>18411304.133</v>
      </c>
      <c r="J47" s="23" t="n">
        <f aca="false">J46+I46</f>
        <v>14538744.1858214</v>
      </c>
      <c r="K47" s="21" t="n">
        <f aca="false">I47/J47</f>
        <v>1.26636137878781</v>
      </c>
      <c r="L47" s="10" t="n">
        <v>3.91</v>
      </c>
      <c r="M47" s="3" t="s">
        <v>127</v>
      </c>
      <c r="N47" s="37" t="n">
        <f aca="false">G47*D47*参数说明!$B$7/J47</f>
        <v>4.15947961027993</v>
      </c>
      <c r="O47" s="22" t="n">
        <f aca="false">IF(I47&lt;=0,O46+1,0)</f>
        <v>0</v>
      </c>
      <c r="P47" s="22" t="n">
        <f aca="false">IF(I47&gt;0,P46+1,0)</f>
        <v>1</v>
      </c>
    </row>
    <row r="48" customFormat="false" ht="15" hidden="false" customHeight="false" outlineLevel="0" collapsed="false">
      <c r="A48" s="22" t="n">
        <v>47</v>
      </c>
      <c r="B48" s="20" t="s">
        <v>128</v>
      </c>
      <c r="C48" s="35" t="n">
        <v>44671</v>
      </c>
      <c r="D48" s="12" t="n">
        <v>3051</v>
      </c>
      <c r="E48" s="35" t="n">
        <v>44714</v>
      </c>
      <c r="F48" s="12" t="n">
        <v>2765.5</v>
      </c>
      <c r="G48" s="23" t="n">
        <v>749</v>
      </c>
      <c r="H48" s="22" t="n">
        <v>28</v>
      </c>
      <c r="I48" s="36" t="n">
        <v>12804215.669</v>
      </c>
      <c r="J48" s="23" t="n">
        <f aca="false">J47+I47</f>
        <v>32950048.3188214</v>
      </c>
      <c r="K48" s="21" t="n">
        <f aca="false">I48/J48</f>
        <v>0.388594746359935</v>
      </c>
      <c r="L48" s="10" t="n">
        <v>1.098</v>
      </c>
      <c r="M48" s="3" t="s">
        <v>127</v>
      </c>
      <c r="N48" s="37" t="n">
        <f aca="false">G48*D48*参数说明!$B$7/J48</f>
        <v>4.16120603749404</v>
      </c>
      <c r="O48" s="22" t="n">
        <f aca="false">IF(I48&lt;=0,O47+1,0)</f>
        <v>0</v>
      </c>
      <c r="P48" s="22" t="n">
        <f aca="false">IF(I48&gt;0,P47+1,0)</f>
        <v>2</v>
      </c>
    </row>
    <row r="49" customFormat="false" ht="15" hidden="false" customHeight="false" outlineLevel="0" collapsed="false">
      <c r="A49" s="22" t="n">
        <v>48</v>
      </c>
      <c r="B49" s="20" t="s">
        <v>128</v>
      </c>
      <c r="C49" s="35" t="n">
        <v>44746</v>
      </c>
      <c r="D49" s="12" t="n">
        <v>2300</v>
      </c>
      <c r="E49" s="35" t="n">
        <v>44791</v>
      </c>
      <c r="F49" s="12" t="n">
        <v>1994.5</v>
      </c>
      <c r="G49" s="23" t="n">
        <v>1381</v>
      </c>
      <c r="H49" s="22" t="n">
        <v>33</v>
      </c>
      <c r="I49" s="36" t="n">
        <v>25278118.153</v>
      </c>
      <c r="J49" s="23" t="n">
        <f aca="false">J48+I48</f>
        <v>45754263.9878214</v>
      </c>
      <c r="K49" s="21" t="n">
        <f aca="false">I49/J49</f>
        <v>0.552475680949176</v>
      </c>
      <c r="L49" s="10" t="n">
        <v>0.814</v>
      </c>
      <c r="M49" s="3" t="s">
        <v>127</v>
      </c>
      <c r="N49" s="37" t="n">
        <f aca="false">G49*D49*参数说明!$B$7/J49</f>
        <v>4.16525113486094</v>
      </c>
      <c r="O49" s="22" t="n">
        <f aca="false">IF(I49&lt;=0,O48+1,0)</f>
        <v>0</v>
      </c>
      <c r="P49" s="22" t="n">
        <f aca="false">IF(I49&gt;0,P48+1,0)</f>
        <v>3</v>
      </c>
    </row>
    <row r="50" customFormat="false" ht="15" hidden="false" customHeight="false" outlineLevel="0" collapsed="false">
      <c r="A50" s="22" t="n">
        <v>49</v>
      </c>
      <c r="B50" s="20" t="s">
        <v>128</v>
      </c>
      <c r="C50" s="35" t="n">
        <v>44804</v>
      </c>
      <c r="D50" s="12" t="n">
        <v>1851.5</v>
      </c>
      <c r="E50" s="35" t="n">
        <v>44824</v>
      </c>
      <c r="F50" s="12" t="n">
        <v>2030.30357142857</v>
      </c>
      <c r="G50" s="23" t="n">
        <v>2664</v>
      </c>
      <c r="H50" s="22" t="n">
        <v>13</v>
      </c>
      <c r="I50" s="36" t="n">
        <v>-28642062.8854286</v>
      </c>
      <c r="J50" s="23" t="n">
        <f aca="false">J49+I49</f>
        <v>71032382.1408214</v>
      </c>
      <c r="K50" s="21" t="n">
        <f aca="false">I50/J50</f>
        <v>-0.403225430742922</v>
      </c>
      <c r="L50" s="10" t="n">
        <v>-1.003</v>
      </c>
      <c r="M50" s="3" t="s">
        <v>102</v>
      </c>
      <c r="N50" s="37" t="n">
        <f aca="false">G50*D50*参数说明!$B$7/J50</f>
        <v>4.16632176875742</v>
      </c>
      <c r="O50" s="22" t="n">
        <f aca="false">IF(I50&lt;=0,O49+1,0)</f>
        <v>1</v>
      </c>
      <c r="P50" s="22" t="n">
        <f aca="false">IF(I50&gt;0,P49+1,0)</f>
        <v>0</v>
      </c>
    </row>
    <row r="51" customFormat="false" ht="15" hidden="false" customHeight="false" outlineLevel="0" collapsed="false">
      <c r="A51" s="22" t="n">
        <v>50</v>
      </c>
      <c r="B51" s="20" t="s">
        <v>126</v>
      </c>
      <c r="C51" s="35" t="n">
        <v>44894</v>
      </c>
      <c r="D51" s="12" t="n">
        <v>2006.5</v>
      </c>
      <c r="E51" s="35" t="n">
        <v>44929</v>
      </c>
      <c r="F51" s="12" t="n">
        <v>1848.94642857143</v>
      </c>
      <c r="G51" s="23" t="n">
        <v>1467</v>
      </c>
      <c r="H51" s="22" t="n">
        <v>24</v>
      </c>
      <c r="I51" s="36" t="n">
        <v>-13901830.3366071</v>
      </c>
      <c r="J51" s="23" t="n">
        <f aca="false">J50+I50</f>
        <v>42390319.2553929</v>
      </c>
      <c r="K51" s="21" t="n">
        <f aca="false">I51/J51</f>
        <v>-0.327948233955293</v>
      </c>
      <c r="L51" s="10" t="n">
        <v>-1.003</v>
      </c>
      <c r="M51" s="3" t="s">
        <v>102</v>
      </c>
      <c r="N51" s="37" t="n">
        <f aca="false">G51*D51*参数说明!$B$7/J51</f>
        <v>4.16633167907863</v>
      </c>
      <c r="O51" s="22" t="n">
        <f aca="false">IF(I51&lt;=0,O50+1,0)</f>
        <v>2</v>
      </c>
      <c r="P51" s="22" t="n">
        <f aca="false">IF(I51&gt;0,P50+1,0)</f>
        <v>0</v>
      </c>
    </row>
    <row r="52" customFormat="false" ht="15" hidden="false" customHeight="false" outlineLevel="0" collapsed="false">
      <c r="A52" s="22" t="n">
        <v>51</v>
      </c>
      <c r="B52" s="20" t="s">
        <v>128</v>
      </c>
      <c r="C52" s="35" t="n">
        <v>45014</v>
      </c>
      <c r="D52" s="12" t="n">
        <v>1793</v>
      </c>
      <c r="E52" s="35" t="n">
        <v>45092</v>
      </c>
      <c r="F52" s="12" t="n">
        <v>1349</v>
      </c>
      <c r="G52" s="23" t="n">
        <v>1103</v>
      </c>
      <c r="H52" s="22" t="n">
        <v>52</v>
      </c>
      <c r="I52" s="36" t="n">
        <v>29363104.184</v>
      </c>
      <c r="J52" s="23" t="n">
        <f aca="false">J51+I51</f>
        <v>28488488.9187857</v>
      </c>
      <c r="K52" s="21" t="n">
        <f aca="false">I52/J52</f>
        <v>1.03070065484019</v>
      </c>
      <c r="L52" s="10" t="n">
        <v>3.583</v>
      </c>
      <c r="M52" s="3" t="s">
        <v>127</v>
      </c>
      <c r="N52" s="37" t="n">
        <f aca="false">G52*D52*参数说明!$B$7/J52</f>
        <v>4.16521705795892</v>
      </c>
      <c r="O52" s="22" t="n">
        <f aca="false">IF(I52&lt;=0,O51+1,0)</f>
        <v>0</v>
      </c>
      <c r="P52" s="22" t="n">
        <f aca="false">IF(I52&gt;0,P51+1,0)</f>
        <v>1</v>
      </c>
    </row>
    <row r="53" customFormat="false" ht="15" hidden="false" customHeight="false" outlineLevel="0" collapsed="false">
      <c r="A53" s="22" t="n">
        <v>52</v>
      </c>
      <c r="B53" s="20" t="s">
        <v>126</v>
      </c>
      <c r="C53" s="35" t="n">
        <v>45120</v>
      </c>
      <c r="D53" s="12" t="n">
        <v>1390</v>
      </c>
      <c r="E53" s="35" t="n">
        <v>45148</v>
      </c>
      <c r="F53" s="12" t="n">
        <v>1436</v>
      </c>
      <c r="G53" s="23" t="n">
        <v>2890</v>
      </c>
      <c r="H53" s="22" t="n">
        <v>20</v>
      </c>
      <c r="I53" s="36" t="n">
        <v>7927339.36</v>
      </c>
      <c r="J53" s="23" t="n">
        <f aca="false">J52+I52</f>
        <v>57851593.1027857</v>
      </c>
      <c r="K53" s="21" t="n">
        <f aca="false">I53/J53</f>
        <v>0.137028886065685</v>
      </c>
      <c r="L53" s="10" t="n">
        <v>0.45</v>
      </c>
      <c r="M53" s="3" t="s">
        <v>127</v>
      </c>
      <c r="N53" s="37" t="n">
        <f aca="false">G53*D53*参数说明!$B$7/J53</f>
        <v>4.16628111816672</v>
      </c>
      <c r="O53" s="22" t="n">
        <f aca="false">IF(I53&lt;=0,O52+1,0)</f>
        <v>0</v>
      </c>
      <c r="P53" s="22" t="n">
        <f aca="false">IF(I53&gt;0,P52+1,0)</f>
        <v>2</v>
      </c>
    </row>
    <row r="54" customFormat="false" ht="15" hidden="false" customHeight="false" outlineLevel="0" collapsed="false">
      <c r="A54" s="22" t="n">
        <v>53</v>
      </c>
      <c r="B54" s="20" t="s">
        <v>126</v>
      </c>
      <c r="C54" s="35" t="n">
        <v>45173</v>
      </c>
      <c r="D54" s="12" t="n">
        <v>1642.5</v>
      </c>
      <c r="E54" s="35" t="n">
        <v>45211</v>
      </c>
      <c r="F54" s="12" t="n">
        <v>1704</v>
      </c>
      <c r="G54" s="23" t="n">
        <v>2781</v>
      </c>
      <c r="H54" s="22" t="n">
        <v>22</v>
      </c>
      <c r="I54" s="36" t="n">
        <v>10205994.681</v>
      </c>
      <c r="J54" s="23" t="n">
        <f aca="false">J53+I53</f>
        <v>65778932.4627857</v>
      </c>
      <c r="K54" s="21" t="n">
        <f aca="false">I54/J54</f>
        <v>0.155155979260898</v>
      </c>
      <c r="L54" s="10" t="n">
        <v>0.463</v>
      </c>
      <c r="M54" s="3" t="s">
        <v>127</v>
      </c>
      <c r="N54" s="37" t="n">
        <f aca="false">G54*D54*参数说明!$B$7/J54</f>
        <v>4.16649434307942</v>
      </c>
      <c r="O54" s="22" t="n">
        <f aca="false">IF(I54&lt;=0,O53+1,0)</f>
        <v>0</v>
      </c>
      <c r="P54" s="22" t="n">
        <f aca="false">IF(I54&gt;0,P53+1,0)</f>
        <v>3</v>
      </c>
    </row>
    <row r="55" customFormat="false" ht="15" hidden="false" customHeight="false" outlineLevel="0" collapsed="false">
      <c r="A55" s="22" t="n">
        <v>54</v>
      </c>
      <c r="B55" s="20" t="s">
        <v>126</v>
      </c>
      <c r="C55" s="35" t="n">
        <v>45250</v>
      </c>
      <c r="D55" s="12" t="n">
        <v>2035</v>
      </c>
      <c r="E55" s="35" t="n">
        <v>45274</v>
      </c>
      <c r="F55" s="12" t="n">
        <v>1931</v>
      </c>
      <c r="G55" s="23" t="n">
        <v>2592</v>
      </c>
      <c r="H55" s="22" t="n">
        <v>18</v>
      </c>
      <c r="I55" s="36" t="n">
        <v>-16235811.072</v>
      </c>
      <c r="J55" s="23" t="n">
        <f aca="false">J54+I54</f>
        <v>75984927.1437857</v>
      </c>
      <c r="K55" s="21" t="n">
        <f aca="false">I55/J55</f>
        <v>-0.213671469886088</v>
      </c>
      <c r="L55" s="10" t="n">
        <v>-0.629</v>
      </c>
      <c r="M55" s="3" t="s">
        <v>127</v>
      </c>
      <c r="N55" s="37" t="n">
        <f aca="false">G55*D55*参数说明!$B$7/J55</f>
        <v>4.16507867936915</v>
      </c>
      <c r="O55" s="22" t="n">
        <f aca="false">IF(I55&lt;=0,O54+1,0)</f>
        <v>1</v>
      </c>
      <c r="P55" s="22" t="n">
        <f aca="false">IF(I55&gt;0,P54+1,0)</f>
        <v>0</v>
      </c>
    </row>
    <row r="56" customFormat="false" ht="15" hidden="false" customHeight="false" outlineLevel="0" collapsed="false">
      <c r="A56" s="22" t="n">
        <v>55</v>
      </c>
      <c r="B56" s="20" t="s">
        <v>128</v>
      </c>
      <c r="C56" s="35" t="n">
        <v>45293</v>
      </c>
      <c r="D56" s="12" t="n">
        <v>1883</v>
      </c>
      <c r="E56" s="35" t="n">
        <v>45355</v>
      </c>
      <c r="F56" s="12" t="n">
        <v>1770.5</v>
      </c>
      <c r="G56" s="23" t="n">
        <v>2203</v>
      </c>
      <c r="H56" s="22" t="n">
        <v>38</v>
      </c>
      <c r="I56" s="36" t="n">
        <v>14821913.977</v>
      </c>
      <c r="J56" s="23" t="n">
        <f aca="false">J55+I55</f>
        <v>59749116.0717857</v>
      </c>
      <c r="K56" s="21" t="n">
        <f aca="false">I56/J56</f>
        <v>0.24806917577144</v>
      </c>
      <c r="L56" s="10" t="n">
        <v>0.693</v>
      </c>
      <c r="M56" s="3" t="s">
        <v>127</v>
      </c>
      <c r="N56" s="37" t="n">
        <f aca="false">G56*D56*参数说明!$B$7/J56</f>
        <v>4.16566731633259</v>
      </c>
      <c r="O56" s="22" t="n">
        <f aca="false">IF(I56&lt;=0,O55+1,0)</f>
        <v>0</v>
      </c>
      <c r="P56" s="22" t="n">
        <f aca="false">IF(I56&gt;0,P55+1,0)</f>
        <v>1</v>
      </c>
    </row>
    <row r="57" customFormat="false" ht="15" hidden="false" customHeight="false" outlineLevel="0" collapsed="false">
      <c r="A57" s="22" t="n">
        <v>56</v>
      </c>
      <c r="B57" s="20" t="s">
        <v>128</v>
      </c>
      <c r="C57" s="35" t="n">
        <v>45380</v>
      </c>
      <c r="D57" s="12" t="n">
        <v>1576.5</v>
      </c>
      <c r="E57" s="35" t="n">
        <v>45398</v>
      </c>
      <c r="F57" s="12" t="n">
        <v>1715</v>
      </c>
      <c r="G57" s="23" t="n">
        <v>3284</v>
      </c>
      <c r="H57" s="22" t="n">
        <v>10</v>
      </c>
      <c r="I57" s="36" t="n">
        <v>-27354961.396</v>
      </c>
      <c r="J57" s="23" t="n">
        <f aca="false">J56+I56</f>
        <v>74571030.0487857</v>
      </c>
      <c r="K57" s="21" t="n">
        <f aca="false">I57/J57</f>
        <v>-0.366830944645714</v>
      </c>
      <c r="L57" s="10" t="n">
        <v>-0.971</v>
      </c>
      <c r="M57" s="3" t="s">
        <v>127</v>
      </c>
      <c r="N57" s="37" t="n">
        <f aca="false">G57*D57*参数说明!$B$7/J57</f>
        <v>4.16560639965383</v>
      </c>
      <c r="O57" s="22" t="n">
        <f aca="false">IF(I57&lt;=0,O56+1,0)</f>
        <v>1</v>
      </c>
      <c r="P57" s="22" t="n">
        <f aca="false">IF(I57&gt;0,P56+1,0)</f>
        <v>0</v>
      </c>
    </row>
    <row r="58" customFormat="false" ht="15" hidden="false" customHeight="false" outlineLevel="0" collapsed="false">
      <c r="A58" s="22" t="n">
        <v>57</v>
      </c>
      <c r="B58" s="20" t="s">
        <v>128</v>
      </c>
      <c r="C58" s="35" t="n">
        <v>45441</v>
      </c>
      <c r="D58" s="12" t="n">
        <v>1718</v>
      </c>
      <c r="E58" s="35" t="n">
        <v>45560</v>
      </c>
      <c r="F58" s="12" t="n">
        <v>1308.5</v>
      </c>
      <c r="G58" s="23" t="n">
        <v>1908</v>
      </c>
      <c r="H58" s="22" t="n">
        <v>82</v>
      </c>
      <c r="I58" s="36" t="n">
        <v>46844874.468</v>
      </c>
      <c r="J58" s="23" t="n">
        <f aca="false">J57+I57</f>
        <v>47216068.6527857</v>
      </c>
      <c r="K58" s="21" t="n">
        <f aca="false">I58/J58</f>
        <v>0.992138392810393</v>
      </c>
      <c r="L58" s="10" t="n">
        <v>2.631</v>
      </c>
      <c r="M58" s="3" t="s">
        <v>127</v>
      </c>
      <c r="N58" s="37" t="n">
        <f aca="false">G58*D58*参数说明!$B$7/J58</f>
        <v>4.16545988710554</v>
      </c>
      <c r="O58" s="22" t="n">
        <f aca="false">IF(I58&lt;=0,O57+1,0)</f>
        <v>0</v>
      </c>
      <c r="P58" s="22" t="n">
        <f aca="false">IF(I58&gt;0,P57+1,0)</f>
        <v>1</v>
      </c>
    </row>
    <row r="59" customFormat="false" ht="15" hidden="false" customHeight="false" outlineLevel="0" collapsed="false">
      <c r="A59" s="22" t="n">
        <v>58</v>
      </c>
      <c r="B59" s="20" t="s">
        <v>128</v>
      </c>
      <c r="C59" s="35" t="n">
        <v>45624</v>
      </c>
      <c r="D59" s="12" t="n">
        <v>1270</v>
      </c>
      <c r="E59" s="35" t="n">
        <v>45698</v>
      </c>
      <c r="F59" s="12" t="n">
        <v>1152.5</v>
      </c>
      <c r="G59" s="23" t="n">
        <v>5143</v>
      </c>
      <c r="H59" s="22" t="n">
        <v>45</v>
      </c>
      <c r="I59" s="36" t="n">
        <v>36183293.635</v>
      </c>
      <c r="J59" s="23" t="n">
        <f aca="false">J58+I58</f>
        <v>94060943.1207857</v>
      </c>
      <c r="K59" s="21" t="n">
        <f aca="false">I59/J59</f>
        <v>0.384679256176884</v>
      </c>
      <c r="L59" s="10" t="n">
        <v>1.374</v>
      </c>
      <c r="M59" s="3" t="s">
        <v>127</v>
      </c>
      <c r="N59" s="37" t="n">
        <f aca="false">G59*D59*参数说明!$B$7/J59</f>
        <v>4.16641155188883</v>
      </c>
      <c r="O59" s="22" t="n">
        <f aca="false">IF(I59&lt;=0,O58+1,0)</f>
        <v>0</v>
      </c>
      <c r="P59" s="22" t="n">
        <f aca="false">IF(I59&gt;0,P58+1,0)</f>
        <v>2</v>
      </c>
    </row>
    <row r="60" customFormat="false" ht="15" hidden="false" customHeight="false" outlineLevel="0" collapsed="false">
      <c r="A60" s="22" t="n">
        <v>59</v>
      </c>
      <c r="B60" s="20" t="s">
        <v>128</v>
      </c>
      <c r="C60" s="35" t="n">
        <v>45715</v>
      </c>
      <c r="D60" s="12" t="n">
        <v>1092.5</v>
      </c>
      <c r="E60" s="35" t="n">
        <v>45831</v>
      </c>
      <c r="F60" s="12" t="n">
        <v>799</v>
      </c>
      <c r="G60" s="23" t="n">
        <v>8278</v>
      </c>
      <c r="H60" s="22" t="n">
        <v>77</v>
      </c>
      <c r="I60" s="36" t="n">
        <v>145681467.418</v>
      </c>
      <c r="J60" s="23" t="n">
        <f aca="false">J59+I59</f>
        <v>130244236.755786</v>
      </c>
      <c r="K60" s="21" t="n">
        <f aca="false">I60/J60</f>
        <v>1.11852524953684</v>
      </c>
      <c r="L60" s="10" t="n">
        <v>4.314</v>
      </c>
      <c r="M60" s="3" t="s">
        <v>127</v>
      </c>
      <c r="N60" s="37" t="n">
        <f aca="false">G60*D60*参数说明!$B$7/J60</f>
        <v>4.16619509251257</v>
      </c>
      <c r="O60" s="22" t="n">
        <f aca="false">IF(I60&lt;=0,O59+1,0)</f>
        <v>0</v>
      </c>
      <c r="P60" s="22" t="n">
        <f aca="false">IF(I60&gt;0,P59+1,0)</f>
        <v>3</v>
      </c>
    </row>
    <row r="61" customFormat="false" ht="15" hidden="false" customHeight="false" outlineLevel="0" collapsed="false">
      <c r="A61" s="22" t="n">
        <v>60</v>
      </c>
      <c r="B61" s="20" t="s">
        <v>126</v>
      </c>
      <c r="C61" s="35" t="n">
        <v>45835</v>
      </c>
      <c r="D61" s="12" t="n">
        <v>828</v>
      </c>
      <c r="E61" s="35" t="n">
        <v>45890</v>
      </c>
      <c r="F61" s="12" t="n">
        <v>1159</v>
      </c>
      <c r="G61" s="23" t="n">
        <v>23141</v>
      </c>
      <c r="H61" s="22" t="n">
        <v>39</v>
      </c>
      <c r="I61" s="36" t="n">
        <v>459303910.178</v>
      </c>
      <c r="J61" s="23" t="n">
        <f aca="false">J60+I60</f>
        <v>275925704.173786</v>
      </c>
      <c r="K61" s="21" t="n">
        <f aca="false">I61/J61</f>
        <v>1.66459269009863</v>
      </c>
      <c r="L61" s="10" t="n">
        <v>5.748</v>
      </c>
      <c r="M61" s="3" t="s">
        <v>127</v>
      </c>
      <c r="N61" s="37" t="n">
        <f aca="false">G61*D61*参数说明!$B$7/J61</f>
        <v>4.16650157129226</v>
      </c>
      <c r="O61" s="22" t="n">
        <f aca="false">IF(I61&lt;=0,O60+1,0)</f>
        <v>0</v>
      </c>
      <c r="P61" s="22" t="n">
        <f aca="false">IF(I61&gt;0,P60+1,0)</f>
        <v>4</v>
      </c>
    </row>
    <row r="62" customFormat="false" ht="15" hidden="false" customHeight="false" outlineLevel="0" collapsed="false">
      <c r="A62" s="22" t="n">
        <v>61</v>
      </c>
      <c r="B62" s="20" t="s">
        <v>128</v>
      </c>
      <c r="C62" s="35" t="n">
        <v>46000</v>
      </c>
      <c r="D62" s="12" t="n">
        <v>1066</v>
      </c>
      <c r="E62" s="35" t="n">
        <v>46029</v>
      </c>
      <c r="F62" s="12" t="n">
        <v>1152.21428571429</v>
      </c>
      <c r="G62" s="23" t="n">
        <v>47896</v>
      </c>
      <c r="H62" s="22" t="n">
        <v>19</v>
      </c>
      <c r="I62" s="36" t="n">
        <v>-248397585.182857</v>
      </c>
      <c r="J62" s="23" t="n">
        <f aca="false">J61+I61</f>
        <v>735229614.351786</v>
      </c>
      <c r="K62" s="21" t="n">
        <f aca="false">I62/J62</f>
        <v>-0.337850353595804</v>
      </c>
      <c r="L62" s="10" t="n">
        <v>-1.006</v>
      </c>
      <c r="M62" s="3" t="s">
        <v>102</v>
      </c>
      <c r="N62" s="37" t="n">
        <f aca="false">G62*D62*参数说明!$B$7/J62</f>
        <v>4.16662781286479</v>
      </c>
      <c r="O62" s="22" t="n">
        <f aca="false">IF(I62&lt;=0,O61+1,0)</f>
        <v>1</v>
      </c>
      <c r="P62" s="22" t="n">
        <f aca="false">IF(I62&gt;0,P61+1,0)</f>
        <v>0</v>
      </c>
    </row>
    <row r="63" customFormat="false" ht="15" hidden="false" customHeight="false" outlineLevel="0" collapsed="false">
      <c r="A63" s="22" t="n">
        <v>62</v>
      </c>
      <c r="B63" s="20" t="s">
        <v>126</v>
      </c>
      <c r="C63" s="35" t="n">
        <v>46030</v>
      </c>
      <c r="D63" s="12" t="n">
        <v>1190</v>
      </c>
      <c r="E63" s="35" t="n">
        <v>46083</v>
      </c>
      <c r="F63" s="12" t="n">
        <v>1084.76785714286</v>
      </c>
      <c r="G63" s="23" t="n">
        <v>28409</v>
      </c>
      <c r="H63" s="22" t="n">
        <v>31</v>
      </c>
      <c r="I63" s="36" t="n">
        <v>-179760708.246036</v>
      </c>
      <c r="J63" s="23" t="n">
        <f aca="false">J62+I62</f>
        <v>486832029.168928</v>
      </c>
      <c r="K63" s="21" t="n">
        <f aca="false">I63/J63</f>
        <v>-0.369245853755567</v>
      </c>
      <c r="L63" s="10" t="n">
        <v>-1.005</v>
      </c>
      <c r="M63" s="3" t="s">
        <v>102</v>
      </c>
      <c r="N63" s="37" t="n">
        <f aca="false">G63*D63*参数说明!$B$7/J63</f>
        <v>4.16653481789744</v>
      </c>
      <c r="O63" s="22" t="n">
        <f aca="false">IF(I63&lt;=0,O62+1,0)</f>
        <v>2</v>
      </c>
      <c r="P63" s="22" t="n">
        <f aca="false">IF(I63&gt;0,P62+1,0)</f>
        <v>0</v>
      </c>
    </row>
    <row r="64" customFormat="false" ht="15" hidden="false" customHeight="false" outlineLevel="0" collapsed="false">
      <c r="A64" s="22" t="n">
        <v>63</v>
      </c>
      <c r="B64" s="20" t="s">
        <v>128</v>
      </c>
      <c r="C64" s="35" t="n">
        <v>46216</v>
      </c>
      <c r="D64" s="12" t="n">
        <v>1310</v>
      </c>
      <c r="E64" s="35" t="n">
        <v>46245</v>
      </c>
      <c r="F64" s="12" t="n">
        <v>1386.03571428571</v>
      </c>
      <c r="G64" s="23" t="n">
        <v>16278</v>
      </c>
      <c r="H64" s="22" t="n">
        <v>21</v>
      </c>
      <c r="I64" s="36" t="n">
        <v>-74526203.4047142</v>
      </c>
      <c r="J64" s="23" t="n">
        <f aca="false">J63+I63</f>
        <v>307071320.922893</v>
      </c>
      <c r="K64" s="21" t="n">
        <f aca="false">I64/J64</f>
        <v>-0.242699979863728</v>
      </c>
      <c r="L64" s="10" t="n">
        <v>-1.007</v>
      </c>
      <c r="M64" s="3" t="s">
        <v>102</v>
      </c>
      <c r="N64" s="37" t="n">
        <f aca="false">G64*D64*参数说明!$B$7/J64</f>
        <v>4.16662421014979</v>
      </c>
      <c r="O64" s="22" t="n">
        <f aca="false">IF(I64&lt;=0,O63+1,0)</f>
        <v>3</v>
      </c>
      <c r="P64" s="22" t="n">
        <f aca="false">IF(I64&gt;0,P63+1,0)</f>
        <v>0</v>
      </c>
    </row>
    <row r="65" customFormat="false" ht="15" hidden="false" customHeight="false" outlineLevel="0" collapsed="false">
      <c r="A65" s="22" t="n">
        <v>64</v>
      </c>
      <c r="B65" s="20" t="s">
        <v>128</v>
      </c>
      <c r="C65" s="35" t="n">
        <v>46311</v>
      </c>
      <c r="D65" s="12" t="n">
        <v>1468</v>
      </c>
      <c r="E65" s="35" t="n">
        <v>46324</v>
      </c>
      <c r="F65" s="12" t="n">
        <v>1403.5</v>
      </c>
      <c r="G65" s="23" t="n">
        <v>11000</v>
      </c>
      <c r="H65" s="22" t="n">
        <v>9</v>
      </c>
      <c r="I65" s="36" t="n">
        <v>42380261</v>
      </c>
      <c r="J65" s="23" t="n">
        <f aca="false">J64+I64</f>
        <v>232545117.518178</v>
      </c>
      <c r="K65" s="21" t="n">
        <f aca="false">I65/J65</f>
        <v>0.182245327067282</v>
      </c>
      <c r="L65" s="10" t="n">
        <v>0.525</v>
      </c>
      <c r="M65" s="3" t="s">
        <v>129</v>
      </c>
      <c r="N65" s="37" t="n">
        <f aca="false">G65*D65*参数说明!$B$7/J65</f>
        <v>4.16641729716928</v>
      </c>
      <c r="O65" s="22" t="n">
        <f aca="false">IF(I65&lt;=0,O64+1,0)</f>
        <v>0</v>
      </c>
      <c r="P65" s="22" t="n">
        <f aca="false">IF(I65&gt;0,P64+1,0)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  <c r="F1" s="2" t="s">
        <v>63</v>
      </c>
    </row>
    <row r="2" customFormat="false" ht="15" hidden="false" customHeight="false" outlineLevel="0" collapsed="false">
      <c r="A2" s="38" t="n">
        <v>41355</v>
      </c>
      <c r="B2" s="39" t="n">
        <v>1267</v>
      </c>
      <c r="C2" s="40" t="n">
        <v>500000</v>
      </c>
      <c r="D2" s="40" t="n">
        <f aca="false">C2</f>
        <v>500000</v>
      </c>
      <c r="E2" s="41" t="n">
        <f aca="false">C2/D2-1</f>
        <v>0</v>
      </c>
      <c r="F2" s="42" t="n">
        <f aca="false">YEAR(A2)</f>
        <v>2013</v>
      </c>
    </row>
    <row r="3" customFormat="false" ht="15" hidden="false" customHeight="false" outlineLevel="0" collapsed="false">
      <c r="A3" s="38" t="n">
        <v>41358</v>
      </c>
      <c r="B3" s="39" t="n">
        <v>1259</v>
      </c>
      <c r="C3" s="40" t="n">
        <v>500000</v>
      </c>
      <c r="D3" s="40" t="n">
        <f aca="false">MAX(D2,C3)</f>
        <v>500000</v>
      </c>
      <c r="E3" s="41" t="n">
        <f aca="false">C3/D3-1</f>
        <v>0</v>
      </c>
      <c r="F3" s="42" t="n">
        <f aca="false">YEAR(A3)</f>
        <v>2013</v>
      </c>
    </row>
    <row r="4" customFormat="false" ht="15" hidden="false" customHeight="false" outlineLevel="0" collapsed="false">
      <c r="A4" s="38" t="n">
        <v>41359</v>
      </c>
      <c r="B4" s="39" t="n">
        <v>1273</v>
      </c>
      <c r="C4" s="40" t="n">
        <v>500000</v>
      </c>
      <c r="D4" s="40" t="n">
        <f aca="false">MAX(D3,C4)</f>
        <v>500000</v>
      </c>
      <c r="E4" s="41" t="n">
        <f aca="false">C4/D4-1</f>
        <v>0</v>
      </c>
      <c r="F4" s="42" t="n">
        <f aca="false">YEAR(A4)</f>
        <v>2013</v>
      </c>
    </row>
    <row r="5" customFormat="false" ht="15" hidden="false" customHeight="false" outlineLevel="0" collapsed="false">
      <c r="A5" s="38" t="n">
        <v>41360</v>
      </c>
      <c r="B5" s="39" t="n">
        <v>1262</v>
      </c>
      <c r="C5" s="40" t="n">
        <v>500000</v>
      </c>
      <c r="D5" s="40" t="n">
        <f aca="false">MAX(D4,C5)</f>
        <v>500000</v>
      </c>
      <c r="E5" s="41" t="n">
        <f aca="false">C5/D5-1</f>
        <v>0</v>
      </c>
      <c r="F5" s="42" t="n">
        <f aca="false">YEAR(A5)</f>
        <v>2013</v>
      </c>
    </row>
    <row r="6" customFormat="false" ht="15" hidden="false" customHeight="false" outlineLevel="0" collapsed="false">
      <c r="A6" s="38" t="n">
        <v>41361</v>
      </c>
      <c r="B6" s="39" t="n">
        <v>1261</v>
      </c>
      <c r="C6" s="40" t="n">
        <v>500000</v>
      </c>
      <c r="D6" s="40" t="n">
        <f aca="false">MAX(D5,C6)</f>
        <v>500000</v>
      </c>
      <c r="E6" s="41" t="n">
        <f aca="false">C6/D6-1</f>
        <v>0</v>
      </c>
      <c r="F6" s="42" t="n">
        <f aca="false">YEAR(A6)</f>
        <v>2013</v>
      </c>
    </row>
    <row r="7" customFormat="false" ht="15" hidden="false" customHeight="false" outlineLevel="0" collapsed="false">
      <c r="A7" s="38" t="n">
        <v>41362</v>
      </c>
      <c r="B7" s="39" t="n">
        <v>1242</v>
      </c>
      <c r="C7" s="40" t="n">
        <v>500000</v>
      </c>
      <c r="D7" s="40" t="n">
        <f aca="false">MAX(D6,C7)</f>
        <v>500000</v>
      </c>
      <c r="E7" s="41" t="n">
        <f aca="false">C7/D7-1</f>
        <v>0</v>
      </c>
      <c r="F7" s="42" t="n">
        <f aca="false">YEAR(A7)</f>
        <v>2013</v>
      </c>
    </row>
    <row r="8" customFormat="false" ht="15" hidden="false" customHeight="false" outlineLevel="0" collapsed="false">
      <c r="A8" s="38" t="n">
        <v>41365</v>
      </c>
      <c r="B8" s="39" t="n">
        <v>1203</v>
      </c>
      <c r="C8" s="40" t="n">
        <v>500000</v>
      </c>
      <c r="D8" s="40" t="n">
        <f aca="false">MAX(D7,C8)</f>
        <v>500000</v>
      </c>
      <c r="E8" s="41" t="n">
        <f aca="false">C8/D8-1</f>
        <v>0</v>
      </c>
      <c r="F8" s="42" t="n">
        <f aca="false">YEAR(A8)</f>
        <v>2013</v>
      </c>
    </row>
    <row r="9" customFormat="false" ht="15" hidden="false" customHeight="false" outlineLevel="0" collapsed="false">
      <c r="A9" s="38" t="n">
        <v>41366</v>
      </c>
      <c r="B9" s="39" t="n">
        <v>1229</v>
      </c>
      <c r="C9" s="40" t="n">
        <v>500000</v>
      </c>
      <c r="D9" s="40" t="n">
        <f aca="false">MAX(D8,C9)</f>
        <v>500000</v>
      </c>
      <c r="E9" s="41" t="n">
        <f aca="false">C9/D9-1</f>
        <v>0</v>
      </c>
      <c r="F9" s="42" t="n">
        <f aca="false">YEAR(A9)</f>
        <v>2013</v>
      </c>
    </row>
    <row r="10" customFormat="false" ht="15" hidden="false" customHeight="false" outlineLevel="0" collapsed="false">
      <c r="A10" s="38" t="n">
        <v>41367</v>
      </c>
      <c r="B10" s="39" t="n">
        <v>1218</v>
      </c>
      <c r="C10" s="40" t="n">
        <v>500000</v>
      </c>
      <c r="D10" s="40" t="n">
        <f aca="false">MAX(D9,C10)</f>
        <v>500000</v>
      </c>
      <c r="E10" s="41" t="n">
        <f aca="false">C10/D10-1</f>
        <v>0</v>
      </c>
      <c r="F10" s="42" t="n">
        <f aca="false">YEAR(A10)</f>
        <v>2013</v>
      </c>
    </row>
    <row r="11" customFormat="false" ht="15" hidden="false" customHeight="false" outlineLevel="0" collapsed="false">
      <c r="A11" s="38" t="n">
        <v>41372</v>
      </c>
      <c r="B11" s="39" t="n">
        <v>1221</v>
      </c>
      <c r="C11" s="40" t="n">
        <v>500000</v>
      </c>
      <c r="D11" s="40" t="n">
        <f aca="false">MAX(D10,C11)</f>
        <v>500000</v>
      </c>
      <c r="E11" s="41" t="n">
        <f aca="false">C11/D11-1</f>
        <v>0</v>
      </c>
      <c r="F11" s="42" t="n">
        <f aca="false">YEAR(A11)</f>
        <v>2013</v>
      </c>
    </row>
    <row r="12" customFormat="false" ht="15" hidden="false" customHeight="false" outlineLevel="0" collapsed="false">
      <c r="A12" s="38" t="n">
        <v>41373</v>
      </c>
      <c r="B12" s="39" t="n">
        <v>1224</v>
      </c>
      <c r="C12" s="40" t="n">
        <v>500000</v>
      </c>
      <c r="D12" s="40" t="n">
        <f aca="false">MAX(D11,C12)</f>
        <v>500000</v>
      </c>
      <c r="E12" s="41" t="n">
        <f aca="false">C12/D12-1</f>
        <v>0</v>
      </c>
      <c r="F12" s="42" t="n">
        <f aca="false">YEAR(A12)</f>
        <v>2013</v>
      </c>
    </row>
    <row r="13" customFormat="false" ht="15" hidden="false" customHeight="false" outlineLevel="0" collapsed="false">
      <c r="A13" s="38" t="n">
        <v>41374</v>
      </c>
      <c r="B13" s="39" t="n">
        <v>1216</v>
      </c>
      <c r="C13" s="40" t="n">
        <v>500000</v>
      </c>
      <c r="D13" s="40" t="n">
        <f aca="false">MAX(D12,C13)</f>
        <v>500000</v>
      </c>
      <c r="E13" s="41" t="n">
        <f aca="false">C13/D13-1</f>
        <v>0</v>
      </c>
      <c r="F13" s="42" t="n">
        <f aca="false">YEAR(A13)</f>
        <v>2013</v>
      </c>
    </row>
    <row r="14" customFormat="false" ht="15" hidden="false" customHeight="false" outlineLevel="0" collapsed="false">
      <c r="A14" s="38" t="n">
        <v>41375</v>
      </c>
      <c r="B14" s="39" t="n">
        <v>1207</v>
      </c>
      <c r="C14" s="40" t="n">
        <v>500000</v>
      </c>
      <c r="D14" s="40" t="n">
        <f aca="false">MAX(D13,C14)</f>
        <v>500000</v>
      </c>
      <c r="E14" s="41" t="n">
        <f aca="false">C14/D14-1</f>
        <v>0</v>
      </c>
      <c r="F14" s="42" t="n">
        <f aca="false">YEAR(A14)</f>
        <v>2013</v>
      </c>
    </row>
    <row r="15" customFormat="false" ht="15" hidden="false" customHeight="false" outlineLevel="0" collapsed="false">
      <c r="A15" s="38" t="n">
        <v>41376</v>
      </c>
      <c r="B15" s="39" t="n">
        <v>1210</v>
      </c>
      <c r="C15" s="40" t="n">
        <v>500000</v>
      </c>
      <c r="D15" s="40" t="n">
        <f aca="false">MAX(D14,C15)</f>
        <v>500000</v>
      </c>
      <c r="E15" s="41" t="n">
        <f aca="false">C15/D15-1</f>
        <v>0</v>
      </c>
      <c r="F15" s="42" t="n">
        <f aca="false">YEAR(A15)</f>
        <v>2013</v>
      </c>
    </row>
    <row r="16" customFormat="false" ht="15" hidden="false" customHeight="false" outlineLevel="0" collapsed="false">
      <c r="A16" s="38" t="n">
        <v>41379</v>
      </c>
      <c r="B16" s="39" t="n">
        <v>1175</v>
      </c>
      <c r="C16" s="40" t="n">
        <v>500000</v>
      </c>
      <c r="D16" s="40" t="n">
        <f aca="false">MAX(D15,C16)</f>
        <v>500000</v>
      </c>
      <c r="E16" s="41" t="n">
        <f aca="false">C16/D16-1</f>
        <v>0</v>
      </c>
      <c r="F16" s="42" t="n">
        <f aca="false">YEAR(A16)</f>
        <v>2013</v>
      </c>
    </row>
    <row r="17" customFormat="false" ht="15" hidden="false" customHeight="false" outlineLevel="0" collapsed="false">
      <c r="A17" s="38" t="n">
        <v>41380</v>
      </c>
      <c r="B17" s="39" t="n">
        <v>1180</v>
      </c>
      <c r="C17" s="40" t="n">
        <v>500000</v>
      </c>
      <c r="D17" s="40" t="n">
        <f aca="false">MAX(D16,C17)</f>
        <v>500000</v>
      </c>
      <c r="E17" s="41" t="n">
        <f aca="false">C17/D17-1</f>
        <v>0</v>
      </c>
      <c r="F17" s="42" t="n">
        <f aca="false">YEAR(A17)</f>
        <v>2013</v>
      </c>
    </row>
    <row r="18" customFormat="false" ht="15" hidden="false" customHeight="false" outlineLevel="0" collapsed="false">
      <c r="A18" s="38" t="n">
        <v>41381</v>
      </c>
      <c r="B18" s="39" t="n">
        <v>1166</v>
      </c>
      <c r="C18" s="40" t="n">
        <v>500000</v>
      </c>
      <c r="D18" s="40" t="n">
        <f aca="false">MAX(D17,C18)</f>
        <v>500000</v>
      </c>
      <c r="E18" s="41" t="n">
        <f aca="false">C18/D18-1</f>
        <v>0</v>
      </c>
      <c r="F18" s="42" t="n">
        <f aca="false">YEAR(A18)</f>
        <v>2013</v>
      </c>
    </row>
    <row r="19" customFormat="false" ht="15" hidden="false" customHeight="false" outlineLevel="0" collapsed="false">
      <c r="A19" s="38" t="n">
        <v>41382</v>
      </c>
      <c r="B19" s="39" t="n">
        <v>1159</v>
      </c>
      <c r="C19" s="40" t="n">
        <v>500000</v>
      </c>
      <c r="D19" s="40" t="n">
        <f aca="false">MAX(D18,C19)</f>
        <v>500000</v>
      </c>
      <c r="E19" s="41" t="n">
        <f aca="false">C19/D19-1</f>
        <v>0</v>
      </c>
      <c r="F19" s="42" t="n">
        <f aca="false">YEAR(A19)</f>
        <v>2013</v>
      </c>
    </row>
    <row r="20" customFormat="false" ht="15" hidden="false" customHeight="false" outlineLevel="0" collapsed="false">
      <c r="A20" s="38" t="n">
        <v>41383</v>
      </c>
      <c r="B20" s="39" t="n">
        <v>1165</v>
      </c>
      <c r="C20" s="40" t="n">
        <v>500000</v>
      </c>
      <c r="D20" s="40" t="n">
        <f aca="false">MAX(D19,C20)</f>
        <v>500000</v>
      </c>
      <c r="E20" s="41" t="n">
        <f aca="false">C20/D20-1</f>
        <v>0</v>
      </c>
      <c r="F20" s="42" t="n">
        <f aca="false">YEAR(A20)</f>
        <v>2013</v>
      </c>
    </row>
    <row r="21" customFormat="false" ht="15" hidden="false" customHeight="false" outlineLevel="0" collapsed="false">
      <c r="A21" s="38" t="n">
        <v>41386</v>
      </c>
      <c r="B21" s="39" t="n">
        <v>1148</v>
      </c>
      <c r="C21" s="40" t="n">
        <v>500000</v>
      </c>
      <c r="D21" s="40" t="n">
        <f aca="false">MAX(D20,C21)</f>
        <v>500000</v>
      </c>
      <c r="E21" s="41" t="n">
        <f aca="false">C21/D21-1</f>
        <v>0</v>
      </c>
      <c r="F21" s="42" t="n">
        <f aca="false">YEAR(A21)</f>
        <v>2013</v>
      </c>
    </row>
    <row r="22" customFormat="false" ht="15" hidden="false" customHeight="false" outlineLevel="0" collapsed="false">
      <c r="A22" s="38" t="n">
        <v>41387</v>
      </c>
      <c r="B22" s="39" t="n">
        <v>1136</v>
      </c>
      <c r="C22" s="40" t="n">
        <v>500000</v>
      </c>
      <c r="D22" s="40" t="n">
        <f aca="false">MAX(D21,C22)</f>
        <v>500000</v>
      </c>
      <c r="E22" s="41" t="n">
        <f aca="false">C22/D22-1</f>
        <v>0</v>
      </c>
      <c r="F22" s="42" t="n">
        <f aca="false">YEAR(A22)</f>
        <v>2013</v>
      </c>
    </row>
    <row r="23" customFormat="false" ht="15" hidden="false" customHeight="false" outlineLevel="0" collapsed="false">
      <c r="A23" s="38" t="n">
        <v>41388</v>
      </c>
      <c r="B23" s="39" t="n">
        <v>1147</v>
      </c>
      <c r="C23" s="40" t="n">
        <v>500000</v>
      </c>
      <c r="D23" s="40" t="n">
        <f aca="false">MAX(D22,C23)</f>
        <v>500000</v>
      </c>
      <c r="E23" s="41" t="n">
        <f aca="false">C23/D23-1</f>
        <v>0</v>
      </c>
      <c r="F23" s="42" t="n">
        <f aca="false">YEAR(A23)</f>
        <v>2013</v>
      </c>
    </row>
    <row r="24" customFormat="false" ht="15" hidden="false" customHeight="false" outlineLevel="0" collapsed="false">
      <c r="A24" s="38" t="n">
        <v>41389</v>
      </c>
      <c r="B24" s="39" t="n">
        <v>1144</v>
      </c>
      <c r="C24" s="40" t="n">
        <v>500000</v>
      </c>
      <c r="D24" s="40" t="n">
        <f aca="false">MAX(D23,C24)</f>
        <v>500000</v>
      </c>
      <c r="E24" s="41" t="n">
        <f aca="false">C24/D24-1</f>
        <v>0</v>
      </c>
      <c r="F24" s="42" t="n">
        <f aca="false">YEAR(A24)</f>
        <v>2013</v>
      </c>
    </row>
    <row r="25" customFormat="false" ht="15" hidden="false" customHeight="false" outlineLevel="0" collapsed="false">
      <c r="A25" s="38" t="n">
        <v>41390</v>
      </c>
      <c r="B25" s="39" t="n">
        <v>1141</v>
      </c>
      <c r="C25" s="40" t="n">
        <v>500000</v>
      </c>
      <c r="D25" s="40" t="n">
        <f aca="false">MAX(D24,C25)</f>
        <v>500000</v>
      </c>
      <c r="E25" s="41" t="n">
        <f aca="false">C25/D25-1</f>
        <v>0</v>
      </c>
      <c r="F25" s="42" t="n">
        <f aca="false">YEAR(A25)</f>
        <v>2013</v>
      </c>
    </row>
    <row r="26" customFormat="false" ht="15" hidden="false" customHeight="false" outlineLevel="0" collapsed="false">
      <c r="A26" s="38" t="n">
        <v>41396</v>
      </c>
      <c r="B26" s="39" t="n">
        <v>1121</v>
      </c>
      <c r="C26" s="40" t="n">
        <v>500000</v>
      </c>
      <c r="D26" s="40" t="n">
        <f aca="false">MAX(D25,C26)</f>
        <v>500000</v>
      </c>
      <c r="E26" s="41" t="n">
        <f aca="false">C26/D26-1</f>
        <v>0</v>
      </c>
      <c r="F26" s="42" t="n">
        <f aca="false">YEAR(A26)</f>
        <v>2013</v>
      </c>
    </row>
    <row r="27" customFormat="false" ht="15" hidden="false" customHeight="false" outlineLevel="0" collapsed="false">
      <c r="A27" s="38" t="n">
        <v>41397</v>
      </c>
      <c r="B27" s="39" t="n">
        <v>1131</v>
      </c>
      <c r="C27" s="40" t="n">
        <v>500000</v>
      </c>
      <c r="D27" s="40" t="n">
        <f aca="false">MAX(D26,C27)</f>
        <v>500000</v>
      </c>
      <c r="E27" s="41" t="n">
        <f aca="false">C27/D27-1</f>
        <v>0</v>
      </c>
      <c r="F27" s="42" t="n">
        <f aca="false">YEAR(A27)</f>
        <v>2013</v>
      </c>
    </row>
    <row r="28" customFormat="false" ht="15" hidden="false" customHeight="false" outlineLevel="0" collapsed="false">
      <c r="A28" s="38" t="n">
        <v>41400</v>
      </c>
      <c r="B28" s="39" t="n">
        <v>1142</v>
      </c>
      <c r="C28" s="40" t="n">
        <v>500000</v>
      </c>
      <c r="D28" s="40" t="n">
        <f aca="false">MAX(D27,C28)</f>
        <v>500000</v>
      </c>
      <c r="E28" s="41" t="n">
        <f aca="false">C28/D28-1</f>
        <v>0</v>
      </c>
      <c r="F28" s="42" t="n">
        <f aca="false">YEAR(A28)</f>
        <v>2013</v>
      </c>
    </row>
    <row r="29" customFormat="false" ht="15" hidden="false" customHeight="false" outlineLevel="0" collapsed="false">
      <c r="A29" s="38" t="n">
        <v>41401</v>
      </c>
      <c r="B29" s="39" t="n">
        <v>1137</v>
      </c>
      <c r="C29" s="40" t="n">
        <v>500000</v>
      </c>
      <c r="D29" s="40" t="n">
        <f aca="false">MAX(D28,C29)</f>
        <v>500000</v>
      </c>
      <c r="E29" s="41" t="n">
        <f aca="false">C29/D29-1</f>
        <v>0</v>
      </c>
      <c r="F29" s="42" t="n">
        <f aca="false">YEAR(A29)</f>
        <v>2013</v>
      </c>
    </row>
    <row r="30" customFormat="false" ht="15" hidden="false" customHeight="false" outlineLevel="0" collapsed="false">
      <c r="A30" s="38" t="n">
        <v>41402</v>
      </c>
      <c r="B30" s="39" t="n">
        <v>1151</v>
      </c>
      <c r="C30" s="40" t="n">
        <v>500000</v>
      </c>
      <c r="D30" s="40" t="n">
        <f aca="false">MAX(D29,C30)</f>
        <v>500000</v>
      </c>
      <c r="E30" s="41" t="n">
        <f aca="false">C30/D30-1</f>
        <v>0</v>
      </c>
      <c r="F30" s="42" t="n">
        <f aca="false">YEAR(A30)</f>
        <v>2013</v>
      </c>
    </row>
    <row r="31" customFormat="false" ht="15" hidden="false" customHeight="false" outlineLevel="0" collapsed="false">
      <c r="A31" s="38" t="n">
        <v>41403</v>
      </c>
      <c r="B31" s="39" t="n">
        <v>1145</v>
      </c>
      <c r="C31" s="40" t="n">
        <v>500000</v>
      </c>
      <c r="D31" s="40" t="n">
        <f aca="false">MAX(D30,C31)</f>
        <v>500000</v>
      </c>
      <c r="E31" s="41" t="n">
        <f aca="false">C31/D31-1</f>
        <v>0</v>
      </c>
      <c r="F31" s="42" t="n">
        <f aca="false">YEAR(A31)</f>
        <v>2013</v>
      </c>
    </row>
    <row r="32" customFormat="false" ht="15" hidden="false" customHeight="false" outlineLevel="0" collapsed="false">
      <c r="A32" s="38" t="n">
        <v>41404</v>
      </c>
      <c r="B32" s="39" t="n">
        <v>1153</v>
      </c>
      <c r="C32" s="40" t="n">
        <v>500000</v>
      </c>
      <c r="D32" s="40" t="n">
        <f aca="false">MAX(D31,C32)</f>
        <v>500000</v>
      </c>
      <c r="E32" s="41" t="n">
        <f aca="false">C32/D32-1</f>
        <v>0</v>
      </c>
      <c r="F32" s="42" t="n">
        <f aca="false">YEAR(A32)</f>
        <v>2013</v>
      </c>
    </row>
    <row r="33" customFormat="false" ht="15" hidden="false" customHeight="false" outlineLevel="0" collapsed="false">
      <c r="A33" s="38" t="n">
        <v>41407</v>
      </c>
      <c r="B33" s="39" t="n">
        <v>1181</v>
      </c>
      <c r="C33" s="40" t="n">
        <v>500000</v>
      </c>
      <c r="D33" s="40" t="n">
        <f aca="false">MAX(D32,C33)</f>
        <v>500000</v>
      </c>
      <c r="E33" s="41" t="n">
        <f aca="false">C33/D33-1</f>
        <v>0</v>
      </c>
      <c r="F33" s="42" t="n">
        <f aca="false">YEAR(A33)</f>
        <v>2013</v>
      </c>
    </row>
    <row r="34" customFormat="false" ht="15" hidden="false" customHeight="false" outlineLevel="0" collapsed="false">
      <c r="A34" s="38" t="n">
        <v>41408</v>
      </c>
      <c r="B34" s="39" t="n">
        <v>1182</v>
      </c>
      <c r="C34" s="40" t="n">
        <v>500000</v>
      </c>
      <c r="D34" s="40" t="n">
        <f aca="false">MAX(D33,C34)</f>
        <v>500000</v>
      </c>
      <c r="E34" s="41" t="n">
        <f aca="false">C34/D34-1</f>
        <v>0</v>
      </c>
      <c r="F34" s="42" t="n">
        <f aca="false">YEAR(A34)</f>
        <v>2013</v>
      </c>
    </row>
    <row r="35" customFormat="false" ht="15" hidden="false" customHeight="false" outlineLevel="0" collapsed="false">
      <c r="A35" s="38" t="n">
        <v>41409</v>
      </c>
      <c r="B35" s="39" t="n">
        <v>1148</v>
      </c>
      <c r="C35" s="40" t="n">
        <v>500000</v>
      </c>
      <c r="D35" s="40" t="n">
        <f aca="false">MAX(D34,C35)</f>
        <v>500000</v>
      </c>
      <c r="E35" s="41" t="n">
        <f aca="false">C35/D35-1</f>
        <v>0</v>
      </c>
      <c r="F35" s="42" t="n">
        <f aca="false">YEAR(A35)</f>
        <v>2013</v>
      </c>
    </row>
    <row r="36" customFormat="false" ht="15" hidden="false" customHeight="false" outlineLevel="0" collapsed="false">
      <c r="A36" s="38" t="n">
        <v>41410</v>
      </c>
      <c r="B36" s="39" t="n">
        <v>1149</v>
      </c>
      <c r="C36" s="40" t="n">
        <v>500000</v>
      </c>
      <c r="D36" s="40" t="n">
        <f aca="false">MAX(D35,C36)</f>
        <v>500000</v>
      </c>
      <c r="E36" s="41" t="n">
        <f aca="false">C36/D36-1</f>
        <v>0</v>
      </c>
      <c r="F36" s="42" t="n">
        <f aca="false">YEAR(A36)</f>
        <v>2013</v>
      </c>
    </row>
    <row r="37" customFormat="false" ht="15" hidden="false" customHeight="false" outlineLevel="0" collapsed="false">
      <c r="A37" s="38" t="n">
        <v>41411</v>
      </c>
      <c r="B37" s="39" t="n">
        <v>1166</v>
      </c>
      <c r="C37" s="40" t="n">
        <v>500000</v>
      </c>
      <c r="D37" s="40" t="n">
        <f aca="false">MAX(D36,C37)</f>
        <v>500000</v>
      </c>
      <c r="E37" s="41" t="n">
        <f aca="false">C37/D37-1</f>
        <v>0</v>
      </c>
      <c r="F37" s="42" t="n">
        <f aca="false">YEAR(A37)</f>
        <v>2013</v>
      </c>
    </row>
    <row r="38" customFormat="false" ht="15" hidden="false" customHeight="false" outlineLevel="0" collapsed="false">
      <c r="A38" s="38" t="n">
        <v>41414</v>
      </c>
      <c r="B38" s="39" t="n">
        <v>1167</v>
      </c>
      <c r="C38" s="40" t="n">
        <v>500000</v>
      </c>
      <c r="D38" s="40" t="n">
        <f aca="false">MAX(D37,C38)</f>
        <v>500000</v>
      </c>
      <c r="E38" s="41" t="n">
        <f aca="false">C38/D38-1</f>
        <v>0</v>
      </c>
      <c r="F38" s="42" t="n">
        <f aca="false">YEAR(A38)</f>
        <v>2013</v>
      </c>
    </row>
    <row r="39" customFormat="false" ht="15" hidden="false" customHeight="false" outlineLevel="0" collapsed="false">
      <c r="A39" s="38" t="n">
        <v>41415</v>
      </c>
      <c r="B39" s="39" t="n">
        <v>1169</v>
      </c>
      <c r="C39" s="40" t="n">
        <v>500000</v>
      </c>
      <c r="D39" s="40" t="n">
        <f aca="false">MAX(D38,C39)</f>
        <v>500000</v>
      </c>
      <c r="E39" s="41" t="n">
        <f aca="false">C39/D39-1</f>
        <v>0</v>
      </c>
      <c r="F39" s="42" t="n">
        <f aca="false">YEAR(A39)</f>
        <v>2013</v>
      </c>
    </row>
    <row r="40" customFormat="false" ht="15" hidden="false" customHeight="false" outlineLevel="0" collapsed="false">
      <c r="A40" s="38" t="n">
        <v>41416</v>
      </c>
      <c r="B40" s="39" t="n">
        <v>1177</v>
      </c>
      <c r="C40" s="40" t="n">
        <v>500000</v>
      </c>
      <c r="D40" s="40" t="n">
        <f aca="false">MAX(D39,C40)</f>
        <v>500000</v>
      </c>
      <c r="E40" s="41" t="n">
        <f aca="false">C40/D40-1</f>
        <v>0</v>
      </c>
      <c r="F40" s="42" t="n">
        <f aca="false">YEAR(A40)</f>
        <v>2013</v>
      </c>
    </row>
    <row r="41" customFormat="false" ht="15" hidden="false" customHeight="false" outlineLevel="0" collapsed="false">
      <c r="A41" s="38" t="n">
        <v>41417</v>
      </c>
      <c r="B41" s="39" t="n">
        <v>1152</v>
      </c>
      <c r="C41" s="40" t="n">
        <v>500000</v>
      </c>
      <c r="D41" s="40" t="n">
        <f aca="false">MAX(D40,C41)</f>
        <v>500000</v>
      </c>
      <c r="E41" s="41" t="n">
        <f aca="false">C41/D41-1</f>
        <v>0</v>
      </c>
      <c r="F41" s="42" t="n">
        <f aca="false">YEAR(A41)</f>
        <v>2013</v>
      </c>
    </row>
    <row r="42" customFormat="false" ht="15" hidden="false" customHeight="false" outlineLevel="0" collapsed="false">
      <c r="A42" s="38" t="n">
        <v>41418</v>
      </c>
      <c r="B42" s="39" t="n">
        <v>1152</v>
      </c>
      <c r="C42" s="40" t="n">
        <v>500000</v>
      </c>
      <c r="D42" s="40" t="n">
        <f aca="false">MAX(D41,C42)</f>
        <v>500000</v>
      </c>
      <c r="E42" s="41" t="n">
        <f aca="false">C42/D42-1</f>
        <v>0</v>
      </c>
      <c r="F42" s="42" t="n">
        <f aca="false">YEAR(A42)</f>
        <v>2013</v>
      </c>
    </row>
    <row r="43" customFormat="false" ht="15" hidden="false" customHeight="false" outlineLevel="0" collapsed="false">
      <c r="A43" s="38" t="n">
        <v>41421</v>
      </c>
      <c r="B43" s="39" t="n">
        <v>1135</v>
      </c>
      <c r="C43" s="40" t="n">
        <v>500000</v>
      </c>
      <c r="D43" s="40" t="n">
        <f aca="false">MAX(D42,C43)</f>
        <v>500000</v>
      </c>
      <c r="E43" s="41" t="n">
        <f aca="false">C43/D43-1</f>
        <v>0</v>
      </c>
      <c r="F43" s="42" t="n">
        <f aca="false">YEAR(A43)</f>
        <v>2013</v>
      </c>
    </row>
    <row r="44" customFormat="false" ht="15" hidden="false" customHeight="false" outlineLevel="0" collapsed="false">
      <c r="A44" s="38" t="n">
        <v>41422</v>
      </c>
      <c r="B44" s="39" t="n">
        <v>1132</v>
      </c>
      <c r="C44" s="40" t="n">
        <v>500000</v>
      </c>
      <c r="D44" s="40" t="n">
        <f aca="false">MAX(D43,C44)</f>
        <v>500000</v>
      </c>
      <c r="E44" s="41" t="n">
        <f aca="false">C44/D44-1</f>
        <v>0</v>
      </c>
      <c r="F44" s="42" t="n">
        <f aca="false">YEAR(A44)</f>
        <v>2013</v>
      </c>
    </row>
    <row r="45" customFormat="false" ht="15" hidden="false" customHeight="false" outlineLevel="0" collapsed="false">
      <c r="A45" s="38" t="n">
        <v>41423</v>
      </c>
      <c r="B45" s="39" t="n">
        <v>1117</v>
      </c>
      <c r="C45" s="40" t="n">
        <v>500000</v>
      </c>
      <c r="D45" s="40" t="n">
        <f aca="false">MAX(D44,C45)</f>
        <v>500000</v>
      </c>
      <c r="E45" s="41" t="n">
        <f aca="false">C45/D45-1</f>
        <v>0</v>
      </c>
      <c r="F45" s="42" t="n">
        <f aca="false">YEAR(A45)</f>
        <v>2013</v>
      </c>
    </row>
    <row r="46" customFormat="false" ht="15" hidden="false" customHeight="false" outlineLevel="0" collapsed="false">
      <c r="A46" s="38" t="n">
        <v>41424</v>
      </c>
      <c r="B46" s="39" t="n">
        <v>1115</v>
      </c>
      <c r="C46" s="40" t="n">
        <v>500000</v>
      </c>
      <c r="D46" s="40" t="n">
        <f aca="false">MAX(D45,C46)</f>
        <v>500000</v>
      </c>
      <c r="E46" s="41" t="n">
        <f aca="false">C46/D46-1</f>
        <v>0</v>
      </c>
      <c r="F46" s="42" t="n">
        <f aca="false">YEAR(A46)</f>
        <v>2013</v>
      </c>
    </row>
    <row r="47" customFormat="false" ht="15" hidden="false" customHeight="false" outlineLevel="0" collapsed="false">
      <c r="A47" s="38" t="n">
        <v>41425</v>
      </c>
      <c r="B47" s="39" t="n">
        <v>1100</v>
      </c>
      <c r="C47" s="40" t="n">
        <v>500000</v>
      </c>
      <c r="D47" s="40" t="n">
        <f aca="false">MAX(D46,C47)</f>
        <v>500000</v>
      </c>
      <c r="E47" s="41" t="n">
        <f aca="false">C47/D47-1</f>
        <v>0</v>
      </c>
      <c r="F47" s="42" t="n">
        <f aca="false">YEAR(A47)</f>
        <v>2013</v>
      </c>
    </row>
    <row r="48" customFormat="false" ht="15" hidden="false" customHeight="false" outlineLevel="0" collapsed="false">
      <c r="A48" s="38" t="n">
        <v>41428</v>
      </c>
      <c r="B48" s="39" t="n">
        <v>1105</v>
      </c>
      <c r="C48" s="40" t="n">
        <v>500000</v>
      </c>
      <c r="D48" s="40" t="n">
        <f aca="false">MAX(D47,C48)</f>
        <v>500000</v>
      </c>
      <c r="E48" s="41" t="n">
        <f aca="false">C48/D48-1</f>
        <v>0</v>
      </c>
      <c r="F48" s="42" t="n">
        <f aca="false">YEAR(A48)</f>
        <v>2013</v>
      </c>
    </row>
    <row r="49" customFormat="false" ht="15" hidden="false" customHeight="false" outlineLevel="0" collapsed="false">
      <c r="A49" s="38" t="n">
        <v>41429</v>
      </c>
      <c r="B49" s="39" t="n">
        <v>1109</v>
      </c>
      <c r="C49" s="40" t="n">
        <v>500000</v>
      </c>
      <c r="D49" s="40" t="n">
        <f aca="false">MAX(D48,C49)</f>
        <v>500000</v>
      </c>
      <c r="E49" s="41" t="n">
        <f aca="false">C49/D49-1</f>
        <v>0</v>
      </c>
      <c r="F49" s="42" t="n">
        <f aca="false">YEAR(A49)</f>
        <v>2013</v>
      </c>
    </row>
    <row r="50" customFormat="false" ht="15" hidden="false" customHeight="false" outlineLevel="0" collapsed="false">
      <c r="A50" s="38" t="n">
        <v>41430</v>
      </c>
      <c r="B50" s="39" t="n">
        <v>1108</v>
      </c>
      <c r="C50" s="40" t="n">
        <v>500000</v>
      </c>
      <c r="D50" s="40" t="n">
        <f aca="false">MAX(D49,C50)</f>
        <v>500000</v>
      </c>
      <c r="E50" s="41" t="n">
        <f aca="false">C50/D50-1</f>
        <v>0</v>
      </c>
      <c r="F50" s="42" t="n">
        <f aca="false">YEAR(A50)</f>
        <v>2013</v>
      </c>
    </row>
    <row r="51" customFormat="false" ht="15" hidden="false" customHeight="false" outlineLevel="0" collapsed="false">
      <c r="A51" s="38" t="n">
        <v>41431</v>
      </c>
      <c r="B51" s="39" t="n">
        <v>1063</v>
      </c>
      <c r="C51" s="40" t="n">
        <v>500000</v>
      </c>
      <c r="D51" s="40" t="n">
        <f aca="false">MAX(D50,C51)</f>
        <v>500000</v>
      </c>
      <c r="E51" s="41" t="n">
        <f aca="false">C51/D51-1</f>
        <v>0</v>
      </c>
      <c r="F51" s="42" t="n">
        <f aca="false">YEAR(A51)</f>
        <v>2013</v>
      </c>
    </row>
    <row r="52" customFormat="false" ht="15" hidden="false" customHeight="false" outlineLevel="0" collapsed="false">
      <c r="A52" s="38" t="n">
        <v>41432</v>
      </c>
      <c r="B52" s="39" t="n">
        <v>1049</v>
      </c>
      <c r="C52" s="40" t="n">
        <v>500000</v>
      </c>
      <c r="D52" s="40" t="n">
        <f aca="false">MAX(D51,C52)</f>
        <v>500000</v>
      </c>
      <c r="E52" s="41" t="n">
        <f aca="false">C52/D52-1</f>
        <v>0</v>
      </c>
      <c r="F52" s="42" t="n">
        <f aca="false">YEAR(A52)</f>
        <v>2013</v>
      </c>
    </row>
    <row r="53" customFormat="false" ht="15" hidden="false" customHeight="false" outlineLevel="0" collapsed="false">
      <c r="A53" s="38" t="n">
        <v>41438</v>
      </c>
      <c r="B53" s="39" t="n">
        <v>1042</v>
      </c>
      <c r="C53" s="40" t="n">
        <v>500000</v>
      </c>
      <c r="D53" s="40" t="n">
        <f aca="false">MAX(D52,C53)</f>
        <v>500000</v>
      </c>
      <c r="E53" s="41" t="n">
        <f aca="false">C53/D53-1</f>
        <v>0</v>
      </c>
      <c r="F53" s="42" t="n">
        <f aca="false">YEAR(A53)</f>
        <v>2013</v>
      </c>
    </row>
    <row r="54" customFormat="false" ht="15" hidden="false" customHeight="false" outlineLevel="0" collapsed="false">
      <c r="A54" s="38" t="n">
        <v>41439</v>
      </c>
      <c r="B54" s="39" t="n">
        <v>1037</v>
      </c>
      <c r="C54" s="40" t="n">
        <v>500000</v>
      </c>
      <c r="D54" s="40" t="n">
        <f aca="false">MAX(D53,C54)</f>
        <v>500000</v>
      </c>
      <c r="E54" s="41" t="n">
        <f aca="false">C54/D54-1</f>
        <v>0</v>
      </c>
      <c r="F54" s="42" t="n">
        <f aca="false">YEAR(A54)</f>
        <v>2013</v>
      </c>
    </row>
    <row r="55" customFormat="false" ht="15" hidden="false" customHeight="false" outlineLevel="0" collapsed="false">
      <c r="A55" s="38" t="n">
        <v>41442</v>
      </c>
      <c r="B55" s="39" t="n">
        <v>1051</v>
      </c>
      <c r="C55" s="40" t="n">
        <v>500000</v>
      </c>
      <c r="D55" s="40" t="n">
        <f aca="false">MAX(D54,C55)</f>
        <v>500000</v>
      </c>
      <c r="E55" s="41" t="n">
        <f aca="false">C55/D55-1</f>
        <v>0</v>
      </c>
      <c r="F55" s="42" t="n">
        <f aca="false">YEAR(A55)</f>
        <v>2013</v>
      </c>
    </row>
    <row r="56" customFormat="false" ht="15" hidden="false" customHeight="false" outlineLevel="0" collapsed="false">
      <c r="A56" s="38" t="n">
        <v>41443</v>
      </c>
      <c r="B56" s="39" t="n">
        <v>1053</v>
      </c>
      <c r="C56" s="40" t="n">
        <v>500000</v>
      </c>
      <c r="D56" s="40" t="n">
        <f aca="false">MAX(D55,C56)</f>
        <v>500000</v>
      </c>
      <c r="E56" s="41" t="n">
        <f aca="false">C56/D56-1</f>
        <v>0</v>
      </c>
      <c r="F56" s="42" t="n">
        <f aca="false">YEAR(A56)</f>
        <v>2013</v>
      </c>
    </row>
    <row r="57" customFormat="false" ht="15" hidden="false" customHeight="false" outlineLevel="0" collapsed="false">
      <c r="A57" s="38" t="n">
        <v>41444</v>
      </c>
      <c r="B57" s="39" t="n">
        <v>1045</v>
      </c>
      <c r="C57" s="40" t="n">
        <v>500000</v>
      </c>
      <c r="D57" s="40" t="n">
        <f aca="false">MAX(D56,C57)</f>
        <v>500000</v>
      </c>
      <c r="E57" s="41" t="n">
        <f aca="false">C57/D57-1</f>
        <v>0</v>
      </c>
      <c r="F57" s="42" t="n">
        <f aca="false">YEAR(A57)</f>
        <v>2013</v>
      </c>
    </row>
    <row r="58" customFormat="false" ht="15" hidden="false" customHeight="false" outlineLevel="0" collapsed="false">
      <c r="A58" s="38" t="n">
        <v>41445</v>
      </c>
      <c r="B58" s="39" t="n">
        <v>1015</v>
      </c>
      <c r="C58" s="40" t="n">
        <v>500000</v>
      </c>
      <c r="D58" s="40" t="n">
        <f aca="false">MAX(D57,C58)</f>
        <v>500000</v>
      </c>
      <c r="E58" s="41" t="n">
        <f aca="false">C58/D58-1</f>
        <v>0</v>
      </c>
      <c r="F58" s="42" t="n">
        <f aca="false">YEAR(A58)</f>
        <v>2013</v>
      </c>
    </row>
    <row r="59" customFormat="false" ht="15" hidden="false" customHeight="false" outlineLevel="0" collapsed="false">
      <c r="A59" s="38" t="n">
        <v>41446</v>
      </c>
      <c r="B59" s="39" t="n">
        <v>1020</v>
      </c>
      <c r="C59" s="40" t="n">
        <v>500000</v>
      </c>
      <c r="D59" s="40" t="n">
        <f aca="false">MAX(D58,C59)</f>
        <v>500000</v>
      </c>
      <c r="E59" s="41" t="n">
        <f aca="false">C59/D59-1</f>
        <v>0</v>
      </c>
      <c r="F59" s="42" t="n">
        <f aca="false">YEAR(A59)</f>
        <v>2013</v>
      </c>
    </row>
    <row r="60" customFormat="false" ht="15" hidden="false" customHeight="false" outlineLevel="0" collapsed="false">
      <c r="A60" s="38" t="n">
        <v>41449</v>
      </c>
      <c r="B60" s="39" t="n">
        <v>1017</v>
      </c>
      <c r="C60" s="40" t="n">
        <v>500000</v>
      </c>
      <c r="D60" s="40" t="n">
        <f aca="false">MAX(D59,C60)</f>
        <v>500000</v>
      </c>
      <c r="E60" s="41" t="n">
        <f aca="false">C60/D60-1</f>
        <v>0</v>
      </c>
      <c r="F60" s="42" t="n">
        <f aca="false">YEAR(A60)</f>
        <v>2013</v>
      </c>
    </row>
    <row r="61" customFormat="false" ht="15" hidden="false" customHeight="false" outlineLevel="0" collapsed="false">
      <c r="A61" s="38" t="n">
        <v>41450</v>
      </c>
      <c r="B61" s="39" t="n">
        <v>1040</v>
      </c>
      <c r="C61" s="40" t="n">
        <v>500000</v>
      </c>
      <c r="D61" s="40" t="n">
        <f aca="false">MAX(D60,C61)</f>
        <v>500000</v>
      </c>
      <c r="E61" s="41" t="n">
        <f aca="false">C61/D61-1</f>
        <v>0</v>
      </c>
      <c r="F61" s="42" t="n">
        <f aca="false">YEAR(A61)</f>
        <v>2013</v>
      </c>
    </row>
    <row r="62" customFormat="false" ht="15" hidden="false" customHeight="false" outlineLevel="0" collapsed="false">
      <c r="A62" s="38" t="n">
        <v>41451</v>
      </c>
      <c r="B62" s="39" t="n">
        <v>1028</v>
      </c>
      <c r="C62" s="40" t="n">
        <v>500000</v>
      </c>
      <c r="D62" s="40" t="n">
        <f aca="false">MAX(D61,C62)</f>
        <v>500000</v>
      </c>
      <c r="E62" s="41" t="n">
        <f aca="false">C62/D62-1</f>
        <v>0</v>
      </c>
      <c r="F62" s="42" t="n">
        <f aca="false">YEAR(A62)</f>
        <v>2013</v>
      </c>
    </row>
    <row r="63" customFormat="false" ht="15" hidden="false" customHeight="false" outlineLevel="0" collapsed="false">
      <c r="A63" s="38" t="n">
        <v>41452</v>
      </c>
      <c r="B63" s="39" t="n">
        <v>1032</v>
      </c>
      <c r="C63" s="40" t="n">
        <v>500000</v>
      </c>
      <c r="D63" s="40" t="n">
        <f aca="false">MAX(D62,C63)</f>
        <v>500000</v>
      </c>
      <c r="E63" s="41" t="n">
        <f aca="false">C63/D63-1</f>
        <v>0</v>
      </c>
      <c r="F63" s="42" t="n">
        <f aca="false">YEAR(A63)</f>
        <v>2013</v>
      </c>
    </row>
    <row r="64" customFormat="false" ht="15" hidden="false" customHeight="false" outlineLevel="0" collapsed="false">
      <c r="A64" s="38" t="n">
        <v>41453</v>
      </c>
      <c r="B64" s="39" t="n">
        <v>1028</v>
      </c>
      <c r="C64" s="40" t="n">
        <v>500000</v>
      </c>
      <c r="D64" s="40" t="n">
        <f aca="false">MAX(D63,C64)</f>
        <v>500000</v>
      </c>
      <c r="E64" s="41" t="n">
        <f aca="false">C64/D64-1</f>
        <v>0</v>
      </c>
      <c r="F64" s="42" t="n">
        <f aca="false">YEAR(A64)</f>
        <v>2013</v>
      </c>
    </row>
    <row r="65" customFormat="false" ht="15" hidden="false" customHeight="false" outlineLevel="0" collapsed="false">
      <c r="A65" s="38" t="n">
        <v>41456</v>
      </c>
      <c r="B65" s="39" t="n">
        <v>1022</v>
      </c>
      <c r="C65" s="40" t="n">
        <v>500000</v>
      </c>
      <c r="D65" s="40" t="n">
        <f aca="false">MAX(D64,C65)</f>
        <v>500000</v>
      </c>
      <c r="E65" s="41" t="n">
        <f aca="false">C65/D65-1</f>
        <v>0</v>
      </c>
      <c r="F65" s="42" t="n">
        <f aca="false">YEAR(A65)</f>
        <v>2013</v>
      </c>
    </row>
    <row r="66" customFormat="false" ht="15" hidden="false" customHeight="false" outlineLevel="0" collapsed="false">
      <c r="A66" s="38" t="n">
        <v>41457</v>
      </c>
      <c r="B66" s="39" t="n">
        <v>1023</v>
      </c>
      <c r="C66" s="40" t="n">
        <v>500000</v>
      </c>
      <c r="D66" s="40" t="n">
        <f aca="false">MAX(D65,C66)</f>
        <v>500000</v>
      </c>
      <c r="E66" s="41" t="n">
        <f aca="false">C66/D66-1</f>
        <v>0</v>
      </c>
      <c r="F66" s="42" t="n">
        <f aca="false">YEAR(A66)</f>
        <v>2013</v>
      </c>
    </row>
    <row r="67" customFormat="false" ht="15" hidden="false" customHeight="false" outlineLevel="0" collapsed="false">
      <c r="A67" s="38" t="n">
        <v>41458</v>
      </c>
      <c r="B67" s="39" t="n">
        <v>1021</v>
      </c>
      <c r="C67" s="40" t="n">
        <v>500000</v>
      </c>
      <c r="D67" s="40" t="n">
        <f aca="false">MAX(D66,C67)</f>
        <v>500000</v>
      </c>
      <c r="E67" s="41" t="n">
        <f aca="false">C67/D67-1</f>
        <v>0</v>
      </c>
      <c r="F67" s="42" t="n">
        <f aca="false">YEAR(A67)</f>
        <v>2013</v>
      </c>
    </row>
    <row r="68" customFormat="false" ht="15" hidden="false" customHeight="false" outlineLevel="0" collapsed="false">
      <c r="A68" s="38" t="n">
        <v>41459</v>
      </c>
      <c r="B68" s="39" t="n">
        <v>1037</v>
      </c>
      <c r="C68" s="40" t="n">
        <v>500000</v>
      </c>
      <c r="D68" s="40" t="n">
        <f aca="false">MAX(D67,C68)</f>
        <v>500000</v>
      </c>
      <c r="E68" s="41" t="n">
        <f aca="false">C68/D68-1</f>
        <v>0</v>
      </c>
      <c r="F68" s="42" t="n">
        <f aca="false">YEAR(A68)</f>
        <v>2013</v>
      </c>
    </row>
    <row r="69" customFormat="false" ht="15" hidden="false" customHeight="false" outlineLevel="0" collapsed="false">
      <c r="A69" s="38" t="n">
        <v>41460</v>
      </c>
      <c r="B69" s="39" t="n">
        <v>1039</v>
      </c>
      <c r="C69" s="40" t="n">
        <v>500000</v>
      </c>
      <c r="D69" s="40" t="n">
        <f aca="false">MAX(D68,C69)</f>
        <v>500000</v>
      </c>
      <c r="E69" s="41" t="n">
        <f aca="false">C69/D69-1</f>
        <v>0</v>
      </c>
      <c r="F69" s="42" t="n">
        <f aca="false">YEAR(A69)</f>
        <v>2013</v>
      </c>
    </row>
    <row r="70" customFormat="false" ht="15" hidden="false" customHeight="false" outlineLevel="0" collapsed="false">
      <c r="A70" s="38" t="n">
        <v>41463</v>
      </c>
      <c r="B70" s="39" t="n">
        <v>1029</v>
      </c>
      <c r="C70" s="40" t="n">
        <v>500000</v>
      </c>
      <c r="D70" s="40" t="n">
        <f aca="false">MAX(D69,C70)</f>
        <v>500000</v>
      </c>
      <c r="E70" s="41" t="n">
        <f aca="false">C70/D70-1</f>
        <v>0</v>
      </c>
      <c r="F70" s="42" t="n">
        <f aca="false">YEAR(A70)</f>
        <v>2013</v>
      </c>
    </row>
    <row r="71" customFormat="false" ht="15" hidden="false" customHeight="false" outlineLevel="0" collapsed="false">
      <c r="A71" s="38" t="n">
        <v>41464</v>
      </c>
      <c r="B71" s="39" t="n">
        <v>1023</v>
      </c>
      <c r="C71" s="40" t="n">
        <v>500000</v>
      </c>
      <c r="D71" s="40" t="n">
        <f aca="false">MAX(D70,C71)</f>
        <v>500000</v>
      </c>
      <c r="E71" s="41" t="n">
        <f aca="false">C71/D71-1</f>
        <v>0</v>
      </c>
      <c r="F71" s="42" t="n">
        <f aca="false">YEAR(A71)</f>
        <v>2013</v>
      </c>
    </row>
    <row r="72" customFormat="false" ht="15" hidden="false" customHeight="false" outlineLevel="0" collapsed="false">
      <c r="A72" s="38" t="n">
        <v>41465</v>
      </c>
      <c r="B72" s="39" t="n">
        <v>1052</v>
      </c>
      <c r="C72" s="40" t="n">
        <v>500000</v>
      </c>
      <c r="D72" s="40" t="n">
        <f aca="false">MAX(D71,C72)</f>
        <v>500000</v>
      </c>
      <c r="E72" s="41" t="n">
        <f aca="false">C72/D72-1</f>
        <v>0</v>
      </c>
      <c r="F72" s="42" t="n">
        <f aca="false">YEAR(A72)</f>
        <v>2013</v>
      </c>
    </row>
    <row r="73" customFormat="false" ht="15" hidden="false" customHeight="false" outlineLevel="0" collapsed="false">
      <c r="A73" s="38" t="n">
        <v>41466</v>
      </c>
      <c r="B73" s="39" t="n">
        <v>1057</v>
      </c>
      <c r="C73" s="40" t="n">
        <v>500000</v>
      </c>
      <c r="D73" s="40" t="n">
        <f aca="false">MAX(D72,C73)</f>
        <v>500000</v>
      </c>
      <c r="E73" s="41" t="n">
        <f aca="false">C73/D73-1</f>
        <v>0</v>
      </c>
      <c r="F73" s="42" t="n">
        <f aca="false">YEAR(A73)</f>
        <v>2013</v>
      </c>
    </row>
    <row r="74" customFormat="false" ht="15" hidden="false" customHeight="false" outlineLevel="0" collapsed="false">
      <c r="A74" s="38" t="n">
        <v>41467</v>
      </c>
      <c r="B74" s="39" t="n">
        <v>1046</v>
      </c>
      <c r="C74" s="40" t="n">
        <v>468115.68</v>
      </c>
      <c r="D74" s="40" t="n">
        <f aca="false">MAX(D73,C74)</f>
        <v>500000</v>
      </c>
      <c r="E74" s="41" t="n">
        <f aca="false">C74/D74-1</f>
        <v>-0.06376864</v>
      </c>
      <c r="F74" s="42" t="n">
        <f aca="false">YEAR(A74)</f>
        <v>2013</v>
      </c>
    </row>
    <row r="75" customFormat="false" ht="15" hidden="false" customHeight="false" outlineLevel="0" collapsed="false">
      <c r="A75" s="38" t="n">
        <v>41470</v>
      </c>
      <c r="B75" s="39" t="n">
        <v>1035</v>
      </c>
      <c r="C75" s="40" t="n">
        <v>446995.68</v>
      </c>
      <c r="D75" s="40" t="n">
        <f aca="false">MAX(D74,C75)</f>
        <v>500000</v>
      </c>
      <c r="E75" s="41" t="n">
        <f aca="false">C75/D75-1</f>
        <v>-0.10600864</v>
      </c>
      <c r="F75" s="42" t="n">
        <f aca="false">YEAR(A75)</f>
        <v>2013</v>
      </c>
    </row>
    <row r="76" customFormat="false" ht="15" hidden="false" customHeight="false" outlineLevel="0" collapsed="false">
      <c r="A76" s="38" t="n">
        <v>41471</v>
      </c>
      <c r="B76" s="39" t="n">
        <v>1039</v>
      </c>
      <c r="C76" s="40" t="n">
        <v>454675.68</v>
      </c>
      <c r="D76" s="40" t="n">
        <f aca="false">MAX(D75,C76)</f>
        <v>500000</v>
      </c>
      <c r="E76" s="41" t="n">
        <f aca="false">C76/D76-1</f>
        <v>-0.0906486400000001</v>
      </c>
      <c r="F76" s="42" t="n">
        <f aca="false">YEAR(A76)</f>
        <v>2013</v>
      </c>
    </row>
    <row r="77" customFormat="false" ht="15" hidden="false" customHeight="false" outlineLevel="0" collapsed="false">
      <c r="A77" s="38" t="n">
        <v>41472</v>
      </c>
      <c r="B77" s="39" t="n">
        <v>1057</v>
      </c>
      <c r="C77" s="40" t="n">
        <v>489235.68</v>
      </c>
      <c r="D77" s="40" t="n">
        <f aca="false">MAX(D76,C77)</f>
        <v>500000</v>
      </c>
      <c r="E77" s="41" t="n">
        <f aca="false">C77/D77-1</f>
        <v>-0.02152864</v>
      </c>
      <c r="F77" s="42" t="n">
        <f aca="false">YEAR(A77)</f>
        <v>2013</v>
      </c>
    </row>
    <row r="78" customFormat="false" ht="15" hidden="false" customHeight="false" outlineLevel="0" collapsed="false">
      <c r="A78" s="38" t="n">
        <v>41473</v>
      </c>
      <c r="B78" s="39" t="n">
        <v>1063</v>
      </c>
      <c r="C78" s="40" t="n">
        <v>500755.68</v>
      </c>
      <c r="D78" s="40" t="n">
        <f aca="false">MAX(D77,C78)</f>
        <v>500755.68</v>
      </c>
      <c r="E78" s="41" t="n">
        <f aca="false">C78/D78-1</f>
        <v>0</v>
      </c>
      <c r="F78" s="42" t="n">
        <f aca="false">YEAR(A78)</f>
        <v>2013</v>
      </c>
    </row>
    <row r="79" customFormat="false" ht="15" hidden="false" customHeight="false" outlineLevel="0" collapsed="false">
      <c r="A79" s="38" t="n">
        <v>41474</v>
      </c>
      <c r="B79" s="39" t="n">
        <v>1065</v>
      </c>
      <c r="C79" s="40" t="n">
        <v>504595.68</v>
      </c>
      <c r="D79" s="40" t="n">
        <f aca="false">MAX(D78,C79)</f>
        <v>504595.68</v>
      </c>
      <c r="E79" s="41" t="n">
        <f aca="false">C79/D79-1</f>
        <v>0</v>
      </c>
      <c r="F79" s="42" t="n">
        <f aca="false">YEAR(A79)</f>
        <v>2013</v>
      </c>
    </row>
    <row r="80" customFormat="false" ht="15" hidden="false" customHeight="false" outlineLevel="0" collapsed="false">
      <c r="A80" s="38" t="n">
        <v>41477</v>
      </c>
      <c r="B80" s="39" t="n">
        <v>1070</v>
      </c>
      <c r="C80" s="40" t="n">
        <v>514195.68</v>
      </c>
      <c r="D80" s="40" t="n">
        <f aca="false">MAX(D79,C80)</f>
        <v>514195.68</v>
      </c>
      <c r="E80" s="41" t="n">
        <f aca="false">C80/D80-1</f>
        <v>0</v>
      </c>
      <c r="F80" s="42" t="n">
        <f aca="false">YEAR(A80)</f>
        <v>2013</v>
      </c>
    </row>
    <row r="81" customFormat="false" ht="15" hidden="false" customHeight="false" outlineLevel="0" collapsed="false">
      <c r="A81" s="38" t="n">
        <v>41478</v>
      </c>
      <c r="B81" s="39" t="n">
        <v>1073</v>
      </c>
      <c r="C81" s="40" t="n">
        <v>519955.68</v>
      </c>
      <c r="D81" s="40" t="n">
        <f aca="false">MAX(D80,C81)</f>
        <v>519955.68</v>
      </c>
      <c r="E81" s="41" t="n">
        <f aca="false">C81/D81-1</f>
        <v>0</v>
      </c>
      <c r="F81" s="42" t="n">
        <f aca="false">YEAR(A81)</f>
        <v>2013</v>
      </c>
    </row>
    <row r="82" customFormat="false" ht="15" hidden="false" customHeight="false" outlineLevel="0" collapsed="false">
      <c r="A82" s="38" t="n">
        <v>41479</v>
      </c>
      <c r="B82" s="39" t="n">
        <v>1067</v>
      </c>
      <c r="C82" s="40" t="n">
        <v>508435.68</v>
      </c>
      <c r="D82" s="40" t="n">
        <f aca="false">MAX(D81,C82)</f>
        <v>519955.68</v>
      </c>
      <c r="E82" s="41" t="n">
        <f aca="false">C82/D82-1</f>
        <v>-0.0221557345041408</v>
      </c>
      <c r="F82" s="42" t="n">
        <f aca="false">YEAR(A82)</f>
        <v>2013</v>
      </c>
    </row>
    <row r="83" customFormat="false" ht="15" hidden="false" customHeight="false" outlineLevel="0" collapsed="false">
      <c r="A83" s="38" t="n">
        <v>41480</v>
      </c>
      <c r="B83" s="39" t="n">
        <v>1065</v>
      </c>
      <c r="C83" s="40" t="n">
        <v>504595.68</v>
      </c>
      <c r="D83" s="40" t="n">
        <f aca="false">MAX(D82,C83)</f>
        <v>519955.68</v>
      </c>
      <c r="E83" s="41" t="n">
        <f aca="false">C83/D83-1</f>
        <v>-0.0295409793388545</v>
      </c>
      <c r="F83" s="42" t="n">
        <f aca="false">YEAR(A83)</f>
        <v>2013</v>
      </c>
    </row>
    <row r="84" customFormat="false" ht="15" hidden="false" customHeight="false" outlineLevel="0" collapsed="false">
      <c r="A84" s="38" t="n">
        <v>41481</v>
      </c>
      <c r="B84" s="39" t="n">
        <v>1060</v>
      </c>
      <c r="C84" s="40" t="n">
        <v>494995.68</v>
      </c>
      <c r="D84" s="40" t="n">
        <f aca="false">MAX(D83,C84)</f>
        <v>519955.68</v>
      </c>
      <c r="E84" s="41" t="n">
        <f aca="false">C84/D84-1</f>
        <v>-0.0480040914256384</v>
      </c>
      <c r="F84" s="42" t="n">
        <f aca="false">YEAR(A84)</f>
        <v>2013</v>
      </c>
    </row>
    <row r="85" customFormat="false" ht="15" hidden="false" customHeight="false" outlineLevel="0" collapsed="false">
      <c r="A85" s="38" t="n">
        <v>41484</v>
      </c>
      <c r="B85" s="39" t="n">
        <v>1046</v>
      </c>
      <c r="C85" s="40" t="n">
        <v>468115.68</v>
      </c>
      <c r="D85" s="40" t="n">
        <f aca="false">MAX(D84,C85)</f>
        <v>519955.68</v>
      </c>
      <c r="E85" s="41" t="n">
        <f aca="false">C85/D85-1</f>
        <v>-0.0997008052686337</v>
      </c>
      <c r="F85" s="42" t="n">
        <f aca="false">YEAR(A85)</f>
        <v>2013</v>
      </c>
    </row>
    <row r="86" customFormat="false" ht="15" hidden="false" customHeight="false" outlineLevel="0" collapsed="false">
      <c r="A86" s="38" t="n">
        <v>41485</v>
      </c>
      <c r="B86" s="39" t="n">
        <v>1047</v>
      </c>
      <c r="C86" s="40" t="n">
        <v>470035.68</v>
      </c>
      <c r="D86" s="40" t="n">
        <f aca="false">MAX(D85,C86)</f>
        <v>519955.68</v>
      </c>
      <c r="E86" s="41" t="n">
        <f aca="false">C86/D86-1</f>
        <v>-0.0960081828512769</v>
      </c>
      <c r="F86" s="42" t="n">
        <f aca="false">YEAR(A86)</f>
        <v>2013</v>
      </c>
    </row>
    <row r="87" customFormat="false" ht="15" hidden="false" customHeight="false" outlineLevel="0" collapsed="false">
      <c r="A87" s="38" t="n">
        <v>41486</v>
      </c>
      <c r="B87" s="39" t="n">
        <v>1052</v>
      </c>
      <c r="C87" s="40" t="n">
        <v>479635.68</v>
      </c>
      <c r="D87" s="40" t="n">
        <f aca="false">MAX(D86,C87)</f>
        <v>519955.68</v>
      </c>
      <c r="E87" s="41" t="n">
        <f aca="false">C87/D87-1</f>
        <v>-0.0775450707644929</v>
      </c>
      <c r="F87" s="42" t="n">
        <f aca="false">YEAR(A87)</f>
        <v>2013</v>
      </c>
    </row>
    <row r="88" customFormat="false" ht="15" hidden="false" customHeight="false" outlineLevel="0" collapsed="false">
      <c r="A88" s="38" t="n">
        <v>41487</v>
      </c>
      <c r="B88" s="39" t="n">
        <v>1064</v>
      </c>
      <c r="C88" s="40" t="n">
        <v>502675.68</v>
      </c>
      <c r="D88" s="40" t="n">
        <f aca="false">MAX(D87,C88)</f>
        <v>519955.68</v>
      </c>
      <c r="E88" s="41" t="n">
        <f aca="false">C88/D88-1</f>
        <v>-0.0332336017562113</v>
      </c>
      <c r="F88" s="42" t="n">
        <f aca="false">YEAR(A88)</f>
        <v>2013</v>
      </c>
    </row>
    <row r="89" customFormat="false" ht="15" hidden="false" customHeight="false" outlineLevel="0" collapsed="false">
      <c r="A89" s="38" t="n">
        <v>41488</v>
      </c>
      <c r="B89" s="39" t="n">
        <v>1073</v>
      </c>
      <c r="C89" s="40" t="n">
        <v>519955.68</v>
      </c>
      <c r="D89" s="40" t="n">
        <f aca="false">MAX(D88,C89)</f>
        <v>519955.68</v>
      </c>
      <c r="E89" s="41" t="n">
        <f aca="false">C89/D89-1</f>
        <v>0</v>
      </c>
      <c r="F89" s="42" t="n">
        <f aca="false">YEAR(A89)</f>
        <v>2013</v>
      </c>
    </row>
    <row r="90" customFormat="false" ht="15" hidden="false" customHeight="false" outlineLevel="0" collapsed="false">
      <c r="A90" s="38" t="n">
        <v>41491</v>
      </c>
      <c r="B90" s="39" t="n">
        <v>1078</v>
      </c>
      <c r="C90" s="40" t="n">
        <v>529555.68</v>
      </c>
      <c r="D90" s="40" t="n">
        <f aca="false">MAX(D89,C90)</f>
        <v>529555.68</v>
      </c>
      <c r="E90" s="41" t="n">
        <f aca="false">C90/D90-1</f>
        <v>0</v>
      </c>
      <c r="F90" s="42" t="n">
        <f aca="false">YEAR(A90)</f>
        <v>2013</v>
      </c>
    </row>
    <row r="91" customFormat="false" ht="15" hidden="false" customHeight="false" outlineLevel="0" collapsed="false">
      <c r="A91" s="38" t="n">
        <v>41492</v>
      </c>
      <c r="B91" s="39" t="n">
        <v>1076</v>
      </c>
      <c r="C91" s="40" t="n">
        <v>525715.68</v>
      </c>
      <c r="D91" s="40" t="n">
        <f aca="false">MAX(D90,C91)</f>
        <v>529555.68</v>
      </c>
      <c r="E91" s="41" t="n">
        <f aca="false">C91/D91-1</f>
        <v>-0.00725136212305377</v>
      </c>
      <c r="F91" s="42" t="n">
        <f aca="false">YEAR(A91)</f>
        <v>2013</v>
      </c>
    </row>
    <row r="92" customFormat="false" ht="15" hidden="false" customHeight="false" outlineLevel="0" collapsed="false">
      <c r="A92" s="38" t="n">
        <v>41493</v>
      </c>
      <c r="B92" s="39" t="n">
        <v>1080</v>
      </c>
      <c r="C92" s="40" t="n">
        <v>533395.68</v>
      </c>
      <c r="D92" s="40" t="n">
        <f aca="false">MAX(D91,C92)</f>
        <v>533395.68</v>
      </c>
      <c r="E92" s="41" t="n">
        <f aca="false">C92/D92-1</f>
        <v>0</v>
      </c>
      <c r="F92" s="42" t="n">
        <f aca="false">YEAR(A92)</f>
        <v>2013</v>
      </c>
    </row>
    <row r="93" customFormat="false" ht="15" hidden="false" customHeight="false" outlineLevel="0" collapsed="false">
      <c r="A93" s="38" t="n">
        <v>41494</v>
      </c>
      <c r="B93" s="39" t="n">
        <v>1106</v>
      </c>
      <c r="C93" s="40" t="n">
        <v>583315.68</v>
      </c>
      <c r="D93" s="40" t="n">
        <f aca="false">MAX(D92,C93)</f>
        <v>583315.68</v>
      </c>
      <c r="E93" s="41" t="n">
        <f aca="false">C93/D93-1</f>
        <v>0</v>
      </c>
      <c r="F93" s="42" t="n">
        <f aca="false">YEAR(A93)</f>
        <v>2013</v>
      </c>
    </row>
    <row r="94" customFormat="false" ht="15" hidden="false" customHeight="false" outlineLevel="0" collapsed="false">
      <c r="A94" s="38" t="n">
        <v>41495</v>
      </c>
      <c r="B94" s="39" t="n">
        <v>1127</v>
      </c>
      <c r="C94" s="40" t="n">
        <v>623635.68</v>
      </c>
      <c r="D94" s="40" t="n">
        <f aca="false">MAX(D93,C94)</f>
        <v>623635.68</v>
      </c>
      <c r="E94" s="41" t="n">
        <f aca="false">C94/D94-1</f>
        <v>0</v>
      </c>
      <c r="F94" s="42" t="n">
        <f aca="false">YEAR(A94)</f>
        <v>2013</v>
      </c>
    </row>
    <row r="95" customFormat="false" ht="15" hidden="false" customHeight="false" outlineLevel="0" collapsed="false">
      <c r="A95" s="38" t="n">
        <v>41498</v>
      </c>
      <c r="B95" s="39" t="n">
        <v>1157</v>
      </c>
      <c r="C95" s="40" t="n">
        <v>681235.68</v>
      </c>
      <c r="D95" s="40" t="n">
        <f aca="false">MAX(D94,C95)</f>
        <v>681235.68</v>
      </c>
      <c r="E95" s="41" t="n">
        <f aca="false">C95/D95-1</f>
        <v>0</v>
      </c>
      <c r="F95" s="42" t="n">
        <f aca="false">YEAR(A95)</f>
        <v>2013</v>
      </c>
    </row>
    <row r="96" customFormat="false" ht="15" hidden="false" customHeight="false" outlineLevel="0" collapsed="false">
      <c r="A96" s="38" t="n">
        <v>41499</v>
      </c>
      <c r="B96" s="39" t="n">
        <v>1170</v>
      </c>
      <c r="C96" s="40" t="n">
        <v>706195.68</v>
      </c>
      <c r="D96" s="40" t="n">
        <f aca="false">MAX(D95,C96)</f>
        <v>706195.68</v>
      </c>
      <c r="E96" s="41" t="n">
        <f aca="false">C96/D96-1</f>
        <v>0</v>
      </c>
      <c r="F96" s="42" t="n">
        <f aca="false">YEAR(A96)</f>
        <v>2013</v>
      </c>
    </row>
    <row r="97" customFormat="false" ht="15" hidden="false" customHeight="false" outlineLevel="0" collapsed="false">
      <c r="A97" s="38" t="n">
        <v>41500</v>
      </c>
      <c r="B97" s="39" t="n">
        <v>1162</v>
      </c>
      <c r="C97" s="40" t="n">
        <v>690835.68</v>
      </c>
      <c r="D97" s="40" t="n">
        <f aca="false">MAX(D96,C97)</f>
        <v>706195.68</v>
      </c>
      <c r="E97" s="41" t="n">
        <f aca="false">C97/D97-1</f>
        <v>-0.0217503454566587</v>
      </c>
      <c r="F97" s="42" t="n">
        <f aca="false">YEAR(A97)</f>
        <v>2013</v>
      </c>
    </row>
    <row r="98" customFormat="false" ht="15" hidden="false" customHeight="false" outlineLevel="0" collapsed="false">
      <c r="A98" s="38" t="n">
        <v>41501</v>
      </c>
      <c r="B98" s="39" t="n">
        <v>1169</v>
      </c>
      <c r="C98" s="40" t="n">
        <v>704275.68</v>
      </c>
      <c r="D98" s="40" t="n">
        <f aca="false">MAX(D97,C98)</f>
        <v>706195.68</v>
      </c>
      <c r="E98" s="41" t="n">
        <f aca="false">C98/D98-1</f>
        <v>-0.00271879318208235</v>
      </c>
      <c r="F98" s="42" t="n">
        <f aca="false">YEAR(A98)</f>
        <v>2013</v>
      </c>
    </row>
    <row r="99" customFormat="false" ht="15" hidden="false" customHeight="false" outlineLevel="0" collapsed="false">
      <c r="A99" s="38" t="n">
        <v>41502</v>
      </c>
      <c r="B99" s="39" t="n">
        <v>1151</v>
      </c>
      <c r="C99" s="40" t="n">
        <v>669715.68</v>
      </c>
      <c r="D99" s="40" t="n">
        <f aca="false">MAX(D98,C99)</f>
        <v>706195.68</v>
      </c>
      <c r="E99" s="41" t="n">
        <f aca="false">C99/D99-1</f>
        <v>-0.0516570704595644</v>
      </c>
      <c r="F99" s="42" t="n">
        <f aca="false">YEAR(A99)</f>
        <v>2013</v>
      </c>
    </row>
    <row r="100" customFormat="false" ht="15" hidden="false" customHeight="false" outlineLevel="0" collapsed="false">
      <c r="A100" s="38" t="n">
        <v>41505</v>
      </c>
      <c r="B100" s="39" t="n">
        <v>1160</v>
      </c>
      <c r="C100" s="40" t="n">
        <v>686995.68</v>
      </c>
      <c r="D100" s="40" t="n">
        <f aca="false">MAX(D99,C100)</f>
        <v>706195.68</v>
      </c>
      <c r="E100" s="41" t="n">
        <f aca="false">C100/D100-1</f>
        <v>-0.0271879318208234</v>
      </c>
      <c r="F100" s="42" t="n">
        <f aca="false">YEAR(A100)</f>
        <v>2013</v>
      </c>
    </row>
    <row r="101" customFormat="false" ht="15" hidden="false" customHeight="false" outlineLevel="0" collapsed="false">
      <c r="A101" s="38" t="n">
        <v>41506</v>
      </c>
      <c r="B101" s="39" t="n">
        <v>1172</v>
      </c>
      <c r="C101" s="40" t="n">
        <v>710035.68</v>
      </c>
      <c r="D101" s="40" t="n">
        <f aca="false">MAX(D100,C101)</f>
        <v>710035.68</v>
      </c>
      <c r="E101" s="41" t="n">
        <f aca="false">C101/D101-1</f>
        <v>0</v>
      </c>
      <c r="F101" s="42" t="n">
        <f aca="false">YEAR(A101)</f>
        <v>2013</v>
      </c>
    </row>
    <row r="102" customFormat="false" ht="15" hidden="false" customHeight="false" outlineLevel="0" collapsed="false">
      <c r="A102" s="38" t="n">
        <v>41507</v>
      </c>
      <c r="B102" s="39" t="n">
        <v>1174</v>
      </c>
      <c r="C102" s="40" t="n">
        <v>713875.68</v>
      </c>
      <c r="D102" s="40" t="n">
        <f aca="false">MAX(D101,C102)</f>
        <v>713875.68</v>
      </c>
      <c r="E102" s="41" t="n">
        <f aca="false">C102/D102-1</f>
        <v>0</v>
      </c>
      <c r="F102" s="42" t="n">
        <f aca="false">YEAR(A102)</f>
        <v>2013</v>
      </c>
    </row>
    <row r="103" customFormat="false" ht="15" hidden="false" customHeight="false" outlineLevel="0" collapsed="false">
      <c r="A103" s="38" t="n">
        <v>41508</v>
      </c>
      <c r="B103" s="39" t="n">
        <v>1171</v>
      </c>
      <c r="C103" s="40" t="n">
        <v>708115.68</v>
      </c>
      <c r="D103" s="40" t="n">
        <f aca="false">MAX(D102,C103)</f>
        <v>713875.68</v>
      </c>
      <c r="E103" s="41" t="n">
        <f aca="false">C103/D103-1</f>
        <v>-0.00806863178193717</v>
      </c>
      <c r="F103" s="42" t="n">
        <f aca="false">YEAR(A103)</f>
        <v>2013</v>
      </c>
    </row>
    <row r="104" customFormat="false" ht="15" hidden="false" customHeight="false" outlineLevel="0" collapsed="false">
      <c r="A104" s="38" t="n">
        <v>41509</v>
      </c>
      <c r="B104" s="39" t="n">
        <v>1189</v>
      </c>
      <c r="C104" s="40" t="n">
        <v>742675.68</v>
      </c>
      <c r="D104" s="40" t="n">
        <f aca="false">MAX(D103,C104)</f>
        <v>742675.68</v>
      </c>
      <c r="E104" s="41" t="n">
        <f aca="false">C104/D104-1</f>
        <v>0</v>
      </c>
      <c r="F104" s="42" t="n">
        <f aca="false">YEAR(A104)</f>
        <v>2013</v>
      </c>
    </row>
    <row r="105" customFormat="false" ht="15" hidden="false" customHeight="false" outlineLevel="0" collapsed="false">
      <c r="A105" s="38" t="n">
        <v>41512</v>
      </c>
      <c r="B105" s="39" t="n">
        <v>1199</v>
      </c>
      <c r="C105" s="40" t="n">
        <v>761875.68</v>
      </c>
      <c r="D105" s="40" t="n">
        <f aca="false">MAX(D104,C105)</f>
        <v>761875.68</v>
      </c>
      <c r="E105" s="41" t="n">
        <f aca="false">C105/D105-1</f>
        <v>0</v>
      </c>
      <c r="F105" s="42" t="n">
        <f aca="false">YEAR(A105)</f>
        <v>2013</v>
      </c>
    </row>
    <row r="106" customFormat="false" ht="15" hidden="false" customHeight="false" outlineLevel="0" collapsed="false">
      <c r="A106" s="38" t="n">
        <v>41513</v>
      </c>
      <c r="B106" s="39" t="n">
        <v>1186</v>
      </c>
      <c r="C106" s="40" t="n">
        <v>736915.68</v>
      </c>
      <c r="D106" s="40" t="n">
        <f aca="false">MAX(D105,C106)</f>
        <v>761875.68</v>
      </c>
      <c r="E106" s="41" t="n">
        <f aca="false">C106/D106-1</f>
        <v>-0.0327612504969315</v>
      </c>
      <c r="F106" s="42" t="n">
        <f aca="false">YEAR(A106)</f>
        <v>2013</v>
      </c>
    </row>
    <row r="107" customFormat="false" ht="15" hidden="false" customHeight="false" outlineLevel="0" collapsed="false">
      <c r="A107" s="38" t="n">
        <v>41514</v>
      </c>
      <c r="B107" s="39" t="n">
        <v>1144</v>
      </c>
      <c r="C107" s="40" t="n">
        <v>656275.68</v>
      </c>
      <c r="D107" s="40" t="n">
        <f aca="false">MAX(D106,C107)</f>
        <v>761875.68</v>
      </c>
      <c r="E107" s="41" t="n">
        <f aca="false">C107/D107-1</f>
        <v>-0.138605290563941</v>
      </c>
      <c r="F107" s="42" t="n">
        <f aca="false">YEAR(A107)</f>
        <v>2013</v>
      </c>
    </row>
    <row r="108" customFormat="false" ht="15" hidden="false" customHeight="false" outlineLevel="0" collapsed="false">
      <c r="A108" s="38" t="n">
        <v>41515</v>
      </c>
      <c r="B108" s="39" t="n">
        <v>1139</v>
      </c>
      <c r="C108" s="40" t="n">
        <v>646675.68</v>
      </c>
      <c r="D108" s="40" t="n">
        <f aca="false">MAX(D107,C108)</f>
        <v>761875.68</v>
      </c>
      <c r="E108" s="41" t="n">
        <f aca="false">C108/D108-1</f>
        <v>-0.151205771524299</v>
      </c>
      <c r="F108" s="42" t="n">
        <f aca="false">YEAR(A108)</f>
        <v>2013</v>
      </c>
    </row>
    <row r="109" customFormat="false" ht="15" hidden="false" customHeight="false" outlineLevel="0" collapsed="false">
      <c r="A109" s="38" t="n">
        <v>41516</v>
      </c>
      <c r="B109" s="39" t="n">
        <v>1138</v>
      </c>
      <c r="C109" s="40" t="n">
        <v>644755.68</v>
      </c>
      <c r="D109" s="40" t="n">
        <f aca="false">MAX(D108,C109)</f>
        <v>761875.68</v>
      </c>
      <c r="E109" s="41" t="n">
        <f aca="false">C109/D109-1</f>
        <v>-0.153725867716371</v>
      </c>
      <c r="F109" s="42" t="n">
        <f aca="false">YEAR(A109)</f>
        <v>2013</v>
      </c>
    </row>
    <row r="110" customFormat="false" ht="15" hidden="false" customHeight="false" outlineLevel="0" collapsed="false">
      <c r="A110" s="38" t="n">
        <v>41519</v>
      </c>
      <c r="B110" s="39" t="n">
        <v>1171</v>
      </c>
      <c r="C110" s="40" t="n">
        <v>708115.68</v>
      </c>
      <c r="D110" s="40" t="n">
        <f aca="false">MAX(D109,C110)</f>
        <v>761875.68</v>
      </c>
      <c r="E110" s="41" t="n">
        <f aca="false">C110/D110-1</f>
        <v>-0.0705626933780063</v>
      </c>
      <c r="F110" s="42" t="n">
        <f aca="false">YEAR(A110)</f>
        <v>2013</v>
      </c>
    </row>
    <row r="111" customFormat="false" ht="15" hidden="false" customHeight="false" outlineLevel="0" collapsed="false">
      <c r="A111" s="38" t="n">
        <v>41520</v>
      </c>
      <c r="B111" s="39" t="n">
        <v>1165</v>
      </c>
      <c r="C111" s="40" t="n">
        <v>696595.68</v>
      </c>
      <c r="D111" s="40" t="n">
        <f aca="false">MAX(D110,C111)</f>
        <v>761875.68</v>
      </c>
      <c r="E111" s="41" t="n">
        <f aca="false">C111/D111-1</f>
        <v>-0.0856832705304361</v>
      </c>
      <c r="F111" s="42" t="n">
        <f aca="false">YEAR(A111)</f>
        <v>2013</v>
      </c>
    </row>
    <row r="112" customFormat="false" ht="15" hidden="false" customHeight="false" outlineLevel="0" collapsed="false">
      <c r="A112" s="38" t="n">
        <v>41521</v>
      </c>
      <c r="B112" s="39" t="n">
        <v>1160</v>
      </c>
      <c r="C112" s="40" t="n">
        <v>686995.68</v>
      </c>
      <c r="D112" s="40" t="n">
        <f aca="false">MAX(D111,C112)</f>
        <v>761875.68</v>
      </c>
      <c r="E112" s="41" t="n">
        <f aca="false">C112/D112-1</f>
        <v>-0.0982837514907944</v>
      </c>
      <c r="F112" s="42" t="n">
        <f aca="false">YEAR(A112)</f>
        <v>2013</v>
      </c>
    </row>
    <row r="113" customFormat="false" ht="15" hidden="false" customHeight="false" outlineLevel="0" collapsed="false">
      <c r="A113" s="38" t="n">
        <v>41522</v>
      </c>
      <c r="B113" s="39" t="n">
        <v>1170</v>
      </c>
      <c r="C113" s="40" t="n">
        <v>706195.68</v>
      </c>
      <c r="D113" s="40" t="n">
        <f aca="false">MAX(D112,C113)</f>
        <v>761875.68</v>
      </c>
      <c r="E113" s="41" t="n">
        <f aca="false">C113/D113-1</f>
        <v>-0.0730827895700779</v>
      </c>
      <c r="F113" s="42" t="n">
        <f aca="false">YEAR(A113)</f>
        <v>2013</v>
      </c>
    </row>
    <row r="114" customFormat="false" ht="15" hidden="false" customHeight="false" outlineLevel="0" collapsed="false">
      <c r="A114" s="38" t="n">
        <v>41523</v>
      </c>
      <c r="B114" s="39" t="n">
        <v>1162</v>
      </c>
      <c r="C114" s="40" t="n">
        <v>690835.68</v>
      </c>
      <c r="D114" s="40" t="n">
        <f aca="false">MAX(D113,C114)</f>
        <v>761875.68</v>
      </c>
      <c r="E114" s="41" t="n">
        <f aca="false">C114/D114-1</f>
        <v>-0.0932435591066511</v>
      </c>
      <c r="F114" s="42" t="n">
        <f aca="false">YEAR(A114)</f>
        <v>2013</v>
      </c>
    </row>
    <row r="115" customFormat="false" ht="15" hidden="false" customHeight="false" outlineLevel="0" collapsed="false">
      <c r="A115" s="38" t="n">
        <v>41526</v>
      </c>
      <c r="B115" s="39" t="n">
        <v>1173</v>
      </c>
      <c r="C115" s="40" t="n">
        <v>711955.68</v>
      </c>
      <c r="D115" s="40" t="n">
        <f aca="false">MAX(D114,C115)</f>
        <v>761875.68</v>
      </c>
      <c r="E115" s="41" t="n">
        <f aca="false">C115/D115-1</f>
        <v>-0.0655225009938629</v>
      </c>
      <c r="F115" s="42" t="n">
        <f aca="false">YEAR(A115)</f>
        <v>2013</v>
      </c>
    </row>
    <row r="116" customFormat="false" ht="15" hidden="false" customHeight="false" outlineLevel="0" collapsed="false">
      <c r="A116" s="38" t="n">
        <v>41527</v>
      </c>
      <c r="B116" s="39" t="n">
        <v>1163</v>
      </c>
      <c r="C116" s="40" t="n">
        <v>692755.68</v>
      </c>
      <c r="D116" s="40" t="n">
        <f aca="false">MAX(D115,C116)</f>
        <v>761875.68</v>
      </c>
      <c r="E116" s="41" t="n">
        <f aca="false">C116/D116-1</f>
        <v>-0.0907234629145794</v>
      </c>
      <c r="F116" s="42" t="n">
        <f aca="false">YEAR(A116)</f>
        <v>2013</v>
      </c>
    </row>
    <row r="117" customFormat="false" ht="15" hidden="false" customHeight="false" outlineLevel="0" collapsed="false">
      <c r="A117" s="38" t="n">
        <v>41528</v>
      </c>
      <c r="B117" s="39" t="n">
        <v>1164</v>
      </c>
      <c r="C117" s="40" t="n">
        <v>694675.68</v>
      </c>
      <c r="D117" s="40" t="n">
        <f aca="false">MAX(D116,C117)</f>
        <v>761875.68</v>
      </c>
      <c r="E117" s="41" t="n">
        <f aca="false">C117/D117-1</f>
        <v>-0.0882033667225078</v>
      </c>
      <c r="F117" s="42" t="n">
        <f aca="false">YEAR(A117)</f>
        <v>2013</v>
      </c>
    </row>
    <row r="118" customFormat="false" ht="15" hidden="false" customHeight="false" outlineLevel="0" collapsed="false">
      <c r="A118" s="38" t="n">
        <v>41529</v>
      </c>
      <c r="B118" s="39" t="n">
        <v>1152</v>
      </c>
      <c r="C118" s="40" t="n">
        <v>671635.68</v>
      </c>
      <c r="D118" s="40" t="n">
        <f aca="false">MAX(D117,C118)</f>
        <v>761875.68</v>
      </c>
      <c r="E118" s="41" t="n">
        <f aca="false">C118/D118-1</f>
        <v>-0.118444521027368</v>
      </c>
      <c r="F118" s="42" t="n">
        <f aca="false">YEAR(A118)</f>
        <v>2013</v>
      </c>
    </row>
    <row r="119" customFormat="false" ht="15" hidden="false" customHeight="false" outlineLevel="0" collapsed="false">
      <c r="A119" s="38" t="n">
        <v>41530</v>
      </c>
      <c r="B119" s="39" t="n">
        <v>1140</v>
      </c>
      <c r="C119" s="40" t="n">
        <v>648595.68</v>
      </c>
      <c r="D119" s="40" t="n">
        <f aca="false">MAX(D118,C119)</f>
        <v>761875.68</v>
      </c>
      <c r="E119" s="41" t="n">
        <f aca="false">C119/D119-1</f>
        <v>-0.148685675332227</v>
      </c>
      <c r="F119" s="42" t="n">
        <f aca="false">YEAR(A119)</f>
        <v>2013</v>
      </c>
    </row>
    <row r="120" customFormat="false" ht="15" hidden="false" customHeight="false" outlineLevel="0" collapsed="false">
      <c r="A120" s="38" t="n">
        <v>41533</v>
      </c>
      <c r="B120" s="39" t="n">
        <v>1142</v>
      </c>
      <c r="C120" s="40" t="n">
        <v>655095.81</v>
      </c>
      <c r="D120" s="40" t="n">
        <f aca="false">MAX(D119,C120)</f>
        <v>761875.68</v>
      </c>
      <c r="E120" s="41" t="n">
        <f aca="false">C120/D120-1</f>
        <v>-0.140153929050472</v>
      </c>
      <c r="F120" s="42" t="n">
        <f aca="false">YEAR(A120)</f>
        <v>2013</v>
      </c>
    </row>
    <row r="121" customFormat="false" ht="15" hidden="false" customHeight="false" outlineLevel="0" collapsed="false">
      <c r="A121" s="38" t="n">
        <v>41534</v>
      </c>
      <c r="B121" s="39" t="n">
        <v>1150</v>
      </c>
      <c r="C121" s="40" t="n">
        <v>655095.81</v>
      </c>
      <c r="D121" s="40" t="n">
        <f aca="false">MAX(D120,C121)</f>
        <v>761875.68</v>
      </c>
      <c r="E121" s="41" t="n">
        <f aca="false">C121/D121-1</f>
        <v>-0.140153929050472</v>
      </c>
      <c r="F121" s="42" t="n">
        <f aca="false">YEAR(A121)</f>
        <v>2013</v>
      </c>
    </row>
    <row r="122" customFormat="false" ht="15" hidden="false" customHeight="false" outlineLevel="0" collapsed="false">
      <c r="A122" s="38" t="n">
        <v>41535</v>
      </c>
      <c r="B122" s="39" t="n">
        <v>1168</v>
      </c>
      <c r="C122" s="40" t="n">
        <v>655095.81</v>
      </c>
      <c r="D122" s="40" t="n">
        <f aca="false">MAX(D121,C122)</f>
        <v>761875.68</v>
      </c>
      <c r="E122" s="41" t="n">
        <f aca="false">C122/D122-1</f>
        <v>-0.140153929050472</v>
      </c>
      <c r="F122" s="42" t="n">
        <f aca="false">YEAR(A122)</f>
        <v>2013</v>
      </c>
    </row>
    <row r="123" customFormat="false" ht="15" hidden="false" customHeight="false" outlineLevel="0" collapsed="false">
      <c r="A123" s="38" t="n">
        <v>41540</v>
      </c>
      <c r="B123" s="39" t="n">
        <v>1179</v>
      </c>
      <c r="C123" s="40" t="n">
        <v>655095.81</v>
      </c>
      <c r="D123" s="40" t="n">
        <f aca="false">MAX(D122,C123)</f>
        <v>761875.68</v>
      </c>
      <c r="E123" s="41" t="n">
        <f aca="false">C123/D123-1</f>
        <v>-0.140153929050472</v>
      </c>
      <c r="F123" s="42" t="n">
        <f aca="false">YEAR(A123)</f>
        <v>2013</v>
      </c>
    </row>
    <row r="124" customFormat="false" ht="15" hidden="false" customHeight="false" outlineLevel="0" collapsed="false">
      <c r="A124" s="38" t="n">
        <v>41541</v>
      </c>
      <c r="B124" s="39" t="n">
        <v>1171</v>
      </c>
      <c r="C124" s="40" t="n">
        <v>655095.81</v>
      </c>
      <c r="D124" s="40" t="n">
        <f aca="false">MAX(D123,C124)</f>
        <v>761875.68</v>
      </c>
      <c r="E124" s="41" t="n">
        <f aca="false">C124/D124-1</f>
        <v>-0.140153929050472</v>
      </c>
      <c r="F124" s="42" t="n">
        <f aca="false">YEAR(A124)</f>
        <v>2013</v>
      </c>
    </row>
    <row r="125" customFormat="false" ht="15" hidden="false" customHeight="false" outlineLevel="0" collapsed="false">
      <c r="A125" s="38" t="n">
        <v>41542</v>
      </c>
      <c r="B125" s="39" t="n">
        <v>1176</v>
      </c>
      <c r="C125" s="40" t="n">
        <v>655095.81</v>
      </c>
      <c r="D125" s="40" t="n">
        <f aca="false">MAX(D124,C125)</f>
        <v>761875.68</v>
      </c>
      <c r="E125" s="41" t="n">
        <f aca="false">C125/D125-1</f>
        <v>-0.140153929050472</v>
      </c>
      <c r="F125" s="42" t="n">
        <f aca="false">YEAR(A125)</f>
        <v>2013</v>
      </c>
    </row>
    <row r="126" customFormat="false" ht="15" hidden="false" customHeight="false" outlineLevel="0" collapsed="false">
      <c r="A126" s="38" t="n">
        <v>41543</v>
      </c>
      <c r="B126" s="39" t="n">
        <v>1172</v>
      </c>
      <c r="C126" s="40" t="n">
        <v>655095.81</v>
      </c>
      <c r="D126" s="40" t="n">
        <f aca="false">MAX(D125,C126)</f>
        <v>761875.68</v>
      </c>
      <c r="E126" s="41" t="n">
        <f aca="false">C126/D126-1</f>
        <v>-0.140153929050472</v>
      </c>
      <c r="F126" s="42" t="n">
        <f aca="false">YEAR(A126)</f>
        <v>2013</v>
      </c>
    </row>
    <row r="127" customFormat="false" ht="15" hidden="false" customHeight="false" outlineLevel="0" collapsed="false">
      <c r="A127" s="38" t="n">
        <v>41544</v>
      </c>
      <c r="B127" s="39" t="n">
        <v>1154</v>
      </c>
      <c r="C127" s="40" t="n">
        <v>655095.81</v>
      </c>
      <c r="D127" s="40" t="n">
        <f aca="false">MAX(D126,C127)</f>
        <v>761875.68</v>
      </c>
      <c r="E127" s="41" t="n">
        <f aca="false">C127/D127-1</f>
        <v>-0.140153929050472</v>
      </c>
      <c r="F127" s="42" t="n">
        <f aca="false">YEAR(A127)</f>
        <v>2013</v>
      </c>
    </row>
    <row r="128" customFormat="false" ht="15" hidden="false" customHeight="false" outlineLevel="0" collapsed="false">
      <c r="A128" s="38" t="n">
        <v>41547</v>
      </c>
      <c r="B128" s="39" t="n">
        <v>1148</v>
      </c>
      <c r="C128" s="40" t="n">
        <v>655095.81</v>
      </c>
      <c r="D128" s="40" t="n">
        <f aca="false">MAX(D127,C128)</f>
        <v>761875.68</v>
      </c>
      <c r="E128" s="41" t="n">
        <f aca="false">C128/D128-1</f>
        <v>-0.140153929050472</v>
      </c>
      <c r="F128" s="42" t="n">
        <f aca="false">YEAR(A128)</f>
        <v>2013</v>
      </c>
    </row>
    <row r="129" customFormat="false" ht="15" hidden="false" customHeight="false" outlineLevel="0" collapsed="false">
      <c r="A129" s="38" t="n">
        <v>41555</v>
      </c>
      <c r="B129" s="39" t="n">
        <v>1149</v>
      </c>
      <c r="C129" s="40" t="n">
        <v>655996.43</v>
      </c>
      <c r="D129" s="40" t="n">
        <f aca="false">MAX(D128,C129)</f>
        <v>761875.68</v>
      </c>
      <c r="E129" s="41" t="n">
        <f aca="false">C129/D129-1</f>
        <v>-0.138971820179376</v>
      </c>
      <c r="F129" s="42" t="n">
        <f aca="false">YEAR(A129)</f>
        <v>2013</v>
      </c>
    </row>
    <row r="130" customFormat="false" ht="15" hidden="false" customHeight="false" outlineLevel="0" collapsed="false">
      <c r="A130" s="38" t="n">
        <v>41556</v>
      </c>
      <c r="B130" s="39" t="n">
        <v>1138</v>
      </c>
      <c r="C130" s="40" t="n">
        <v>681736.43</v>
      </c>
      <c r="D130" s="40" t="n">
        <f aca="false">MAX(D129,C130)</f>
        <v>761875.68</v>
      </c>
      <c r="E130" s="41" t="n">
        <f aca="false">C130/D130-1</f>
        <v>-0.105186780604416</v>
      </c>
      <c r="F130" s="42" t="n">
        <f aca="false">YEAR(A130)</f>
        <v>2013</v>
      </c>
    </row>
    <row r="131" customFormat="false" ht="15" hidden="false" customHeight="false" outlineLevel="0" collapsed="false">
      <c r="A131" s="38" t="n">
        <v>41557</v>
      </c>
      <c r="B131" s="39" t="n">
        <v>1142</v>
      </c>
      <c r="C131" s="40" t="n">
        <v>672376.43</v>
      </c>
      <c r="D131" s="40" t="n">
        <f aca="false">MAX(D130,C131)</f>
        <v>761875.68</v>
      </c>
      <c r="E131" s="41" t="n">
        <f aca="false">C131/D131-1</f>
        <v>-0.117472249540765</v>
      </c>
      <c r="F131" s="42" t="n">
        <f aca="false">YEAR(A131)</f>
        <v>2013</v>
      </c>
    </row>
    <row r="132" customFormat="false" ht="15" hidden="false" customHeight="false" outlineLevel="0" collapsed="false">
      <c r="A132" s="38" t="n">
        <v>41558</v>
      </c>
      <c r="B132" s="39" t="n">
        <v>1137</v>
      </c>
      <c r="C132" s="40" t="n">
        <v>684076.43</v>
      </c>
      <c r="D132" s="40" t="n">
        <f aca="false">MAX(D131,C132)</f>
        <v>761875.68</v>
      </c>
      <c r="E132" s="41" t="n">
        <f aca="false">C132/D132-1</f>
        <v>-0.102115413370328</v>
      </c>
      <c r="F132" s="42" t="n">
        <f aca="false">YEAR(A132)</f>
        <v>2013</v>
      </c>
    </row>
    <row r="133" customFormat="false" ht="15" hidden="false" customHeight="false" outlineLevel="0" collapsed="false">
      <c r="A133" s="38" t="n">
        <v>41561</v>
      </c>
      <c r="B133" s="39" t="n">
        <v>1162</v>
      </c>
      <c r="C133" s="40" t="n">
        <v>625576.43</v>
      </c>
      <c r="D133" s="40" t="n">
        <f aca="false">MAX(D132,C133)</f>
        <v>761875.68</v>
      </c>
      <c r="E133" s="41" t="n">
        <f aca="false">C133/D133-1</f>
        <v>-0.178899594222511</v>
      </c>
      <c r="F133" s="42" t="n">
        <f aca="false">YEAR(A133)</f>
        <v>2013</v>
      </c>
    </row>
    <row r="134" customFormat="false" ht="15" hidden="false" customHeight="false" outlineLevel="0" collapsed="false">
      <c r="A134" s="38" t="n">
        <v>41562</v>
      </c>
      <c r="B134" s="39" t="n">
        <v>1155</v>
      </c>
      <c r="C134" s="40" t="n">
        <v>641956.43</v>
      </c>
      <c r="D134" s="40" t="n">
        <f aca="false">MAX(D133,C134)</f>
        <v>761875.68</v>
      </c>
      <c r="E134" s="41" t="n">
        <f aca="false">C134/D134-1</f>
        <v>-0.1574000235839</v>
      </c>
      <c r="F134" s="42" t="n">
        <f aca="false">YEAR(A134)</f>
        <v>2013</v>
      </c>
    </row>
    <row r="135" customFormat="false" ht="15" hidden="false" customHeight="false" outlineLevel="0" collapsed="false">
      <c r="A135" s="38" t="n">
        <v>41563</v>
      </c>
      <c r="B135" s="39" t="n">
        <v>1146</v>
      </c>
      <c r="C135" s="40" t="n">
        <v>663016.43</v>
      </c>
      <c r="D135" s="40" t="n">
        <f aca="false">MAX(D134,C135)</f>
        <v>761875.68</v>
      </c>
      <c r="E135" s="41" t="n">
        <f aca="false">C135/D135-1</f>
        <v>-0.129757718477114</v>
      </c>
      <c r="F135" s="42" t="n">
        <f aca="false">YEAR(A135)</f>
        <v>2013</v>
      </c>
    </row>
    <row r="136" customFormat="false" ht="15" hidden="false" customHeight="false" outlineLevel="0" collapsed="false">
      <c r="A136" s="38" t="n">
        <v>41564</v>
      </c>
      <c r="B136" s="39" t="n">
        <v>1145</v>
      </c>
      <c r="C136" s="40" t="n">
        <v>665356.43</v>
      </c>
      <c r="D136" s="40" t="n">
        <f aca="false">MAX(D135,C136)</f>
        <v>761875.68</v>
      </c>
      <c r="E136" s="41" t="n">
        <f aca="false">C136/D136-1</f>
        <v>-0.126686351243027</v>
      </c>
      <c r="F136" s="42" t="n">
        <f aca="false">YEAR(A136)</f>
        <v>2013</v>
      </c>
    </row>
    <row r="137" customFormat="false" ht="15" hidden="false" customHeight="false" outlineLevel="0" collapsed="false">
      <c r="A137" s="38" t="n">
        <v>41565</v>
      </c>
      <c r="B137" s="39" t="n">
        <v>1146</v>
      </c>
      <c r="C137" s="40" t="n">
        <v>663016.43</v>
      </c>
      <c r="D137" s="40" t="n">
        <f aca="false">MAX(D136,C137)</f>
        <v>761875.68</v>
      </c>
      <c r="E137" s="41" t="n">
        <f aca="false">C137/D137-1</f>
        <v>-0.129757718477114</v>
      </c>
      <c r="F137" s="42" t="n">
        <f aca="false">YEAR(A137)</f>
        <v>2013</v>
      </c>
    </row>
    <row r="138" customFormat="false" ht="15" hidden="false" customHeight="false" outlineLevel="0" collapsed="false">
      <c r="A138" s="38" t="n">
        <v>41568</v>
      </c>
      <c r="B138" s="39" t="n">
        <v>1164</v>
      </c>
      <c r="C138" s="40" t="n">
        <v>620896.43</v>
      </c>
      <c r="D138" s="40" t="n">
        <f aca="false">MAX(D137,C138)</f>
        <v>761875.68</v>
      </c>
      <c r="E138" s="41" t="n">
        <f aca="false">C138/D138-1</f>
        <v>-0.185042328690686</v>
      </c>
      <c r="F138" s="42" t="n">
        <f aca="false">YEAR(A138)</f>
        <v>2013</v>
      </c>
    </row>
    <row r="139" customFormat="false" ht="15" hidden="false" customHeight="false" outlineLevel="0" collapsed="false">
      <c r="A139" s="38" t="n">
        <v>41569</v>
      </c>
      <c r="B139" s="39" t="n">
        <v>1150</v>
      </c>
      <c r="C139" s="40" t="n">
        <v>653656.43</v>
      </c>
      <c r="D139" s="40" t="n">
        <f aca="false">MAX(D138,C139)</f>
        <v>761875.68</v>
      </c>
      <c r="E139" s="41" t="n">
        <f aca="false">C139/D139-1</f>
        <v>-0.142043187413464</v>
      </c>
      <c r="F139" s="42" t="n">
        <f aca="false">YEAR(A139)</f>
        <v>2013</v>
      </c>
    </row>
    <row r="140" customFormat="false" ht="15" hidden="false" customHeight="false" outlineLevel="0" collapsed="false">
      <c r="A140" s="38" t="n">
        <v>41570</v>
      </c>
      <c r="B140" s="39" t="n">
        <v>1140</v>
      </c>
      <c r="C140" s="40" t="n">
        <v>677056.43</v>
      </c>
      <c r="D140" s="40" t="n">
        <f aca="false">MAX(D139,C140)</f>
        <v>761875.68</v>
      </c>
      <c r="E140" s="41" t="n">
        <f aca="false">C140/D140-1</f>
        <v>-0.11132951507259</v>
      </c>
      <c r="F140" s="42" t="n">
        <f aca="false">YEAR(A140)</f>
        <v>2013</v>
      </c>
    </row>
    <row r="141" customFormat="false" ht="15" hidden="false" customHeight="false" outlineLevel="0" collapsed="false">
      <c r="A141" s="38" t="n">
        <v>41571</v>
      </c>
      <c r="B141" s="39" t="n">
        <v>1121</v>
      </c>
      <c r="C141" s="40" t="n">
        <v>721516.43</v>
      </c>
      <c r="D141" s="40" t="n">
        <f aca="false">MAX(D140,C141)</f>
        <v>761875.68</v>
      </c>
      <c r="E141" s="41" t="n">
        <f aca="false">C141/D141-1</f>
        <v>-0.0529735376249312</v>
      </c>
      <c r="F141" s="42" t="n">
        <f aca="false">YEAR(A141)</f>
        <v>2013</v>
      </c>
    </row>
    <row r="142" customFormat="false" ht="15" hidden="false" customHeight="false" outlineLevel="0" collapsed="false">
      <c r="A142" s="38" t="n">
        <v>41572</v>
      </c>
      <c r="B142" s="39" t="n">
        <v>1113</v>
      </c>
      <c r="C142" s="40" t="n">
        <v>740236.43</v>
      </c>
      <c r="D142" s="40" t="n">
        <f aca="false">MAX(D141,C142)</f>
        <v>761875.68</v>
      </c>
      <c r="E142" s="41" t="n">
        <f aca="false">C142/D142-1</f>
        <v>-0.0284025997522326</v>
      </c>
      <c r="F142" s="42" t="n">
        <f aca="false">YEAR(A142)</f>
        <v>2013</v>
      </c>
    </row>
    <row r="143" customFormat="false" ht="15" hidden="false" customHeight="false" outlineLevel="0" collapsed="false">
      <c r="A143" s="38" t="n">
        <v>41575</v>
      </c>
      <c r="B143" s="39" t="n">
        <v>1118</v>
      </c>
      <c r="C143" s="40" t="n">
        <v>728536.43</v>
      </c>
      <c r="D143" s="40" t="n">
        <f aca="false">MAX(D142,C143)</f>
        <v>761875.68</v>
      </c>
      <c r="E143" s="41" t="n">
        <f aca="false">C143/D143-1</f>
        <v>-0.0437594359226692</v>
      </c>
      <c r="F143" s="42" t="n">
        <f aca="false">YEAR(A143)</f>
        <v>2013</v>
      </c>
    </row>
    <row r="144" customFormat="false" ht="15" hidden="false" customHeight="false" outlineLevel="0" collapsed="false">
      <c r="A144" s="38" t="n">
        <v>41576</v>
      </c>
      <c r="B144" s="39" t="n">
        <v>1109</v>
      </c>
      <c r="C144" s="40" t="n">
        <v>749596.43</v>
      </c>
      <c r="D144" s="40" t="n">
        <f aca="false">MAX(D143,C144)</f>
        <v>761875.68</v>
      </c>
      <c r="E144" s="41" t="n">
        <f aca="false">C144/D144-1</f>
        <v>-0.0161171308158833</v>
      </c>
      <c r="F144" s="42" t="n">
        <f aca="false">YEAR(A144)</f>
        <v>2013</v>
      </c>
    </row>
    <row r="145" customFormat="false" ht="15" hidden="false" customHeight="false" outlineLevel="0" collapsed="false">
      <c r="A145" s="38" t="n">
        <v>41577</v>
      </c>
      <c r="B145" s="39" t="n">
        <v>1112</v>
      </c>
      <c r="C145" s="40" t="n">
        <v>742576.43</v>
      </c>
      <c r="D145" s="40" t="n">
        <f aca="false">MAX(D144,C145)</f>
        <v>761875.68</v>
      </c>
      <c r="E145" s="41" t="n">
        <f aca="false">C145/D145-1</f>
        <v>-0.0253312325181452</v>
      </c>
      <c r="F145" s="42" t="n">
        <f aca="false">YEAR(A145)</f>
        <v>2013</v>
      </c>
    </row>
    <row r="146" customFormat="false" ht="15" hidden="false" customHeight="false" outlineLevel="0" collapsed="false">
      <c r="A146" s="38" t="n">
        <v>41578</v>
      </c>
      <c r="B146" s="39" t="n">
        <v>1100</v>
      </c>
      <c r="C146" s="40" t="n">
        <v>770656.43</v>
      </c>
      <c r="D146" s="40" t="n">
        <f aca="false">MAX(D145,C146)</f>
        <v>770656.43</v>
      </c>
      <c r="E146" s="41" t="n">
        <f aca="false">C146/D146-1</f>
        <v>0</v>
      </c>
      <c r="F146" s="42" t="n">
        <f aca="false">YEAR(A146)</f>
        <v>2013</v>
      </c>
    </row>
    <row r="147" customFormat="false" ht="15" hidden="false" customHeight="false" outlineLevel="0" collapsed="false">
      <c r="A147" s="38" t="n">
        <v>41579</v>
      </c>
      <c r="B147" s="39" t="n">
        <v>1110</v>
      </c>
      <c r="C147" s="40" t="n">
        <v>747256.43</v>
      </c>
      <c r="D147" s="40" t="n">
        <f aca="false">MAX(D146,C147)</f>
        <v>770656.43</v>
      </c>
      <c r="E147" s="41" t="n">
        <f aca="false">C147/D147-1</f>
        <v>-0.0303637251167813</v>
      </c>
      <c r="F147" s="42" t="n">
        <f aca="false">YEAR(A147)</f>
        <v>2013</v>
      </c>
    </row>
    <row r="148" customFormat="false" ht="15" hidden="false" customHeight="false" outlineLevel="0" collapsed="false">
      <c r="A148" s="38" t="n">
        <v>41582</v>
      </c>
      <c r="B148" s="39" t="n">
        <v>1100</v>
      </c>
      <c r="C148" s="40" t="n">
        <v>770656.43</v>
      </c>
      <c r="D148" s="40" t="n">
        <f aca="false">MAX(D147,C148)</f>
        <v>770656.43</v>
      </c>
      <c r="E148" s="41" t="n">
        <f aca="false">C148/D148-1</f>
        <v>0</v>
      </c>
      <c r="F148" s="42" t="n">
        <f aca="false">YEAR(A148)</f>
        <v>2013</v>
      </c>
    </row>
    <row r="149" customFormat="false" ht="15" hidden="false" customHeight="false" outlineLevel="0" collapsed="false">
      <c r="A149" s="38" t="n">
        <v>41583</v>
      </c>
      <c r="B149" s="39" t="n">
        <v>1098</v>
      </c>
      <c r="C149" s="40" t="n">
        <v>775336.43</v>
      </c>
      <c r="D149" s="40" t="n">
        <f aca="false">MAX(D148,C149)</f>
        <v>775336.43</v>
      </c>
      <c r="E149" s="41" t="n">
        <f aca="false">C149/D149-1</f>
        <v>0</v>
      </c>
      <c r="F149" s="42" t="n">
        <f aca="false">YEAR(A149)</f>
        <v>2013</v>
      </c>
    </row>
    <row r="150" customFormat="false" ht="15" hidden="false" customHeight="false" outlineLevel="0" collapsed="false">
      <c r="A150" s="38" t="n">
        <v>41584</v>
      </c>
      <c r="B150" s="39" t="n">
        <v>1100</v>
      </c>
      <c r="C150" s="40" t="n">
        <v>770656.43</v>
      </c>
      <c r="D150" s="40" t="n">
        <f aca="false">MAX(D149,C150)</f>
        <v>775336.43</v>
      </c>
      <c r="E150" s="41" t="n">
        <f aca="false">C150/D150-1</f>
        <v>-0.00603608939154321</v>
      </c>
      <c r="F150" s="42" t="n">
        <f aca="false">YEAR(A150)</f>
        <v>2013</v>
      </c>
    </row>
    <row r="151" customFormat="false" ht="15" hidden="false" customHeight="false" outlineLevel="0" collapsed="false">
      <c r="A151" s="38" t="n">
        <v>41585</v>
      </c>
      <c r="B151" s="39" t="n">
        <v>1108</v>
      </c>
      <c r="C151" s="40" t="n">
        <v>751936.43</v>
      </c>
      <c r="D151" s="40" t="n">
        <f aca="false">MAX(D150,C151)</f>
        <v>775336.43</v>
      </c>
      <c r="E151" s="41" t="n">
        <f aca="false">C151/D151-1</f>
        <v>-0.0301804469577162</v>
      </c>
      <c r="F151" s="42" t="n">
        <f aca="false">YEAR(A151)</f>
        <v>2013</v>
      </c>
    </row>
    <row r="152" customFormat="false" ht="15" hidden="false" customHeight="false" outlineLevel="0" collapsed="false">
      <c r="A152" s="38" t="n">
        <v>41586</v>
      </c>
      <c r="B152" s="39" t="n">
        <v>1096</v>
      </c>
      <c r="C152" s="40" t="n">
        <v>780016.43</v>
      </c>
      <c r="D152" s="40" t="n">
        <f aca="false">MAX(D151,C152)</f>
        <v>780016.43</v>
      </c>
      <c r="E152" s="41" t="n">
        <f aca="false">C152/D152-1</f>
        <v>0</v>
      </c>
      <c r="F152" s="42" t="n">
        <f aca="false">YEAR(A152)</f>
        <v>2013</v>
      </c>
    </row>
    <row r="153" customFormat="false" ht="15" hidden="false" customHeight="false" outlineLevel="0" collapsed="false">
      <c r="A153" s="38" t="n">
        <v>41589</v>
      </c>
      <c r="B153" s="39" t="n">
        <v>1098</v>
      </c>
      <c r="C153" s="40" t="n">
        <v>775336.43</v>
      </c>
      <c r="D153" s="40" t="n">
        <f aca="false">MAX(D152,C153)</f>
        <v>780016.43</v>
      </c>
      <c r="E153" s="41" t="n">
        <f aca="false">C153/D153-1</f>
        <v>-0.00599987361804677</v>
      </c>
      <c r="F153" s="42" t="n">
        <f aca="false">YEAR(A153)</f>
        <v>2013</v>
      </c>
    </row>
    <row r="154" customFormat="false" ht="15" hidden="false" customHeight="false" outlineLevel="0" collapsed="false">
      <c r="A154" s="38" t="n">
        <v>41590</v>
      </c>
      <c r="B154" s="39" t="n">
        <v>1105</v>
      </c>
      <c r="C154" s="40" t="n">
        <v>758956.43</v>
      </c>
      <c r="D154" s="40" t="n">
        <f aca="false">MAX(D153,C154)</f>
        <v>780016.43</v>
      </c>
      <c r="E154" s="41" t="n">
        <f aca="false">C154/D154-1</f>
        <v>-0.0269994312812103</v>
      </c>
      <c r="F154" s="42" t="n">
        <f aca="false">YEAR(A154)</f>
        <v>2013</v>
      </c>
    </row>
    <row r="155" customFormat="false" ht="15" hidden="false" customHeight="false" outlineLevel="0" collapsed="false">
      <c r="A155" s="38" t="n">
        <v>41591</v>
      </c>
      <c r="B155" s="39" t="n">
        <v>1106</v>
      </c>
      <c r="C155" s="40" t="n">
        <v>756616.43</v>
      </c>
      <c r="D155" s="40" t="n">
        <f aca="false">MAX(D154,C155)</f>
        <v>780016.43</v>
      </c>
      <c r="E155" s="41" t="n">
        <f aca="false">C155/D155-1</f>
        <v>-0.0299993680902337</v>
      </c>
      <c r="F155" s="42" t="n">
        <f aca="false">YEAR(A155)</f>
        <v>2013</v>
      </c>
    </row>
    <row r="156" customFormat="false" ht="15" hidden="false" customHeight="false" outlineLevel="0" collapsed="false">
      <c r="A156" s="38" t="n">
        <v>41592</v>
      </c>
      <c r="B156" s="39" t="n">
        <v>1108</v>
      </c>
      <c r="C156" s="40" t="n">
        <v>751936.43</v>
      </c>
      <c r="D156" s="40" t="n">
        <f aca="false">MAX(D155,C156)</f>
        <v>780016.43</v>
      </c>
      <c r="E156" s="41" t="n">
        <f aca="false">C156/D156-1</f>
        <v>-0.0359992417082804</v>
      </c>
      <c r="F156" s="42" t="n">
        <f aca="false">YEAR(A156)</f>
        <v>2013</v>
      </c>
    </row>
    <row r="157" customFormat="false" ht="15" hidden="false" customHeight="false" outlineLevel="0" collapsed="false">
      <c r="A157" s="38" t="n">
        <v>41593</v>
      </c>
      <c r="B157" s="39" t="n">
        <v>1103</v>
      </c>
      <c r="C157" s="40" t="n">
        <v>763636.43</v>
      </c>
      <c r="D157" s="40" t="n">
        <f aca="false">MAX(D156,C157)</f>
        <v>780016.43</v>
      </c>
      <c r="E157" s="41" t="n">
        <f aca="false">C157/D157-1</f>
        <v>-0.0209995576631635</v>
      </c>
      <c r="F157" s="42" t="n">
        <f aca="false">YEAR(A157)</f>
        <v>2013</v>
      </c>
    </row>
    <row r="158" customFormat="false" ht="15" hidden="false" customHeight="false" outlineLevel="0" collapsed="false">
      <c r="A158" s="38" t="n">
        <v>41596</v>
      </c>
      <c r="B158" s="39" t="n">
        <v>1104</v>
      </c>
      <c r="C158" s="40" t="n">
        <v>761296.43</v>
      </c>
      <c r="D158" s="40" t="n">
        <f aca="false">MAX(D157,C158)</f>
        <v>780016.43</v>
      </c>
      <c r="E158" s="41" t="n">
        <f aca="false">C158/D158-1</f>
        <v>-0.023999494472187</v>
      </c>
      <c r="F158" s="42" t="n">
        <f aca="false">YEAR(A158)</f>
        <v>2013</v>
      </c>
    </row>
    <row r="159" customFormat="false" ht="15" hidden="false" customHeight="false" outlineLevel="0" collapsed="false">
      <c r="A159" s="38" t="n">
        <v>41597</v>
      </c>
      <c r="B159" s="39" t="n">
        <v>1112</v>
      </c>
      <c r="C159" s="40" t="n">
        <v>742576.43</v>
      </c>
      <c r="D159" s="40" t="n">
        <f aca="false">MAX(D158,C159)</f>
        <v>780016.43</v>
      </c>
      <c r="E159" s="41" t="n">
        <f aca="false">C159/D159-1</f>
        <v>-0.0479989889443739</v>
      </c>
      <c r="F159" s="42" t="n">
        <f aca="false">YEAR(A159)</f>
        <v>2013</v>
      </c>
    </row>
    <row r="160" customFormat="false" ht="15" hidden="false" customHeight="false" outlineLevel="0" collapsed="false">
      <c r="A160" s="38" t="n">
        <v>41598</v>
      </c>
      <c r="B160" s="39" t="n">
        <v>1124</v>
      </c>
      <c r="C160" s="40" t="n">
        <v>714496.43</v>
      </c>
      <c r="D160" s="40" t="n">
        <f aca="false">MAX(D159,C160)</f>
        <v>780016.43</v>
      </c>
      <c r="E160" s="41" t="n">
        <f aca="false">C160/D160-1</f>
        <v>-0.0839982306526543</v>
      </c>
      <c r="F160" s="42" t="n">
        <f aca="false">YEAR(A160)</f>
        <v>2013</v>
      </c>
    </row>
    <row r="161" customFormat="false" ht="15" hidden="false" customHeight="false" outlineLevel="0" collapsed="false">
      <c r="A161" s="38" t="n">
        <v>41599</v>
      </c>
      <c r="B161" s="39" t="n">
        <v>1110</v>
      </c>
      <c r="C161" s="40" t="n">
        <v>747256.43</v>
      </c>
      <c r="D161" s="40" t="n">
        <f aca="false">MAX(D160,C161)</f>
        <v>780016.43</v>
      </c>
      <c r="E161" s="41" t="n">
        <f aca="false">C161/D161-1</f>
        <v>-0.0419991153263272</v>
      </c>
      <c r="F161" s="42" t="n">
        <f aca="false">YEAR(A161)</f>
        <v>2013</v>
      </c>
    </row>
    <row r="162" customFormat="false" ht="15" hidden="false" customHeight="false" outlineLevel="0" collapsed="false">
      <c r="A162" s="38" t="n">
        <v>41600</v>
      </c>
      <c r="B162" s="39" t="n">
        <v>1110</v>
      </c>
      <c r="C162" s="40" t="n">
        <v>747256.43</v>
      </c>
      <c r="D162" s="40" t="n">
        <f aca="false">MAX(D161,C162)</f>
        <v>780016.43</v>
      </c>
      <c r="E162" s="41" t="n">
        <f aca="false">C162/D162-1</f>
        <v>-0.0419991153263272</v>
      </c>
      <c r="F162" s="42" t="n">
        <f aca="false">YEAR(A162)</f>
        <v>2013</v>
      </c>
    </row>
    <row r="163" customFormat="false" ht="15" hidden="false" customHeight="false" outlineLevel="0" collapsed="false">
      <c r="A163" s="38" t="n">
        <v>41603</v>
      </c>
      <c r="B163" s="39" t="n">
        <v>1105</v>
      </c>
      <c r="C163" s="40" t="n">
        <v>758956.43</v>
      </c>
      <c r="D163" s="40" t="n">
        <f aca="false">MAX(D162,C163)</f>
        <v>780016.43</v>
      </c>
      <c r="E163" s="41" t="n">
        <f aca="false">C163/D163-1</f>
        <v>-0.0269994312812103</v>
      </c>
      <c r="F163" s="42" t="n">
        <f aca="false">YEAR(A163)</f>
        <v>2013</v>
      </c>
    </row>
    <row r="164" customFormat="false" ht="15" hidden="false" customHeight="false" outlineLevel="0" collapsed="false">
      <c r="A164" s="38" t="n">
        <v>41604</v>
      </c>
      <c r="B164" s="39" t="n">
        <v>1106</v>
      </c>
      <c r="C164" s="40" t="n">
        <v>756616.43</v>
      </c>
      <c r="D164" s="40" t="n">
        <f aca="false">MAX(D163,C164)</f>
        <v>780016.43</v>
      </c>
      <c r="E164" s="41" t="n">
        <f aca="false">C164/D164-1</f>
        <v>-0.0299993680902337</v>
      </c>
      <c r="F164" s="42" t="n">
        <f aca="false">YEAR(A164)</f>
        <v>2013</v>
      </c>
    </row>
    <row r="165" customFormat="false" ht="15" hidden="false" customHeight="false" outlineLevel="0" collapsed="false">
      <c r="A165" s="38" t="n">
        <v>41605</v>
      </c>
      <c r="B165" s="39" t="n">
        <v>1098</v>
      </c>
      <c r="C165" s="40" t="n">
        <v>775336.43</v>
      </c>
      <c r="D165" s="40" t="n">
        <f aca="false">MAX(D164,C165)</f>
        <v>780016.43</v>
      </c>
      <c r="E165" s="41" t="n">
        <f aca="false">C165/D165-1</f>
        <v>-0.00599987361804677</v>
      </c>
      <c r="F165" s="42" t="n">
        <f aca="false">YEAR(A165)</f>
        <v>2013</v>
      </c>
    </row>
    <row r="166" customFormat="false" ht="15" hidden="false" customHeight="false" outlineLevel="0" collapsed="false">
      <c r="A166" s="38" t="n">
        <v>41606</v>
      </c>
      <c r="B166" s="39" t="n">
        <v>1103</v>
      </c>
      <c r="C166" s="40" t="n">
        <v>763636.43</v>
      </c>
      <c r="D166" s="40" t="n">
        <f aca="false">MAX(D165,C166)</f>
        <v>780016.43</v>
      </c>
      <c r="E166" s="41" t="n">
        <f aca="false">C166/D166-1</f>
        <v>-0.0209995576631635</v>
      </c>
      <c r="F166" s="42" t="n">
        <f aca="false">YEAR(A166)</f>
        <v>2013</v>
      </c>
    </row>
    <row r="167" customFormat="false" ht="15" hidden="false" customHeight="false" outlineLevel="0" collapsed="false">
      <c r="A167" s="38" t="n">
        <v>41607</v>
      </c>
      <c r="B167" s="39" t="n">
        <v>1103</v>
      </c>
      <c r="C167" s="40" t="n">
        <v>763636.43</v>
      </c>
      <c r="D167" s="40" t="n">
        <f aca="false">MAX(D166,C167)</f>
        <v>780016.43</v>
      </c>
      <c r="E167" s="41" t="n">
        <f aca="false">C167/D167-1</f>
        <v>-0.0209995576631635</v>
      </c>
      <c r="F167" s="42" t="n">
        <f aca="false">YEAR(A167)</f>
        <v>2013</v>
      </c>
    </row>
    <row r="168" customFormat="false" ht="15" hidden="false" customHeight="false" outlineLevel="0" collapsed="false">
      <c r="A168" s="38" t="n">
        <v>41610</v>
      </c>
      <c r="B168" s="39" t="n">
        <v>1108</v>
      </c>
      <c r="C168" s="40" t="n">
        <v>751936.43</v>
      </c>
      <c r="D168" s="40" t="n">
        <f aca="false">MAX(D167,C168)</f>
        <v>780016.43</v>
      </c>
      <c r="E168" s="41" t="n">
        <f aca="false">C168/D168-1</f>
        <v>-0.0359992417082804</v>
      </c>
      <c r="F168" s="42" t="n">
        <f aca="false">YEAR(A168)</f>
        <v>2013</v>
      </c>
    </row>
    <row r="169" customFormat="false" ht="15" hidden="false" customHeight="false" outlineLevel="0" collapsed="false">
      <c r="A169" s="38" t="n">
        <v>41611</v>
      </c>
      <c r="B169" s="39" t="n">
        <v>1105</v>
      </c>
      <c r="C169" s="40" t="n">
        <v>758956.43</v>
      </c>
      <c r="D169" s="40" t="n">
        <f aca="false">MAX(D168,C169)</f>
        <v>780016.43</v>
      </c>
      <c r="E169" s="41" t="n">
        <f aca="false">C169/D169-1</f>
        <v>-0.0269994312812103</v>
      </c>
      <c r="F169" s="42" t="n">
        <f aca="false">YEAR(A169)</f>
        <v>2013</v>
      </c>
    </row>
    <row r="170" customFormat="false" ht="15" hidden="false" customHeight="false" outlineLevel="0" collapsed="false">
      <c r="A170" s="38" t="n">
        <v>41612</v>
      </c>
      <c r="B170" s="39" t="n">
        <v>1116</v>
      </c>
      <c r="C170" s="40" t="n">
        <v>733216.43</v>
      </c>
      <c r="D170" s="40" t="n">
        <f aca="false">MAX(D169,C170)</f>
        <v>780016.43</v>
      </c>
      <c r="E170" s="41" t="n">
        <f aca="false">C170/D170-1</f>
        <v>-0.0599987361804674</v>
      </c>
      <c r="F170" s="42" t="n">
        <f aca="false">YEAR(A170)</f>
        <v>2013</v>
      </c>
    </row>
    <row r="171" customFormat="false" ht="15" hidden="false" customHeight="false" outlineLevel="0" collapsed="false">
      <c r="A171" s="38" t="n">
        <v>41613</v>
      </c>
      <c r="B171" s="39" t="n">
        <v>1117</v>
      </c>
      <c r="C171" s="40" t="n">
        <v>732832.88</v>
      </c>
      <c r="D171" s="40" t="n">
        <f aca="false">MAX(D170,C171)</f>
        <v>780016.43</v>
      </c>
      <c r="E171" s="41" t="n">
        <f aca="false">C171/D171-1</f>
        <v>-0.060490456592049</v>
      </c>
      <c r="F171" s="42" t="n">
        <f aca="false">YEAR(A171)</f>
        <v>2013</v>
      </c>
    </row>
    <row r="172" customFormat="false" ht="15" hidden="false" customHeight="false" outlineLevel="0" collapsed="false">
      <c r="A172" s="38" t="n">
        <v>41614</v>
      </c>
      <c r="B172" s="39" t="n">
        <v>1107</v>
      </c>
      <c r="C172" s="40" t="n">
        <v>705832.88</v>
      </c>
      <c r="D172" s="40" t="n">
        <f aca="false">MAX(D171,C172)</f>
        <v>780016.43</v>
      </c>
      <c r="E172" s="41" t="n">
        <f aca="false">C172/D172-1</f>
        <v>-0.0951051120807802</v>
      </c>
      <c r="F172" s="42" t="n">
        <f aca="false">YEAR(A172)</f>
        <v>2013</v>
      </c>
    </row>
    <row r="173" customFormat="false" ht="15" hidden="false" customHeight="false" outlineLevel="0" collapsed="false">
      <c r="A173" s="38" t="n">
        <v>41617</v>
      </c>
      <c r="B173" s="39" t="n">
        <v>1106</v>
      </c>
      <c r="C173" s="40" t="n">
        <v>703132.88</v>
      </c>
      <c r="D173" s="40" t="n">
        <f aca="false">MAX(D172,C173)</f>
        <v>780016.43</v>
      </c>
      <c r="E173" s="41" t="n">
        <f aca="false">C173/D173-1</f>
        <v>-0.0985665776296533</v>
      </c>
      <c r="F173" s="42" t="n">
        <f aca="false">YEAR(A173)</f>
        <v>2013</v>
      </c>
    </row>
    <row r="174" customFormat="false" ht="15" hidden="false" customHeight="false" outlineLevel="0" collapsed="false">
      <c r="A174" s="38" t="n">
        <v>41618</v>
      </c>
      <c r="B174" s="39" t="n">
        <v>1109</v>
      </c>
      <c r="C174" s="40" t="n">
        <v>711232.88</v>
      </c>
      <c r="D174" s="40" t="n">
        <f aca="false">MAX(D173,C174)</f>
        <v>780016.43</v>
      </c>
      <c r="E174" s="41" t="n">
        <f aca="false">C174/D174-1</f>
        <v>-0.088182180983034</v>
      </c>
      <c r="F174" s="42" t="n">
        <f aca="false">YEAR(A174)</f>
        <v>2013</v>
      </c>
    </row>
    <row r="175" customFormat="false" ht="15" hidden="false" customHeight="false" outlineLevel="0" collapsed="false">
      <c r="A175" s="38" t="n">
        <v>41619</v>
      </c>
      <c r="B175" s="39" t="n">
        <v>1100</v>
      </c>
      <c r="C175" s="40" t="n">
        <v>686932.88</v>
      </c>
      <c r="D175" s="40" t="n">
        <f aca="false">MAX(D174,C175)</f>
        <v>780016.43</v>
      </c>
      <c r="E175" s="41" t="n">
        <f aca="false">C175/D175-1</f>
        <v>-0.119335370922892</v>
      </c>
      <c r="F175" s="42" t="n">
        <f aca="false">YEAR(A175)</f>
        <v>2013</v>
      </c>
    </row>
    <row r="176" customFormat="false" ht="15" hidden="false" customHeight="false" outlineLevel="0" collapsed="false">
      <c r="A176" s="38" t="n">
        <v>41620</v>
      </c>
      <c r="B176" s="39" t="n">
        <v>1097</v>
      </c>
      <c r="C176" s="40" t="n">
        <v>678832.88</v>
      </c>
      <c r="D176" s="40" t="n">
        <f aca="false">MAX(D175,C176)</f>
        <v>780016.43</v>
      </c>
      <c r="E176" s="41" t="n">
        <f aca="false">C176/D176-1</f>
        <v>-0.129719767569511</v>
      </c>
      <c r="F176" s="42" t="n">
        <f aca="false">YEAR(A176)</f>
        <v>2013</v>
      </c>
    </row>
    <row r="177" customFormat="false" ht="15" hidden="false" customHeight="false" outlineLevel="0" collapsed="false">
      <c r="A177" s="38" t="n">
        <v>41621</v>
      </c>
      <c r="B177" s="39" t="n">
        <v>1075</v>
      </c>
      <c r="C177" s="40" t="n">
        <v>657516.91</v>
      </c>
      <c r="D177" s="40" t="n">
        <f aca="false">MAX(D176,C177)</f>
        <v>780016.43</v>
      </c>
      <c r="E177" s="41" t="n">
        <f aca="false">C177/D177-1</f>
        <v>-0.157047358604998</v>
      </c>
      <c r="F177" s="42" t="n">
        <f aca="false">YEAR(A177)</f>
        <v>2013</v>
      </c>
    </row>
    <row r="178" customFormat="false" ht="15" hidden="false" customHeight="false" outlineLevel="0" collapsed="false">
      <c r="A178" s="38" t="n">
        <v>41624</v>
      </c>
      <c r="B178" s="39" t="n">
        <v>1077</v>
      </c>
      <c r="C178" s="40" t="n">
        <v>657516.91</v>
      </c>
      <c r="D178" s="40" t="n">
        <f aca="false">MAX(D177,C178)</f>
        <v>780016.43</v>
      </c>
      <c r="E178" s="41" t="n">
        <f aca="false">C178/D178-1</f>
        <v>-0.157047358604998</v>
      </c>
      <c r="F178" s="42" t="n">
        <f aca="false">YEAR(A178)</f>
        <v>2013</v>
      </c>
    </row>
    <row r="179" customFormat="false" ht="15" hidden="false" customHeight="false" outlineLevel="0" collapsed="false">
      <c r="A179" s="38" t="n">
        <v>41625</v>
      </c>
      <c r="B179" s="39" t="n">
        <v>1075</v>
      </c>
      <c r="C179" s="40" t="n">
        <v>657516.91</v>
      </c>
      <c r="D179" s="40" t="n">
        <f aca="false">MAX(D178,C179)</f>
        <v>780016.43</v>
      </c>
      <c r="E179" s="41" t="n">
        <f aca="false">C179/D179-1</f>
        <v>-0.157047358604998</v>
      </c>
      <c r="F179" s="42" t="n">
        <f aca="false">YEAR(A179)</f>
        <v>2013</v>
      </c>
    </row>
    <row r="180" customFormat="false" ht="15" hidden="false" customHeight="false" outlineLevel="0" collapsed="false">
      <c r="A180" s="38" t="n">
        <v>41626</v>
      </c>
      <c r="B180" s="39" t="n">
        <v>1075</v>
      </c>
      <c r="C180" s="40" t="n">
        <v>657516.91</v>
      </c>
      <c r="D180" s="40" t="n">
        <f aca="false">MAX(D179,C180)</f>
        <v>780016.43</v>
      </c>
      <c r="E180" s="41" t="n">
        <f aca="false">C180/D180-1</f>
        <v>-0.157047358604998</v>
      </c>
      <c r="F180" s="42" t="n">
        <f aca="false">YEAR(A180)</f>
        <v>2013</v>
      </c>
    </row>
    <row r="181" customFormat="false" ht="15" hidden="false" customHeight="false" outlineLevel="0" collapsed="false">
      <c r="A181" s="38" t="n">
        <v>41627</v>
      </c>
      <c r="B181" s="39" t="n">
        <v>1071</v>
      </c>
      <c r="C181" s="40" t="n">
        <v>657516.91</v>
      </c>
      <c r="D181" s="40" t="n">
        <f aca="false">MAX(D180,C181)</f>
        <v>780016.43</v>
      </c>
      <c r="E181" s="41" t="n">
        <f aca="false">C181/D181-1</f>
        <v>-0.157047358604998</v>
      </c>
      <c r="F181" s="42" t="n">
        <f aca="false">YEAR(A181)</f>
        <v>2013</v>
      </c>
    </row>
    <row r="182" customFormat="false" ht="15" hidden="false" customHeight="false" outlineLevel="0" collapsed="false">
      <c r="A182" s="38" t="n">
        <v>41628</v>
      </c>
      <c r="B182" s="39" t="n">
        <v>1049</v>
      </c>
      <c r="C182" s="40" t="n">
        <v>657516.91</v>
      </c>
      <c r="D182" s="40" t="n">
        <f aca="false">MAX(D181,C182)</f>
        <v>780016.43</v>
      </c>
      <c r="E182" s="41" t="n">
        <f aca="false">C182/D182-1</f>
        <v>-0.157047358604998</v>
      </c>
      <c r="F182" s="42" t="n">
        <f aca="false">YEAR(A182)</f>
        <v>2013</v>
      </c>
    </row>
    <row r="183" customFormat="false" ht="15" hidden="false" customHeight="false" outlineLevel="0" collapsed="false">
      <c r="A183" s="38" t="n">
        <v>41631</v>
      </c>
      <c r="B183" s="39" t="n">
        <v>1046</v>
      </c>
      <c r="C183" s="40" t="n">
        <v>657516.91</v>
      </c>
      <c r="D183" s="40" t="n">
        <f aca="false">MAX(D182,C183)</f>
        <v>780016.43</v>
      </c>
      <c r="E183" s="41" t="n">
        <f aca="false">C183/D183-1</f>
        <v>-0.157047358604998</v>
      </c>
      <c r="F183" s="42" t="n">
        <f aca="false">YEAR(A183)</f>
        <v>2013</v>
      </c>
    </row>
    <row r="184" customFormat="false" ht="15" hidden="false" customHeight="false" outlineLevel="0" collapsed="false">
      <c r="A184" s="38" t="n">
        <v>41632</v>
      </c>
      <c r="B184" s="39" t="n">
        <v>1051</v>
      </c>
      <c r="C184" s="40" t="n">
        <v>657516.91</v>
      </c>
      <c r="D184" s="40" t="n">
        <f aca="false">MAX(D183,C184)</f>
        <v>780016.43</v>
      </c>
      <c r="E184" s="41" t="n">
        <f aca="false">C184/D184-1</f>
        <v>-0.157047358604998</v>
      </c>
      <c r="F184" s="42" t="n">
        <f aca="false">YEAR(A184)</f>
        <v>2013</v>
      </c>
    </row>
    <row r="185" customFormat="false" ht="15" hidden="false" customHeight="false" outlineLevel="0" collapsed="false">
      <c r="A185" s="38" t="n">
        <v>41633</v>
      </c>
      <c r="B185" s="39" t="n">
        <v>1050</v>
      </c>
      <c r="C185" s="40" t="n">
        <v>657516.91</v>
      </c>
      <c r="D185" s="40" t="n">
        <f aca="false">MAX(D184,C185)</f>
        <v>780016.43</v>
      </c>
      <c r="E185" s="41" t="n">
        <f aca="false">C185/D185-1</f>
        <v>-0.157047358604998</v>
      </c>
      <c r="F185" s="42" t="n">
        <f aca="false">YEAR(A185)</f>
        <v>2013</v>
      </c>
    </row>
    <row r="186" customFormat="false" ht="15" hidden="false" customHeight="false" outlineLevel="0" collapsed="false">
      <c r="A186" s="38" t="n">
        <v>41634</v>
      </c>
      <c r="B186" s="39" t="n">
        <v>1047</v>
      </c>
      <c r="C186" s="40" t="n">
        <v>657516.91</v>
      </c>
      <c r="D186" s="40" t="n">
        <f aca="false">MAX(D185,C186)</f>
        <v>780016.43</v>
      </c>
      <c r="E186" s="41" t="n">
        <f aca="false">C186/D186-1</f>
        <v>-0.157047358604998</v>
      </c>
      <c r="F186" s="42" t="n">
        <f aca="false">YEAR(A186)</f>
        <v>2013</v>
      </c>
    </row>
    <row r="187" customFormat="false" ht="15" hidden="false" customHeight="false" outlineLevel="0" collapsed="false">
      <c r="A187" s="38" t="n">
        <v>41635</v>
      </c>
      <c r="B187" s="39" t="n">
        <v>1038</v>
      </c>
      <c r="C187" s="40" t="n">
        <v>657516.91</v>
      </c>
      <c r="D187" s="40" t="n">
        <f aca="false">MAX(D186,C187)</f>
        <v>780016.43</v>
      </c>
      <c r="E187" s="41" t="n">
        <f aca="false">C187/D187-1</f>
        <v>-0.157047358604998</v>
      </c>
      <c r="F187" s="42" t="n">
        <f aca="false">YEAR(A187)</f>
        <v>2013</v>
      </c>
    </row>
    <row r="188" customFormat="false" ht="15" hidden="false" customHeight="false" outlineLevel="0" collapsed="false">
      <c r="A188" s="38" t="n">
        <v>41638</v>
      </c>
      <c r="B188" s="39" t="n">
        <v>1027</v>
      </c>
      <c r="C188" s="40" t="n">
        <v>657516.91</v>
      </c>
      <c r="D188" s="40" t="n">
        <f aca="false">MAX(D187,C188)</f>
        <v>780016.43</v>
      </c>
      <c r="E188" s="41" t="n">
        <f aca="false">C188/D188-1</f>
        <v>-0.157047358604998</v>
      </c>
      <c r="F188" s="42" t="n">
        <f aca="false">YEAR(A188)</f>
        <v>2013</v>
      </c>
    </row>
    <row r="189" customFormat="false" ht="15" hidden="false" customHeight="false" outlineLevel="0" collapsed="false">
      <c r="A189" s="38" t="n">
        <v>41639</v>
      </c>
      <c r="B189" s="39" t="n">
        <v>1010</v>
      </c>
      <c r="C189" s="40" t="n">
        <v>657516.91</v>
      </c>
      <c r="D189" s="40" t="n">
        <f aca="false">MAX(D188,C189)</f>
        <v>780016.43</v>
      </c>
      <c r="E189" s="41" t="n">
        <f aca="false">C189/D189-1</f>
        <v>-0.157047358604998</v>
      </c>
      <c r="F189" s="42" t="n">
        <f aca="false">YEAR(A189)</f>
        <v>2013</v>
      </c>
    </row>
    <row r="190" customFormat="false" ht="15" hidden="false" customHeight="false" outlineLevel="0" collapsed="false">
      <c r="A190" s="38" t="n">
        <v>41641</v>
      </c>
      <c r="B190" s="39" t="n">
        <v>1004</v>
      </c>
      <c r="C190" s="40" t="n">
        <v>657516.91</v>
      </c>
      <c r="D190" s="40" t="n">
        <f aca="false">MAX(D189,C190)</f>
        <v>780016.43</v>
      </c>
      <c r="E190" s="41" t="n">
        <f aca="false">C190/D190-1</f>
        <v>-0.157047358604998</v>
      </c>
      <c r="F190" s="42" t="n">
        <f aca="false">YEAR(A190)</f>
        <v>2014</v>
      </c>
    </row>
    <row r="191" customFormat="false" ht="15" hidden="false" customHeight="false" outlineLevel="0" collapsed="false">
      <c r="A191" s="38" t="n">
        <v>41642</v>
      </c>
      <c r="B191" s="39" t="n">
        <v>992</v>
      </c>
      <c r="C191" s="40" t="n">
        <v>657516.91</v>
      </c>
      <c r="D191" s="40" t="n">
        <f aca="false">MAX(D190,C191)</f>
        <v>780016.43</v>
      </c>
      <c r="E191" s="41" t="n">
        <f aca="false">C191/D191-1</f>
        <v>-0.157047358604998</v>
      </c>
      <c r="F191" s="42" t="n">
        <f aca="false">YEAR(A191)</f>
        <v>2014</v>
      </c>
    </row>
    <row r="192" customFormat="false" ht="15" hidden="false" customHeight="false" outlineLevel="0" collapsed="false">
      <c r="A192" s="38" t="n">
        <v>41645</v>
      </c>
      <c r="B192" s="39" t="n">
        <v>994</v>
      </c>
      <c r="C192" s="40" t="n">
        <v>657516.91</v>
      </c>
      <c r="D192" s="40" t="n">
        <f aca="false">MAX(D191,C192)</f>
        <v>780016.43</v>
      </c>
      <c r="E192" s="41" t="n">
        <f aca="false">C192/D192-1</f>
        <v>-0.157047358604998</v>
      </c>
      <c r="F192" s="42" t="n">
        <f aca="false">YEAR(A192)</f>
        <v>2014</v>
      </c>
    </row>
    <row r="193" customFormat="false" ht="15" hidden="false" customHeight="false" outlineLevel="0" collapsed="false">
      <c r="A193" s="38" t="n">
        <v>41646</v>
      </c>
      <c r="B193" s="39" t="n">
        <v>1004</v>
      </c>
      <c r="C193" s="40" t="n">
        <v>657516.91</v>
      </c>
      <c r="D193" s="40" t="n">
        <f aca="false">MAX(D192,C193)</f>
        <v>780016.43</v>
      </c>
      <c r="E193" s="41" t="n">
        <f aca="false">C193/D193-1</f>
        <v>-0.157047358604998</v>
      </c>
      <c r="F193" s="42" t="n">
        <f aca="false">YEAR(A193)</f>
        <v>2014</v>
      </c>
    </row>
    <row r="194" customFormat="false" ht="15" hidden="false" customHeight="false" outlineLevel="0" collapsed="false">
      <c r="A194" s="38" t="n">
        <v>41647</v>
      </c>
      <c r="B194" s="39" t="n">
        <v>1000</v>
      </c>
      <c r="C194" s="40" t="n">
        <v>657516.91</v>
      </c>
      <c r="D194" s="40" t="n">
        <f aca="false">MAX(D193,C194)</f>
        <v>780016.43</v>
      </c>
      <c r="E194" s="41" t="n">
        <f aca="false">C194/D194-1</f>
        <v>-0.157047358604998</v>
      </c>
      <c r="F194" s="42" t="n">
        <f aca="false">YEAR(A194)</f>
        <v>2014</v>
      </c>
    </row>
    <row r="195" customFormat="false" ht="15" hidden="false" customHeight="false" outlineLevel="0" collapsed="false">
      <c r="A195" s="38" t="n">
        <v>41648</v>
      </c>
      <c r="B195" s="39" t="n">
        <v>986</v>
      </c>
      <c r="C195" s="40" t="n">
        <v>657516.91</v>
      </c>
      <c r="D195" s="40" t="n">
        <f aca="false">MAX(D194,C195)</f>
        <v>780016.43</v>
      </c>
      <c r="E195" s="41" t="n">
        <f aca="false">C195/D195-1</f>
        <v>-0.157047358604998</v>
      </c>
      <c r="F195" s="42" t="n">
        <f aca="false">YEAR(A195)</f>
        <v>2014</v>
      </c>
    </row>
    <row r="196" customFormat="false" ht="15" hidden="false" customHeight="false" outlineLevel="0" collapsed="false">
      <c r="A196" s="38" t="n">
        <v>41649</v>
      </c>
      <c r="B196" s="39" t="n">
        <v>992</v>
      </c>
      <c r="C196" s="40" t="n">
        <v>657516.91</v>
      </c>
      <c r="D196" s="40" t="n">
        <f aca="false">MAX(D195,C196)</f>
        <v>780016.43</v>
      </c>
      <c r="E196" s="41" t="n">
        <f aca="false">C196/D196-1</f>
        <v>-0.157047358604998</v>
      </c>
      <c r="F196" s="42" t="n">
        <f aca="false">YEAR(A196)</f>
        <v>2014</v>
      </c>
    </row>
    <row r="197" customFormat="false" ht="15" hidden="false" customHeight="false" outlineLevel="0" collapsed="false">
      <c r="A197" s="38" t="n">
        <v>41652</v>
      </c>
      <c r="B197" s="39" t="n">
        <v>990</v>
      </c>
      <c r="C197" s="40" t="n">
        <v>661382.8</v>
      </c>
      <c r="D197" s="40" t="n">
        <f aca="false">MAX(D196,C197)</f>
        <v>780016.43</v>
      </c>
      <c r="E197" s="41" t="n">
        <f aca="false">C197/D197-1</f>
        <v>-0.152091193771393</v>
      </c>
      <c r="F197" s="42" t="n">
        <f aca="false">YEAR(A197)</f>
        <v>2014</v>
      </c>
    </row>
    <row r="198" customFormat="false" ht="15" hidden="false" customHeight="false" outlineLevel="0" collapsed="false">
      <c r="A198" s="38" t="n">
        <v>41653</v>
      </c>
      <c r="B198" s="39" t="n">
        <v>997</v>
      </c>
      <c r="C198" s="40" t="n">
        <v>642062.8</v>
      </c>
      <c r="D198" s="40" t="n">
        <f aca="false">MAX(D197,C198)</f>
        <v>780016.43</v>
      </c>
      <c r="E198" s="41" t="n">
        <f aca="false">C198/D198-1</f>
        <v>-0.176859902809996</v>
      </c>
      <c r="F198" s="42" t="n">
        <f aca="false">YEAR(A198)</f>
        <v>2014</v>
      </c>
    </row>
    <row r="199" customFormat="false" ht="15" hidden="false" customHeight="false" outlineLevel="0" collapsed="false">
      <c r="A199" s="38" t="n">
        <v>41654</v>
      </c>
      <c r="B199" s="39" t="n">
        <v>993</v>
      </c>
      <c r="C199" s="40" t="n">
        <v>653102.8</v>
      </c>
      <c r="D199" s="40" t="n">
        <f aca="false">MAX(D198,C199)</f>
        <v>780016.43</v>
      </c>
      <c r="E199" s="41" t="n">
        <f aca="false">C199/D199-1</f>
        <v>-0.162706354787937</v>
      </c>
      <c r="F199" s="42" t="n">
        <f aca="false">YEAR(A199)</f>
        <v>2014</v>
      </c>
    </row>
    <row r="200" customFormat="false" ht="15" hidden="false" customHeight="false" outlineLevel="0" collapsed="false">
      <c r="A200" s="38" t="n">
        <v>41655</v>
      </c>
      <c r="B200" s="39" t="n">
        <v>977</v>
      </c>
      <c r="C200" s="40" t="n">
        <v>697262.8</v>
      </c>
      <c r="D200" s="40" t="n">
        <f aca="false">MAX(D199,C200)</f>
        <v>780016.43</v>
      </c>
      <c r="E200" s="41" t="n">
        <f aca="false">C200/D200-1</f>
        <v>-0.106092162699701</v>
      </c>
      <c r="F200" s="42" t="n">
        <f aca="false">YEAR(A200)</f>
        <v>2014</v>
      </c>
    </row>
    <row r="201" customFormat="false" ht="15" hidden="false" customHeight="false" outlineLevel="0" collapsed="false">
      <c r="A201" s="38" t="n">
        <v>41656</v>
      </c>
      <c r="B201" s="39" t="n">
        <v>972</v>
      </c>
      <c r="C201" s="40" t="n">
        <v>711062.8</v>
      </c>
      <c r="D201" s="40" t="n">
        <f aca="false">MAX(D200,C201)</f>
        <v>780016.43</v>
      </c>
      <c r="E201" s="41" t="n">
        <f aca="false">C201/D201-1</f>
        <v>-0.0884002276721274</v>
      </c>
      <c r="F201" s="42" t="n">
        <f aca="false">YEAR(A201)</f>
        <v>2014</v>
      </c>
    </row>
    <row r="202" customFormat="false" ht="15" hidden="false" customHeight="false" outlineLevel="0" collapsed="false">
      <c r="A202" s="38" t="n">
        <v>41659</v>
      </c>
      <c r="B202" s="39" t="n">
        <v>936</v>
      </c>
      <c r="C202" s="40" t="n">
        <v>810422.8</v>
      </c>
      <c r="D202" s="40" t="n">
        <f aca="false">MAX(D201,C202)</f>
        <v>810422.8</v>
      </c>
      <c r="E202" s="41" t="n">
        <f aca="false">C202/D202-1</f>
        <v>0</v>
      </c>
      <c r="F202" s="42" t="n">
        <f aca="false">YEAR(A202)</f>
        <v>2014</v>
      </c>
    </row>
    <row r="203" customFormat="false" ht="15" hidden="false" customHeight="false" outlineLevel="0" collapsed="false">
      <c r="A203" s="38" t="n">
        <v>41660</v>
      </c>
      <c r="B203" s="39" t="n">
        <v>936</v>
      </c>
      <c r="C203" s="40" t="n">
        <v>810422.8</v>
      </c>
      <c r="D203" s="40" t="n">
        <f aca="false">MAX(D202,C203)</f>
        <v>810422.8</v>
      </c>
      <c r="E203" s="41" t="n">
        <f aca="false">C203/D203-1</f>
        <v>0</v>
      </c>
      <c r="F203" s="42" t="n">
        <f aca="false">YEAR(A203)</f>
        <v>2014</v>
      </c>
    </row>
    <row r="204" customFormat="false" ht="15" hidden="false" customHeight="false" outlineLevel="0" collapsed="false">
      <c r="A204" s="38" t="n">
        <v>41661</v>
      </c>
      <c r="B204" s="39" t="n">
        <v>939</v>
      </c>
      <c r="C204" s="40" t="n">
        <v>802142.8</v>
      </c>
      <c r="D204" s="40" t="n">
        <f aca="false">MAX(D203,C204)</f>
        <v>810422.8</v>
      </c>
      <c r="E204" s="41" t="n">
        <f aca="false">C204/D204-1</f>
        <v>-0.0102168892582982</v>
      </c>
      <c r="F204" s="42" t="n">
        <f aca="false">YEAR(A204)</f>
        <v>2014</v>
      </c>
    </row>
    <row r="205" customFormat="false" ht="15" hidden="false" customHeight="false" outlineLevel="0" collapsed="false">
      <c r="A205" s="38" t="n">
        <v>41662</v>
      </c>
      <c r="B205" s="39" t="n">
        <v>952</v>
      </c>
      <c r="C205" s="40" t="n">
        <v>766262.8</v>
      </c>
      <c r="D205" s="40" t="n">
        <f aca="false">MAX(D204,C205)</f>
        <v>810422.8</v>
      </c>
      <c r="E205" s="41" t="n">
        <f aca="false">C205/D205-1</f>
        <v>-0.0544900760442574</v>
      </c>
      <c r="F205" s="42" t="n">
        <f aca="false">YEAR(A205)</f>
        <v>2014</v>
      </c>
    </row>
    <row r="206" customFormat="false" ht="15" hidden="false" customHeight="false" outlineLevel="0" collapsed="false">
      <c r="A206" s="38" t="n">
        <v>41663</v>
      </c>
      <c r="B206" s="39" t="n">
        <v>961</v>
      </c>
      <c r="C206" s="40" t="n">
        <v>741422.8</v>
      </c>
      <c r="D206" s="40" t="n">
        <f aca="false">MAX(D205,C206)</f>
        <v>810422.8</v>
      </c>
      <c r="E206" s="41" t="n">
        <f aca="false">C206/D206-1</f>
        <v>-0.0851407438191522</v>
      </c>
      <c r="F206" s="42" t="n">
        <f aca="false">YEAR(A206)</f>
        <v>2014</v>
      </c>
    </row>
    <row r="207" customFormat="false" ht="15" hidden="false" customHeight="false" outlineLevel="0" collapsed="false">
      <c r="A207" s="38" t="n">
        <v>41666</v>
      </c>
      <c r="B207" s="39" t="n">
        <v>952</v>
      </c>
      <c r="C207" s="40" t="n">
        <v>766262.8</v>
      </c>
      <c r="D207" s="40" t="n">
        <f aca="false">MAX(D206,C207)</f>
        <v>810422.8</v>
      </c>
      <c r="E207" s="41" t="n">
        <f aca="false">C207/D207-1</f>
        <v>-0.0544900760442574</v>
      </c>
      <c r="F207" s="42" t="n">
        <f aca="false">YEAR(A207)</f>
        <v>2014</v>
      </c>
    </row>
    <row r="208" customFormat="false" ht="15" hidden="false" customHeight="false" outlineLevel="0" collapsed="false">
      <c r="A208" s="38" t="n">
        <v>41667</v>
      </c>
      <c r="B208" s="39" t="n">
        <v>926</v>
      </c>
      <c r="C208" s="40" t="n">
        <v>838022.8</v>
      </c>
      <c r="D208" s="40" t="n">
        <f aca="false">MAX(D207,C208)</f>
        <v>838022.8</v>
      </c>
      <c r="E208" s="41" t="n">
        <f aca="false">C208/D208-1</f>
        <v>0</v>
      </c>
      <c r="F208" s="42" t="n">
        <f aca="false">YEAR(A208)</f>
        <v>2014</v>
      </c>
    </row>
    <row r="209" customFormat="false" ht="15" hidden="false" customHeight="false" outlineLevel="0" collapsed="false">
      <c r="A209" s="38" t="n">
        <v>41668</v>
      </c>
      <c r="B209" s="39" t="n">
        <v>938</v>
      </c>
      <c r="C209" s="40" t="n">
        <v>804902.8</v>
      </c>
      <c r="D209" s="40" t="n">
        <f aca="false">MAX(D208,C209)</f>
        <v>838022.8</v>
      </c>
      <c r="E209" s="41" t="n">
        <f aca="false">C209/D209-1</f>
        <v>-0.0395215977417321</v>
      </c>
      <c r="F209" s="42" t="n">
        <f aca="false">YEAR(A209)</f>
        <v>2014</v>
      </c>
    </row>
    <row r="210" customFormat="false" ht="15" hidden="false" customHeight="false" outlineLevel="0" collapsed="false">
      <c r="A210" s="38" t="n">
        <v>41669</v>
      </c>
      <c r="B210" s="39" t="n">
        <v>938</v>
      </c>
      <c r="C210" s="40" t="n">
        <v>804902.8</v>
      </c>
      <c r="D210" s="40" t="n">
        <f aca="false">MAX(D209,C210)</f>
        <v>838022.8</v>
      </c>
      <c r="E210" s="41" t="n">
        <f aca="false">C210/D210-1</f>
        <v>-0.0395215977417321</v>
      </c>
      <c r="F210" s="42" t="n">
        <f aca="false">YEAR(A210)</f>
        <v>2014</v>
      </c>
    </row>
    <row r="211" customFormat="false" ht="15" hidden="false" customHeight="false" outlineLevel="0" collapsed="false">
      <c r="A211" s="38" t="n">
        <v>41677</v>
      </c>
      <c r="B211" s="39" t="n">
        <v>921</v>
      </c>
      <c r="C211" s="40" t="n">
        <v>851822.8</v>
      </c>
      <c r="D211" s="40" t="n">
        <f aca="false">MAX(D210,C211)</f>
        <v>851822.8</v>
      </c>
      <c r="E211" s="41" t="n">
        <f aca="false">C211/D211-1</f>
        <v>0</v>
      </c>
      <c r="F211" s="42" t="n">
        <f aca="false">YEAR(A211)</f>
        <v>2014</v>
      </c>
    </row>
    <row r="212" customFormat="false" ht="15" hidden="false" customHeight="false" outlineLevel="0" collapsed="false">
      <c r="A212" s="38" t="n">
        <v>41680</v>
      </c>
      <c r="B212" s="39" t="n">
        <v>938</v>
      </c>
      <c r="C212" s="40" t="n">
        <v>804902.8</v>
      </c>
      <c r="D212" s="40" t="n">
        <f aca="false">MAX(D211,C212)</f>
        <v>851822.8</v>
      </c>
      <c r="E212" s="41" t="n">
        <f aca="false">C212/D212-1</f>
        <v>-0.0550818785315443</v>
      </c>
      <c r="F212" s="42" t="n">
        <f aca="false">YEAR(A212)</f>
        <v>2014</v>
      </c>
    </row>
    <row r="213" customFormat="false" ht="15" hidden="false" customHeight="false" outlineLevel="0" collapsed="false">
      <c r="A213" s="38" t="n">
        <v>41681</v>
      </c>
      <c r="B213" s="39" t="n">
        <v>927</v>
      </c>
      <c r="C213" s="40" t="n">
        <v>835262.8</v>
      </c>
      <c r="D213" s="40" t="n">
        <f aca="false">MAX(D212,C213)</f>
        <v>851822.8</v>
      </c>
      <c r="E213" s="41" t="n">
        <f aca="false">C213/D213-1</f>
        <v>-0.0194406630111333</v>
      </c>
      <c r="F213" s="42" t="n">
        <f aca="false">YEAR(A213)</f>
        <v>2014</v>
      </c>
    </row>
    <row r="214" customFormat="false" ht="15" hidden="false" customHeight="false" outlineLevel="0" collapsed="false">
      <c r="A214" s="38" t="n">
        <v>41682</v>
      </c>
      <c r="B214" s="39" t="n">
        <v>935</v>
      </c>
      <c r="C214" s="40" t="n">
        <v>813182.8</v>
      </c>
      <c r="D214" s="40" t="n">
        <f aca="false">MAX(D213,C214)</f>
        <v>851822.8</v>
      </c>
      <c r="E214" s="41" t="n">
        <f aca="false">C214/D214-1</f>
        <v>-0.0453615470259777</v>
      </c>
      <c r="F214" s="42" t="n">
        <f aca="false">YEAR(A214)</f>
        <v>2014</v>
      </c>
    </row>
    <row r="215" customFormat="false" ht="15" hidden="false" customHeight="false" outlineLevel="0" collapsed="false">
      <c r="A215" s="38" t="n">
        <v>41683</v>
      </c>
      <c r="B215" s="39" t="n">
        <v>929</v>
      </c>
      <c r="C215" s="40" t="n">
        <v>829742.8</v>
      </c>
      <c r="D215" s="40" t="n">
        <f aca="false">MAX(D214,C215)</f>
        <v>851822.8</v>
      </c>
      <c r="E215" s="41" t="n">
        <f aca="false">C215/D215-1</f>
        <v>-0.0259208840148444</v>
      </c>
      <c r="F215" s="42" t="n">
        <f aca="false">YEAR(A215)</f>
        <v>2014</v>
      </c>
    </row>
    <row r="216" customFormat="false" ht="15" hidden="false" customHeight="false" outlineLevel="0" collapsed="false">
      <c r="A216" s="38" t="n">
        <v>41684</v>
      </c>
      <c r="B216" s="39" t="n">
        <v>934</v>
      </c>
      <c r="C216" s="40" t="n">
        <v>815942.8</v>
      </c>
      <c r="D216" s="40" t="n">
        <f aca="false">MAX(D215,C216)</f>
        <v>851822.8</v>
      </c>
      <c r="E216" s="41" t="n">
        <f aca="false">C216/D216-1</f>
        <v>-0.0421214365241222</v>
      </c>
      <c r="F216" s="42" t="n">
        <f aca="false">YEAR(A216)</f>
        <v>2014</v>
      </c>
    </row>
    <row r="217" customFormat="false" ht="15" hidden="false" customHeight="false" outlineLevel="0" collapsed="false">
      <c r="A217" s="38" t="n">
        <v>41687</v>
      </c>
      <c r="B217" s="39" t="n">
        <v>957</v>
      </c>
      <c r="C217" s="40" t="n">
        <v>752462.8</v>
      </c>
      <c r="D217" s="40" t="n">
        <f aca="false">MAX(D216,C217)</f>
        <v>851822.8</v>
      </c>
      <c r="E217" s="41" t="n">
        <f aca="false">C217/D217-1</f>
        <v>-0.1166439780668</v>
      </c>
      <c r="F217" s="42" t="n">
        <f aca="false">YEAR(A217)</f>
        <v>2014</v>
      </c>
    </row>
    <row r="218" customFormat="false" ht="15" hidden="false" customHeight="false" outlineLevel="0" collapsed="false">
      <c r="A218" s="38" t="n">
        <v>41688</v>
      </c>
      <c r="B218" s="39" t="n">
        <v>948</v>
      </c>
      <c r="C218" s="40" t="n">
        <v>777302.8</v>
      </c>
      <c r="D218" s="40" t="n">
        <f aca="false">MAX(D217,C218)</f>
        <v>851822.8</v>
      </c>
      <c r="E218" s="41" t="n">
        <f aca="false">C218/D218-1</f>
        <v>-0.0874829835500999</v>
      </c>
      <c r="F218" s="42" t="n">
        <f aca="false">YEAR(A218)</f>
        <v>2014</v>
      </c>
    </row>
    <row r="219" customFormat="false" ht="15" hidden="false" customHeight="false" outlineLevel="0" collapsed="false">
      <c r="A219" s="38" t="n">
        <v>41689</v>
      </c>
      <c r="B219" s="39" t="n">
        <v>953</v>
      </c>
      <c r="C219" s="40" t="n">
        <v>763502.8</v>
      </c>
      <c r="D219" s="40" t="n">
        <f aca="false">MAX(D218,C219)</f>
        <v>851822.8</v>
      </c>
      <c r="E219" s="41" t="n">
        <f aca="false">C219/D219-1</f>
        <v>-0.103683536059378</v>
      </c>
      <c r="F219" s="42" t="n">
        <f aca="false">YEAR(A219)</f>
        <v>2014</v>
      </c>
    </row>
    <row r="220" customFormat="false" ht="15" hidden="false" customHeight="false" outlineLevel="0" collapsed="false">
      <c r="A220" s="38" t="n">
        <v>41690</v>
      </c>
      <c r="B220" s="39" t="n">
        <v>943</v>
      </c>
      <c r="C220" s="40" t="n">
        <v>791102.8</v>
      </c>
      <c r="D220" s="40" t="n">
        <f aca="false">MAX(D219,C220)</f>
        <v>851822.8</v>
      </c>
      <c r="E220" s="41" t="n">
        <f aca="false">C220/D220-1</f>
        <v>-0.0712824310408221</v>
      </c>
      <c r="F220" s="42" t="n">
        <f aca="false">YEAR(A220)</f>
        <v>2014</v>
      </c>
    </row>
    <row r="221" customFormat="false" ht="15" hidden="false" customHeight="false" outlineLevel="0" collapsed="false">
      <c r="A221" s="38" t="n">
        <v>41691</v>
      </c>
      <c r="B221" s="39" t="n">
        <v>942</v>
      </c>
      <c r="C221" s="40" t="n">
        <v>793862.8</v>
      </c>
      <c r="D221" s="40" t="n">
        <f aca="false">MAX(D220,C221)</f>
        <v>851822.8</v>
      </c>
      <c r="E221" s="41" t="n">
        <f aca="false">C221/D221-1</f>
        <v>-0.0680423205389665</v>
      </c>
      <c r="F221" s="42" t="n">
        <f aca="false">YEAR(A221)</f>
        <v>2014</v>
      </c>
    </row>
    <row r="222" customFormat="false" ht="15" hidden="false" customHeight="false" outlineLevel="0" collapsed="false">
      <c r="A222" s="38" t="n">
        <v>41694</v>
      </c>
      <c r="B222" s="39" t="n">
        <v>914</v>
      </c>
      <c r="C222" s="40" t="n">
        <v>871142.8</v>
      </c>
      <c r="D222" s="40" t="n">
        <f aca="false">MAX(D221,C222)</f>
        <v>871142.8</v>
      </c>
      <c r="E222" s="41" t="n">
        <f aca="false">C222/D222-1</f>
        <v>0</v>
      </c>
      <c r="F222" s="42" t="n">
        <f aca="false">YEAR(A222)</f>
        <v>2014</v>
      </c>
    </row>
    <row r="223" customFormat="false" ht="15" hidden="false" customHeight="false" outlineLevel="0" collapsed="false">
      <c r="A223" s="38" t="n">
        <v>41695</v>
      </c>
      <c r="B223" s="39" t="n">
        <v>920</v>
      </c>
      <c r="C223" s="40" t="n">
        <v>854582.8</v>
      </c>
      <c r="D223" s="40" t="n">
        <f aca="false">MAX(D222,C223)</f>
        <v>871142.8</v>
      </c>
      <c r="E223" s="41" t="n">
        <f aca="false">C223/D223-1</f>
        <v>-0.0190095125621196</v>
      </c>
      <c r="F223" s="42" t="n">
        <f aca="false">YEAR(A223)</f>
        <v>2014</v>
      </c>
    </row>
    <row r="224" customFormat="false" ht="15" hidden="false" customHeight="false" outlineLevel="0" collapsed="false">
      <c r="A224" s="38" t="n">
        <v>41696</v>
      </c>
      <c r="B224" s="39" t="n">
        <v>929</v>
      </c>
      <c r="C224" s="40" t="n">
        <v>829742.8</v>
      </c>
      <c r="D224" s="40" t="n">
        <f aca="false">MAX(D223,C224)</f>
        <v>871142.8</v>
      </c>
      <c r="E224" s="41" t="n">
        <f aca="false">C224/D224-1</f>
        <v>-0.0475237814052989</v>
      </c>
      <c r="F224" s="42" t="n">
        <f aca="false">YEAR(A224)</f>
        <v>2014</v>
      </c>
    </row>
    <row r="225" customFormat="false" ht="15" hidden="false" customHeight="false" outlineLevel="0" collapsed="false">
      <c r="A225" s="38" t="n">
        <v>41697</v>
      </c>
      <c r="B225" s="39" t="n">
        <v>927</v>
      </c>
      <c r="C225" s="40" t="n">
        <v>835262.8</v>
      </c>
      <c r="D225" s="40" t="n">
        <f aca="false">MAX(D224,C225)</f>
        <v>871142.8</v>
      </c>
      <c r="E225" s="41" t="n">
        <f aca="false">C225/D225-1</f>
        <v>-0.0411872772179257</v>
      </c>
      <c r="F225" s="42" t="n">
        <f aca="false">YEAR(A225)</f>
        <v>2014</v>
      </c>
    </row>
    <row r="226" customFormat="false" ht="15" hidden="false" customHeight="false" outlineLevel="0" collapsed="false">
      <c r="A226" s="38" t="n">
        <v>41698</v>
      </c>
      <c r="B226" s="39" t="n">
        <v>923</v>
      </c>
      <c r="C226" s="40" t="n">
        <v>846302.8</v>
      </c>
      <c r="D226" s="40" t="n">
        <f aca="false">MAX(D225,C226)</f>
        <v>871142.8</v>
      </c>
      <c r="E226" s="41" t="n">
        <f aca="false">C226/D226-1</f>
        <v>-0.0285142688431793</v>
      </c>
      <c r="F226" s="42" t="n">
        <f aca="false">YEAR(A226)</f>
        <v>2014</v>
      </c>
    </row>
    <row r="227" customFormat="false" ht="15" hidden="false" customHeight="false" outlineLevel="0" collapsed="false">
      <c r="A227" s="38" t="n">
        <v>41701</v>
      </c>
      <c r="B227" s="39" t="n">
        <v>914</v>
      </c>
      <c r="C227" s="40" t="n">
        <v>871142.8</v>
      </c>
      <c r="D227" s="40" t="n">
        <f aca="false">MAX(D226,C227)</f>
        <v>871142.8</v>
      </c>
      <c r="E227" s="41" t="n">
        <f aca="false">C227/D227-1</f>
        <v>0</v>
      </c>
      <c r="F227" s="42" t="n">
        <f aca="false">YEAR(A227)</f>
        <v>2014</v>
      </c>
    </row>
    <row r="228" customFormat="false" ht="15" hidden="false" customHeight="false" outlineLevel="0" collapsed="false">
      <c r="A228" s="38" t="n">
        <v>41702</v>
      </c>
      <c r="B228" s="39" t="n">
        <v>899</v>
      </c>
      <c r="C228" s="40" t="n">
        <v>912542.8</v>
      </c>
      <c r="D228" s="40" t="n">
        <f aca="false">MAX(D227,C228)</f>
        <v>912542.8</v>
      </c>
      <c r="E228" s="41" t="n">
        <f aca="false">C228/D228-1</f>
        <v>0</v>
      </c>
      <c r="F228" s="42" t="n">
        <f aca="false">YEAR(A228)</f>
        <v>2014</v>
      </c>
    </row>
    <row r="229" customFormat="false" ht="15" hidden="false" customHeight="false" outlineLevel="0" collapsed="false">
      <c r="A229" s="38" t="n">
        <v>41703</v>
      </c>
      <c r="B229" s="39" t="n">
        <v>900</v>
      </c>
      <c r="C229" s="40" t="n">
        <v>909782.8</v>
      </c>
      <c r="D229" s="40" t="n">
        <f aca="false">MAX(D228,C229)</f>
        <v>912542.8</v>
      </c>
      <c r="E229" s="41" t="n">
        <f aca="false">C229/D229-1</f>
        <v>-0.00302451567203199</v>
      </c>
      <c r="F229" s="42" t="n">
        <f aca="false">YEAR(A229)</f>
        <v>2014</v>
      </c>
    </row>
    <row r="230" customFormat="false" ht="15" hidden="false" customHeight="false" outlineLevel="0" collapsed="false">
      <c r="A230" s="38" t="n">
        <v>41704</v>
      </c>
      <c r="B230" s="39" t="n">
        <v>882</v>
      </c>
      <c r="C230" s="40" t="n">
        <v>959462.8</v>
      </c>
      <c r="D230" s="40" t="n">
        <f aca="false">MAX(D229,C230)</f>
        <v>959462.8</v>
      </c>
      <c r="E230" s="41" t="n">
        <f aca="false">C230/D230-1</f>
        <v>0</v>
      </c>
      <c r="F230" s="42" t="n">
        <f aca="false">YEAR(A230)</f>
        <v>2014</v>
      </c>
    </row>
    <row r="231" customFormat="false" ht="15" hidden="false" customHeight="false" outlineLevel="0" collapsed="false">
      <c r="A231" s="38" t="n">
        <v>41705</v>
      </c>
      <c r="B231" s="39" t="n">
        <v>851</v>
      </c>
      <c r="C231" s="40" t="n">
        <v>1045022.8</v>
      </c>
      <c r="D231" s="40" t="n">
        <f aca="false">MAX(D230,C231)</f>
        <v>1045022.8</v>
      </c>
      <c r="E231" s="41" t="n">
        <f aca="false">C231/D231-1</f>
        <v>0</v>
      </c>
      <c r="F231" s="42" t="n">
        <f aca="false">YEAR(A231)</f>
        <v>2014</v>
      </c>
    </row>
    <row r="232" customFormat="false" ht="15" hidden="false" customHeight="false" outlineLevel="0" collapsed="false">
      <c r="A232" s="38" t="n">
        <v>41708</v>
      </c>
      <c r="B232" s="39" t="n">
        <v>830</v>
      </c>
      <c r="C232" s="40" t="n">
        <v>1102982.8</v>
      </c>
      <c r="D232" s="40" t="n">
        <f aca="false">MAX(D231,C232)</f>
        <v>1102982.8</v>
      </c>
      <c r="E232" s="41" t="n">
        <f aca="false">C232/D232-1</f>
        <v>0</v>
      </c>
      <c r="F232" s="42" t="n">
        <f aca="false">YEAR(A232)</f>
        <v>2014</v>
      </c>
    </row>
    <row r="233" customFormat="false" ht="15" hidden="false" customHeight="false" outlineLevel="0" collapsed="false">
      <c r="A233" s="38" t="n">
        <v>41709</v>
      </c>
      <c r="B233" s="39" t="n">
        <v>826</v>
      </c>
      <c r="C233" s="40" t="n">
        <v>1114022.8</v>
      </c>
      <c r="D233" s="40" t="n">
        <f aca="false">MAX(D232,C233)</f>
        <v>1114022.8</v>
      </c>
      <c r="E233" s="41" t="n">
        <f aca="false">C233/D233-1</f>
        <v>0</v>
      </c>
      <c r="F233" s="42" t="n">
        <f aca="false">YEAR(A233)</f>
        <v>2014</v>
      </c>
    </row>
    <row r="234" customFormat="false" ht="15" hidden="false" customHeight="false" outlineLevel="0" collapsed="false">
      <c r="A234" s="38" t="n">
        <v>41710</v>
      </c>
      <c r="B234" s="39" t="n">
        <v>841</v>
      </c>
      <c r="C234" s="40" t="n">
        <v>1072622.8</v>
      </c>
      <c r="D234" s="40" t="n">
        <f aca="false">MAX(D233,C234)</f>
        <v>1114022.8</v>
      </c>
      <c r="E234" s="41" t="n">
        <f aca="false">C234/D234-1</f>
        <v>-0.0371626146251226</v>
      </c>
      <c r="F234" s="42" t="n">
        <f aca="false">YEAR(A234)</f>
        <v>2014</v>
      </c>
    </row>
    <row r="235" customFormat="false" ht="15" hidden="false" customHeight="false" outlineLevel="0" collapsed="false">
      <c r="A235" s="38" t="n">
        <v>41711</v>
      </c>
      <c r="B235" s="39" t="n">
        <v>839</v>
      </c>
      <c r="C235" s="40" t="n">
        <v>1078142.8</v>
      </c>
      <c r="D235" s="40" t="n">
        <f aca="false">MAX(D234,C235)</f>
        <v>1114022.8</v>
      </c>
      <c r="E235" s="41" t="n">
        <f aca="false">C235/D235-1</f>
        <v>-0.0322075993417729</v>
      </c>
      <c r="F235" s="42" t="n">
        <f aca="false">YEAR(A235)</f>
        <v>2014</v>
      </c>
    </row>
    <row r="236" customFormat="false" ht="15" hidden="false" customHeight="false" outlineLevel="0" collapsed="false">
      <c r="A236" s="38" t="n">
        <v>41712</v>
      </c>
      <c r="B236" s="39" t="n">
        <v>830</v>
      </c>
      <c r="C236" s="40" t="n">
        <v>1102982.8</v>
      </c>
      <c r="D236" s="40" t="n">
        <f aca="false">MAX(D235,C236)</f>
        <v>1114022.8</v>
      </c>
      <c r="E236" s="41" t="n">
        <f aca="false">C236/D236-1</f>
        <v>-0.00991003056669937</v>
      </c>
      <c r="F236" s="42" t="n">
        <f aca="false">YEAR(A236)</f>
        <v>2014</v>
      </c>
    </row>
    <row r="237" customFormat="false" ht="15" hidden="false" customHeight="false" outlineLevel="0" collapsed="false">
      <c r="A237" s="38" t="n">
        <v>41715</v>
      </c>
      <c r="B237" s="39" t="n">
        <v>829</v>
      </c>
      <c r="C237" s="40" t="n">
        <v>1105742.8</v>
      </c>
      <c r="D237" s="40" t="n">
        <f aca="false">MAX(D236,C237)</f>
        <v>1114022.8</v>
      </c>
      <c r="E237" s="41" t="n">
        <f aca="false">C237/D237-1</f>
        <v>-0.0074325229250245</v>
      </c>
      <c r="F237" s="42" t="n">
        <f aca="false">YEAR(A237)</f>
        <v>2014</v>
      </c>
    </row>
    <row r="238" customFormat="false" ht="15" hidden="false" customHeight="false" outlineLevel="0" collapsed="false">
      <c r="A238" s="38" t="n">
        <v>41716</v>
      </c>
      <c r="B238" s="39" t="n">
        <v>838</v>
      </c>
      <c r="C238" s="40" t="n">
        <v>1080902.8</v>
      </c>
      <c r="D238" s="40" t="n">
        <f aca="false">MAX(D237,C238)</f>
        <v>1114022.8</v>
      </c>
      <c r="E238" s="41" t="n">
        <f aca="false">C238/D238-1</f>
        <v>-0.0297300917000981</v>
      </c>
      <c r="F238" s="42" t="n">
        <f aca="false">YEAR(A238)</f>
        <v>2014</v>
      </c>
    </row>
    <row r="239" customFormat="false" ht="15" hidden="false" customHeight="false" outlineLevel="0" collapsed="false">
      <c r="A239" s="38" t="n">
        <v>41717</v>
      </c>
      <c r="B239" s="39" t="n">
        <v>835</v>
      </c>
      <c r="C239" s="40" t="n">
        <v>1089182.8</v>
      </c>
      <c r="D239" s="40" t="n">
        <f aca="false">MAX(D238,C239)</f>
        <v>1114022.8</v>
      </c>
      <c r="E239" s="41" t="n">
        <f aca="false">C239/D239-1</f>
        <v>-0.0222975687750735</v>
      </c>
      <c r="F239" s="42" t="n">
        <f aca="false">YEAR(A239)</f>
        <v>2014</v>
      </c>
    </row>
    <row r="240" customFormat="false" ht="15" hidden="false" customHeight="false" outlineLevel="0" collapsed="false">
      <c r="A240" s="38" t="n">
        <v>41718</v>
      </c>
      <c r="B240" s="39" t="n">
        <v>813</v>
      </c>
      <c r="C240" s="40" t="n">
        <v>1149902.8</v>
      </c>
      <c r="D240" s="40" t="n">
        <f aca="false">MAX(D239,C240)</f>
        <v>1149902.8</v>
      </c>
      <c r="E240" s="41" t="n">
        <f aca="false">C240/D240-1</f>
        <v>0</v>
      </c>
      <c r="F240" s="42" t="n">
        <f aca="false">YEAR(A240)</f>
        <v>2014</v>
      </c>
    </row>
    <row r="241" customFormat="false" ht="15" hidden="false" customHeight="false" outlineLevel="0" collapsed="false">
      <c r="A241" s="38" t="n">
        <v>41719</v>
      </c>
      <c r="B241" s="39" t="n">
        <v>803</v>
      </c>
      <c r="C241" s="40" t="n">
        <v>1177502.8</v>
      </c>
      <c r="D241" s="40" t="n">
        <f aca="false">MAX(D240,C241)</f>
        <v>1177502.8</v>
      </c>
      <c r="E241" s="41" t="n">
        <f aca="false">C241/D241-1</f>
        <v>0</v>
      </c>
      <c r="F241" s="42" t="n">
        <f aca="false">YEAR(A241)</f>
        <v>2014</v>
      </c>
    </row>
    <row r="242" customFormat="false" ht="15" hidden="false" customHeight="false" outlineLevel="0" collapsed="false">
      <c r="A242" s="38" t="n">
        <v>41722</v>
      </c>
      <c r="B242" s="39" t="n">
        <v>795</v>
      </c>
      <c r="C242" s="40" t="n">
        <v>1199582.8</v>
      </c>
      <c r="D242" s="40" t="n">
        <f aca="false">MAX(D241,C242)</f>
        <v>1199582.8</v>
      </c>
      <c r="E242" s="41" t="n">
        <f aca="false">C242/D242-1</f>
        <v>0</v>
      </c>
      <c r="F242" s="42" t="n">
        <f aca="false">YEAR(A242)</f>
        <v>2014</v>
      </c>
    </row>
    <row r="243" customFormat="false" ht="15" hidden="false" customHeight="false" outlineLevel="0" collapsed="false">
      <c r="A243" s="38" t="n">
        <v>41723</v>
      </c>
      <c r="B243" s="39" t="n">
        <v>824</v>
      </c>
      <c r="C243" s="40" t="n">
        <v>1119542.8</v>
      </c>
      <c r="D243" s="40" t="n">
        <f aca="false">MAX(D242,C243)</f>
        <v>1199582.8</v>
      </c>
      <c r="E243" s="41" t="n">
        <f aca="false">C243/D243-1</f>
        <v>-0.0667231974316404</v>
      </c>
      <c r="F243" s="42" t="n">
        <f aca="false">YEAR(A243)</f>
        <v>2014</v>
      </c>
    </row>
    <row r="244" customFormat="false" ht="15" hidden="false" customHeight="false" outlineLevel="0" collapsed="false">
      <c r="A244" s="38" t="n">
        <v>41724</v>
      </c>
      <c r="B244" s="39" t="n">
        <v>824</v>
      </c>
      <c r="C244" s="40" t="n">
        <v>1119542.8</v>
      </c>
      <c r="D244" s="40" t="n">
        <f aca="false">MAX(D243,C244)</f>
        <v>1199582.8</v>
      </c>
      <c r="E244" s="41" t="n">
        <f aca="false">C244/D244-1</f>
        <v>-0.0667231974316404</v>
      </c>
      <c r="F244" s="42" t="n">
        <f aca="false">YEAR(A244)</f>
        <v>2014</v>
      </c>
    </row>
    <row r="245" customFormat="false" ht="15" hidden="false" customHeight="false" outlineLevel="0" collapsed="false">
      <c r="A245" s="38" t="n">
        <v>41725</v>
      </c>
      <c r="B245" s="39" t="n">
        <v>819</v>
      </c>
      <c r="C245" s="40" t="n">
        <v>1133342.8</v>
      </c>
      <c r="D245" s="40" t="n">
        <f aca="false">MAX(D244,C245)</f>
        <v>1199582.8</v>
      </c>
      <c r="E245" s="41" t="n">
        <f aca="false">C245/D245-1</f>
        <v>-0.0552191978744611</v>
      </c>
      <c r="F245" s="42" t="n">
        <f aca="false">YEAR(A245)</f>
        <v>2014</v>
      </c>
    </row>
    <row r="246" customFormat="false" ht="15" hidden="false" customHeight="false" outlineLevel="0" collapsed="false">
      <c r="A246" s="38" t="n">
        <v>41726</v>
      </c>
      <c r="B246" s="39" t="n">
        <v>840</v>
      </c>
      <c r="C246" s="40" t="n">
        <v>1075382.8</v>
      </c>
      <c r="D246" s="40" t="n">
        <f aca="false">MAX(D245,C246)</f>
        <v>1199582.8</v>
      </c>
      <c r="E246" s="41" t="n">
        <f aca="false">C246/D246-1</f>
        <v>-0.103535996014614</v>
      </c>
      <c r="F246" s="42" t="n">
        <f aca="false">YEAR(A246)</f>
        <v>2014</v>
      </c>
    </row>
    <row r="247" customFormat="false" ht="15" hidden="false" customHeight="false" outlineLevel="0" collapsed="false">
      <c r="A247" s="38" t="n">
        <v>41729</v>
      </c>
      <c r="B247" s="39" t="n">
        <v>834</v>
      </c>
      <c r="C247" s="40" t="n">
        <v>1091942.8</v>
      </c>
      <c r="D247" s="40" t="n">
        <f aca="false">MAX(D246,C247)</f>
        <v>1199582.8</v>
      </c>
      <c r="E247" s="41" t="n">
        <f aca="false">C247/D247-1</f>
        <v>-0.0897311965459992</v>
      </c>
      <c r="F247" s="42" t="n">
        <f aca="false">YEAR(A247)</f>
        <v>2014</v>
      </c>
    </row>
    <row r="248" customFormat="false" ht="15" hidden="false" customHeight="false" outlineLevel="0" collapsed="false">
      <c r="A248" s="38" t="n">
        <v>41730</v>
      </c>
      <c r="B248" s="39" t="n">
        <v>833</v>
      </c>
      <c r="C248" s="40" t="n">
        <v>1094702.8</v>
      </c>
      <c r="D248" s="40" t="n">
        <f aca="false">MAX(D247,C248)</f>
        <v>1199582.8</v>
      </c>
      <c r="E248" s="41" t="n">
        <f aca="false">C248/D248-1</f>
        <v>-0.0874303966345633</v>
      </c>
      <c r="F248" s="42" t="n">
        <f aca="false">YEAR(A248)</f>
        <v>2014</v>
      </c>
    </row>
    <row r="249" customFormat="false" ht="15" hidden="false" customHeight="false" outlineLevel="0" collapsed="false">
      <c r="A249" s="38" t="n">
        <v>41731</v>
      </c>
      <c r="B249" s="39" t="n">
        <v>827</v>
      </c>
      <c r="C249" s="40" t="n">
        <v>1111262.8</v>
      </c>
      <c r="D249" s="40" t="n">
        <f aca="false">MAX(D248,C249)</f>
        <v>1199582.8</v>
      </c>
      <c r="E249" s="41" t="n">
        <f aca="false">C249/D249-1</f>
        <v>-0.0736255971659481</v>
      </c>
      <c r="F249" s="42" t="n">
        <f aca="false">YEAR(A249)</f>
        <v>2014</v>
      </c>
    </row>
    <row r="250" customFormat="false" ht="15" hidden="false" customHeight="false" outlineLevel="0" collapsed="false">
      <c r="A250" s="38" t="n">
        <v>41732</v>
      </c>
      <c r="B250" s="39" t="n">
        <v>855</v>
      </c>
      <c r="C250" s="40" t="n">
        <v>1033982.8</v>
      </c>
      <c r="D250" s="40" t="n">
        <f aca="false">MAX(D249,C250)</f>
        <v>1199582.8</v>
      </c>
      <c r="E250" s="41" t="n">
        <f aca="false">C250/D250-1</f>
        <v>-0.138047994686153</v>
      </c>
      <c r="F250" s="42" t="n">
        <f aca="false">YEAR(A250)</f>
        <v>2014</v>
      </c>
    </row>
    <row r="251" customFormat="false" ht="15" hidden="false" customHeight="false" outlineLevel="0" collapsed="false">
      <c r="A251" s="38" t="n">
        <v>41733</v>
      </c>
      <c r="B251" s="39" t="n">
        <v>876</v>
      </c>
      <c r="C251" s="40" t="n">
        <v>1059968.98</v>
      </c>
      <c r="D251" s="40" t="n">
        <f aca="false">MAX(D250,C251)</f>
        <v>1199582.8</v>
      </c>
      <c r="E251" s="41" t="n">
        <f aca="false">C251/D251-1</f>
        <v>-0.116385313293922</v>
      </c>
      <c r="F251" s="42" t="n">
        <f aca="false">YEAR(A251)</f>
        <v>2014</v>
      </c>
    </row>
    <row r="252" customFormat="false" ht="15" hidden="false" customHeight="false" outlineLevel="0" collapsed="false">
      <c r="A252" s="38" t="n">
        <v>41737</v>
      </c>
      <c r="B252" s="39" t="n">
        <v>893</v>
      </c>
      <c r="C252" s="40" t="n">
        <v>1059968.98</v>
      </c>
      <c r="D252" s="40" t="n">
        <f aca="false">MAX(D251,C252)</f>
        <v>1199582.8</v>
      </c>
      <c r="E252" s="41" t="n">
        <f aca="false">C252/D252-1</f>
        <v>-0.116385313293922</v>
      </c>
      <c r="F252" s="42" t="n">
        <f aca="false">YEAR(A252)</f>
        <v>2014</v>
      </c>
    </row>
    <row r="253" customFormat="false" ht="15" hidden="false" customHeight="false" outlineLevel="0" collapsed="false">
      <c r="A253" s="38" t="n">
        <v>41738</v>
      </c>
      <c r="B253" s="39" t="n">
        <v>885</v>
      </c>
      <c r="C253" s="40" t="n">
        <v>1059968.98</v>
      </c>
      <c r="D253" s="40" t="n">
        <f aca="false">MAX(D252,C253)</f>
        <v>1199582.8</v>
      </c>
      <c r="E253" s="41" t="n">
        <f aca="false">C253/D253-1</f>
        <v>-0.116385313293922</v>
      </c>
      <c r="F253" s="42" t="n">
        <f aca="false">YEAR(A253)</f>
        <v>2014</v>
      </c>
    </row>
    <row r="254" customFormat="false" ht="15" hidden="false" customHeight="false" outlineLevel="0" collapsed="false">
      <c r="A254" s="38" t="n">
        <v>41739</v>
      </c>
      <c r="B254" s="39" t="n">
        <v>882</v>
      </c>
      <c r="C254" s="40" t="n">
        <v>1059968.98</v>
      </c>
      <c r="D254" s="40" t="n">
        <f aca="false">MAX(D253,C254)</f>
        <v>1199582.8</v>
      </c>
      <c r="E254" s="41" t="n">
        <f aca="false">C254/D254-1</f>
        <v>-0.116385313293922</v>
      </c>
      <c r="F254" s="42" t="n">
        <f aca="false">YEAR(A254)</f>
        <v>2014</v>
      </c>
    </row>
    <row r="255" customFormat="false" ht="15" hidden="false" customHeight="false" outlineLevel="0" collapsed="false">
      <c r="A255" s="38" t="n">
        <v>41740</v>
      </c>
      <c r="B255" s="39" t="n">
        <v>875</v>
      </c>
      <c r="C255" s="40" t="n">
        <v>1059968.98</v>
      </c>
      <c r="D255" s="40" t="n">
        <f aca="false">MAX(D254,C255)</f>
        <v>1199582.8</v>
      </c>
      <c r="E255" s="41" t="n">
        <f aca="false">C255/D255-1</f>
        <v>-0.116385313293922</v>
      </c>
      <c r="F255" s="42" t="n">
        <f aca="false">YEAR(A255)</f>
        <v>2014</v>
      </c>
    </row>
    <row r="256" customFormat="false" ht="15" hidden="false" customHeight="false" outlineLevel="0" collapsed="false">
      <c r="A256" s="38" t="n">
        <v>41743</v>
      </c>
      <c r="B256" s="39" t="n">
        <v>880</v>
      </c>
      <c r="C256" s="40" t="n">
        <v>1059968.98</v>
      </c>
      <c r="D256" s="40" t="n">
        <f aca="false">MAX(D255,C256)</f>
        <v>1199582.8</v>
      </c>
      <c r="E256" s="41" t="n">
        <f aca="false">C256/D256-1</f>
        <v>-0.116385313293922</v>
      </c>
      <c r="F256" s="42" t="n">
        <f aca="false">YEAR(A256)</f>
        <v>2014</v>
      </c>
    </row>
    <row r="257" customFormat="false" ht="15" hidden="false" customHeight="false" outlineLevel="0" collapsed="false">
      <c r="A257" s="38" t="n">
        <v>41744</v>
      </c>
      <c r="B257" s="39" t="n">
        <v>898</v>
      </c>
      <c r="C257" s="40" t="n">
        <v>1059968.98</v>
      </c>
      <c r="D257" s="40" t="n">
        <f aca="false">MAX(D256,C257)</f>
        <v>1199582.8</v>
      </c>
      <c r="E257" s="41" t="n">
        <f aca="false">C257/D257-1</f>
        <v>-0.116385313293922</v>
      </c>
      <c r="F257" s="42" t="n">
        <f aca="false">YEAR(A257)</f>
        <v>2014</v>
      </c>
    </row>
    <row r="258" customFormat="false" ht="15" hidden="false" customHeight="false" outlineLevel="0" collapsed="false">
      <c r="A258" s="38" t="n">
        <v>41745</v>
      </c>
      <c r="B258" s="39" t="n">
        <v>881</v>
      </c>
      <c r="C258" s="40" t="n">
        <v>1059968.98</v>
      </c>
      <c r="D258" s="40" t="n">
        <f aca="false">MAX(D257,C258)</f>
        <v>1199582.8</v>
      </c>
      <c r="E258" s="41" t="n">
        <f aca="false">C258/D258-1</f>
        <v>-0.116385313293922</v>
      </c>
      <c r="F258" s="42" t="n">
        <f aca="false">YEAR(A258)</f>
        <v>2014</v>
      </c>
    </row>
    <row r="259" customFormat="false" ht="15" hidden="false" customHeight="false" outlineLevel="0" collapsed="false">
      <c r="A259" s="38" t="n">
        <v>41746</v>
      </c>
      <c r="B259" s="39" t="n">
        <v>874</v>
      </c>
      <c r="C259" s="40" t="n">
        <v>1059968.98</v>
      </c>
      <c r="D259" s="40" t="n">
        <f aca="false">MAX(D258,C259)</f>
        <v>1199582.8</v>
      </c>
      <c r="E259" s="41" t="n">
        <f aca="false">C259/D259-1</f>
        <v>-0.116385313293922</v>
      </c>
      <c r="F259" s="42" t="n">
        <f aca="false">YEAR(A259)</f>
        <v>2014</v>
      </c>
    </row>
    <row r="260" customFormat="false" ht="15" hidden="false" customHeight="false" outlineLevel="0" collapsed="false">
      <c r="A260" s="38" t="n">
        <v>41747</v>
      </c>
      <c r="B260" s="39" t="n">
        <v>834</v>
      </c>
      <c r="C260" s="40" t="n">
        <v>1059968.98</v>
      </c>
      <c r="D260" s="40" t="n">
        <f aca="false">MAX(D259,C260)</f>
        <v>1199582.8</v>
      </c>
      <c r="E260" s="41" t="n">
        <f aca="false">C260/D260-1</f>
        <v>-0.116385313293922</v>
      </c>
      <c r="F260" s="42" t="n">
        <f aca="false">YEAR(A260)</f>
        <v>2014</v>
      </c>
    </row>
    <row r="261" customFormat="false" ht="15" hidden="false" customHeight="false" outlineLevel="0" collapsed="false">
      <c r="A261" s="38" t="n">
        <v>41750</v>
      </c>
      <c r="B261" s="39" t="n">
        <v>827</v>
      </c>
      <c r="C261" s="40" t="n">
        <v>1059968.98</v>
      </c>
      <c r="D261" s="40" t="n">
        <f aca="false">MAX(D260,C261)</f>
        <v>1199582.8</v>
      </c>
      <c r="E261" s="41" t="n">
        <f aca="false">C261/D261-1</f>
        <v>-0.116385313293922</v>
      </c>
      <c r="F261" s="42" t="n">
        <f aca="false">YEAR(A261)</f>
        <v>2014</v>
      </c>
    </row>
    <row r="262" customFormat="false" ht="15" hidden="false" customHeight="false" outlineLevel="0" collapsed="false">
      <c r="A262" s="38" t="n">
        <v>41751</v>
      </c>
      <c r="B262" s="39" t="n">
        <v>834</v>
      </c>
      <c r="C262" s="40" t="n">
        <v>1059968.98</v>
      </c>
      <c r="D262" s="40" t="n">
        <f aca="false">MAX(D261,C262)</f>
        <v>1199582.8</v>
      </c>
      <c r="E262" s="41" t="n">
        <f aca="false">C262/D262-1</f>
        <v>-0.116385313293922</v>
      </c>
      <c r="F262" s="42" t="n">
        <f aca="false">YEAR(A262)</f>
        <v>2014</v>
      </c>
    </row>
    <row r="263" customFormat="false" ht="15" hidden="false" customHeight="false" outlineLevel="0" collapsed="false">
      <c r="A263" s="38" t="n">
        <v>41752</v>
      </c>
      <c r="B263" s="39" t="n">
        <v>844</v>
      </c>
      <c r="C263" s="40" t="n">
        <v>1059968.98</v>
      </c>
      <c r="D263" s="40" t="n">
        <f aca="false">MAX(D262,C263)</f>
        <v>1199582.8</v>
      </c>
      <c r="E263" s="41" t="n">
        <f aca="false">C263/D263-1</f>
        <v>-0.116385313293922</v>
      </c>
      <c r="F263" s="42" t="n">
        <f aca="false">YEAR(A263)</f>
        <v>2014</v>
      </c>
    </row>
    <row r="264" customFormat="false" ht="15" hidden="false" customHeight="false" outlineLevel="0" collapsed="false">
      <c r="A264" s="38" t="n">
        <v>41753</v>
      </c>
      <c r="B264" s="39" t="n">
        <v>848</v>
      </c>
      <c r="C264" s="40" t="n">
        <v>1059968.98</v>
      </c>
      <c r="D264" s="40" t="n">
        <f aca="false">MAX(D263,C264)</f>
        <v>1199582.8</v>
      </c>
      <c r="E264" s="41" t="n">
        <f aca="false">C264/D264-1</f>
        <v>-0.116385313293922</v>
      </c>
      <c r="F264" s="42" t="n">
        <f aca="false">YEAR(A264)</f>
        <v>2014</v>
      </c>
    </row>
    <row r="265" customFormat="false" ht="15" hidden="false" customHeight="false" outlineLevel="0" collapsed="false">
      <c r="A265" s="38" t="n">
        <v>41754</v>
      </c>
      <c r="B265" s="39" t="n">
        <v>845</v>
      </c>
      <c r="C265" s="40" t="n">
        <v>1059968.98</v>
      </c>
      <c r="D265" s="40" t="n">
        <f aca="false">MAX(D264,C265)</f>
        <v>1199582.8</v>
      </c>
      <c r="E265" s="41" t="n">
        <f aca="false">C265/D265-1</f>
        <v>-0.116385313293922</v>
      </c>
      <c r="F265" s="42" t="n">
        <f aca="false">YEAR(A265)</f>
        <v>2014</v>
      </c>
    </row>
    <row r="266" customFormat="false" ht="15" hidden="false" customHeight="false" outlineLevel="0" collapsed="false">
      <c r="A266" s="38" t="n">
        <v>41757</v>
      </c>
      <c r="B266" s="39" t="n">
        <v>833</v>
      </c>
      <c r="C266" s="40" t="n">
        <v>1059968.98</v>
      </c>
      <c r="D266" s="40" t="n">
        <f aca="false">MAX(D265,C266)</f>
        <v>1199582.8</v>
      </c>
      <c r="E266" s="41" t="n">
        <f aca="false">C266/D266-1</f>
        <v>-0.116385313293922</v>
      </c>
      <c r="F266" s="42" t="n">
        <f aca="false">YEAR(A266)</f>
        <v>2014</v>
      </c>
    </row>
    <row r="267" customFormat="false" ht="15" hidden="false" customHeight="false" outlineLevel="0" collapsed="false">
      <c r="A267" s="38" t="n">
        <v>41758</v>
      </c>
      <c r="B267" s="39" t="n">
        <v>839</v>
      </c>
      <c r="C267" s="40" t="n">
        <v>1059968.98</v>
      </c>
      <c r="D267" s="40" t="n">
        <f aca="false">MAX(D266,C267)</f>
        <v>1199582.8</v>
      </c>
      <c r="E267" s="41" t="n">
        <f aca="false">C267/D267-1</f>
        <v>-0.116385313293922</v>
      </c>
      <c r="F267" s="42" t="n">
        <f aca="false">YEAR(A267)</f>
        <v>2014</v>
      </c>
    </row>
    <row r="268" customFormat="false" ht="15" hidden="false" customHeight="false" outlineLevel="0" collapsed="false">
      <c r="A268" s="38" t="n">
        <v>41759</v>
      </c>
      <c r="B268" s="39" t="n">
        <v>824</v>
      </c>
      <c r="C268" s="40" t="n">
        <v>1059968.98</v>
      </c>
      <c r="D268" s="40" t="n">
        <f aca="false">MAX(D267,C268)</f>
        <v>1199582.8</v>
      </c>
      <c r="E268" s="41" t="n">
        <f aca="false">C268/D268-1</f>
        <v>-0.116385313293922</v>
      </c>
      <c r="F268" s="42" t="n">
        <f aca="false">YEAR(A268)</f>
        <v>2014</v>
      </c>
    </row>
    <row r="269" customFormat="false" ht="15" hidden="false" customHeight="false" outlineLevel="0" collapsed="false">
      <c r="A269" s="38" t="n">
        <v>41764</v>
      </c>
      <c r="B269" s="39" t="n">
        <v>841</v>
      </c>
      <c r="C269" s="40" t="n">
        <v>1059968.98</v>
      </c>
      <c r="D269" s="40" t="n">
        <f aca="false">MAX(D268,C269)</f>
        <v>1199582.8</v>
      </c>
      <c r="E269" s="41" t="n">
        <f aca="false">C269/D269-1</f>
        <v>-0.116385313293922</v>
      </c>
      <c r="F269" s="42" t="n">
        <f aca="false">YEAR(A269)</f>
        <v>2014</v>
      </c>
    </row>
    <row r="270" customFormat="false" ht="15" hidden="false" customHeight="false" outlineLevel="0" collapsed="false">
      <c r="A270" s="38" t="n">
        <v>41765</v>
      </c>
      <c r="B270" s="39" t="n">
        <v>842</v>
      </c>
      <c r="C270" s="40" t="n">
        <v>1059968.98</v>
      </c>
      <c r="D270" s="40" t="n">
        <f aca="false">MAX(D269,C270)</f>
        <v>1199582.8</v>
      </c>
      <c r="E270" s="41" t="n">
        <f aca="false">C270/D270-1</f>
        <v>-0.116385313293922</v>
      </c>
      <c r="F270" s="42" t="n">
        <f aca="false">YEAR(A270)</f>
        <v>2014</v>
      </c>
    </row>
    <row r="271" customFormat="false" ht="15" hidden="false" customHeight="false" outlineLevel="0" collapsed="false">
      <c r="A271" s="38" t="n">
        <v>41766</v>
      </c>
      <c r="B271" s="39" t="n">
        <v>840</v>
      </c>
      <c r="C271" s="40" t="n">
        <v>1059968.98</v>
      </c>
      <c r="D271" s="40" t="n">
        <f aca="false">MAX(D270,C271)</f>
        <v>1199582.8</v>
      </c>
      <c r="E271" s="41" t="n">
        <f aca="false">C271/D271-1</f>
        <v>-0.116385313293922</v>
      </c>
      <c r="F271" s="42" t="n">
        <f aca="false">YEAR(A271)</f>
        <v>2014</v>
      </c>
    </row>
    <row r="272" customFormat="false" ht="15" hidden="false" customHeight="false" outlineLevel="0" collapsed="false">
      <c r="A272" s="38" t="n">
        <v>41767</v>
      </c>
      <c r="B272" s="39" t="n">
        <v>842</v>
      </c>
      <c r="C272" s="40" t="n">
        <v>1059968.98</v>
      </c>
      <c r="D272" s="40" t="n">
        <f aca="false">MAX(D271,C272)</f>
        <v>1199582.8</v>
      </c>
      <c r="E272" s="41" t="n">
        <f aca="false">C272/D272-1</f>
        <v>-0.116385313293922</v>
      </c>
      <c r="F272" s="42" t="n">
        <f aca="false">YEAR(A272)</f>
        <v>2014</v>
      </c>
    </row>
    <row r="273" customFormat="false" ht="15" hidden="false" customHeight="false" outlineLevel="0" collapsed="false">
      <c r="A273" s="38" t="n">
        <v>41768</v>
      </c>
      <c r="B273" s="39" t="n">
        <v>841</v>
      </c>
      <c r="C273" s="40" t="n">
        <v>1059968.98</v>
      </c>
      <c r="D273" s="40" t="n">
        <f aca="false">MAX(D272,C273)</f>
        <v>1199582.8</v>
      </c>
      <c r="E273" s="41" t="n">
        <f aca="false">C273/D273-1</f>
        <v>-0.116385313293922</v>
      </c>
      <c r="F273" s="42" t="n">
        <f aca="false">YEAR(A273)</f>
        <v>2014</v>
      </c>
    </row>
    <row r="274" customFormat="false" ht="15" hidden="false" customHeight="false" outlineLevel="0" collapsed="false">
      <c r="A274" s="38" t="n">
        <v>41771</v>
      </c>
      <c r="B274" s="39" t="n">
        <v>868</v>
      </c>
      <c r="C274" s="40" t="n">
        <v>1059968.98</v>
      </c>
      <c r="D274" s="40" t="n">
        <f aca="false">MAX(D273,C274)</f>
        <v>1199582.8</v>
      </c>
      <c r="E274" s="41" t="n">
        <f aca="false">C274/D274-1</f>
        <v>-0.116385313293922</v>
      </c>
      <c r="F274" s="42" t="n">
        <f aca="false">YEAR(A274)</f>
        <v>2014</v>
      </c>
    </row>
    <row r="275" customFormat="false" ht="15" hidden="false" customHeight="false" outlineLevel="0" collapsed="false">
      <c r="A275" s="38" t="n">
        <v>41772</v>
      </c>
      <c r="B275" s="39" t="n">
        <v>859</v>
      </c>
      <c r="C275" s="40" t="n">
        <v>1059968.98</v>
      </c>
      <c r="D275" s="40" t="n">
        <f aca="false">MAX(D274,C275)</f>
        <v>1199582.8</v>
      </c>
      <c r="E275" s="41" t="n">
        <f aca="false">C275/D275-1</f>
        <v>-0.116385313293922</v>
      </c>
      <c r="F275" s="42" t="n">
        <f aca="false">YEAR(A275)</f>
        <v>2014</v>
      </c>
    </row>
    <row r="276" customFormat="false" ht="15" hidden="false" customHeight="false" outlineLevel="0" collapsed="false">
      <c r="A276" s="38" t="n">
        <v>41773</v>
      </c>
      <c r="B276" s="39" t="n">
        <v>853</v>
      </c>
      <c r="C276" s="40" t="n">
        <v>1059968.98</v>
      </c>
      <c r="D276" s="40" t="n">
        <f aca="false">MAX(D275,C276)</f>
        <v>1199582.8</v>
      </c>
      <c r="E276" s="41" t="n">
        <f aca="false">C276/D276-1</f>
        <v>-0.116385313293922</v>
      </c>
      <c r="F276" s="42" t="n">
        <f aca="false">YEAR(A276)</f>
        <v>2014</v>
      </c>
    </row>
    <row r="277" customFormat="false" ht="15" hidden="false" customHeight="false" outlineLevel="0" collapsed="false">
      <c r="A277" s="38" t="n">
        <v>41774</v>
      </c>
      <c r="B277" s="39" t="n">
        <v>838</v>
      </c>
      <c r="C277" s="40" t="n">
        <v>1059968.98</v>
      </c>
      <c r="D277" s="40" t="n">
        <f aca="false">MAX(D276,C277)</f>
        <v>1199582.8</v>
      </c>
      <c r="E277" s="41" t="n">
        <f aca="false">C277/D277-1</f>
        <v>-0.116385313293922</v>
      </c>
      <c r="F277" s="42" t="n">
        <f aca="false">YEAR(A277)</f>
        <v>2014</v>
      </c>
    </row>
    <row r="278" customFormat="false" ht="15" hidden="false" customHeight="false" outlineLevel="0" collapsed="false">
      <c r="A278" s="38" t="n">
        <v>41775</v>
      </c>
      <c r="B278" s="39" t="n">
        <v>816</v>
      </c>
      <c r="C278" s="40" t="n">
        <v>1059968.98</v>
      </c>
      <c r="D278" s="40" t="n">
        <f aca="false">MAX(D277,C278)</f>
        <v>1199582.8</v>
      </c>
      <c r="E278" s="41" t="n">
        <f aca="false">C278/D278-1</f>
        <v>-0.116385313293922</v>
      </c>
      <c r="F278" s="42" t="n">
        <f aca="false">YEAR(A278)</f>
        <v>2014</v>
      </c>
    </row>
    <row r="279" customFormat="false" ht="15" hidden="false" customHeight="false" outlineLevel="0" collapsed="false">
      <c r="A279" s="38" t="n">
        <v>41778</v>
      </c>
      <c r="B279" s="39" t="n">
        <v>820</v>
      </c>
      <c r="C279" s="40" t="n">
        <v>1056860.48</v>
      </c>
      <c r="D279" s="40" t="n">
        <f aca="false">MAX(D278,C279)</f>
        <v>1199582.8</v>
      </c>
      <c r="E279" s="41" t="n">
        <f aca="false">C279/D279-1</f>
        <v>-0.118976630875334</v>
      </c>
      <c r="F279" s="42" t="n">
        <f aca="false">YEAR(A279)</f>
        <v>2014</v>
      </c>
    </row>
    <row r="280" customFormat="false" ht="15" hidden="false" customHeight="false" outlineLevel="0" collapsed="false">
      <c r="A280" s="38" t="n">
        <v>41779</v>
      </c>
      <c r="B280" s="39" t="n">
        <v>819</v>
      </c>
      <c r="C280" s="40" t="n">
        <v>1062200.48</v>
      </c>
      <c r="D280" s="40" t="n">
        <f aca="false">MAX(D279,C280)</f>
        <v>1199582.8</v>
      </c>
      <c r="E280" s="41" t="n">
        <f aca="false">C280/D280-1</f>
        <v>-0.1145250832206</v>
      </c>
      <c r="F280" s="42" t="n">
        <f aca="false">YEAR(A280)</f>
        <v>2014</v>
      </c>
    </row>
    <row r="281" customFormat="false" ht="15" hidden="false" customHeight="false" outlineLevel="0" collapsed="false">
      <c r="A281" s="38" t="n">
        <v>41780</v>
      </c>
      <c r="B281" s="39" t="n">
        <v>810</v>
      </c>
      <c r="C281" s="40" t="n">
        <v>1110260.48</v>
      </c>
      <c r="D281" s="40" t="n">
        <f aca="false">MAX(D280,C281)</f>
        <v>1199582.8</v>
      </c>
      <c r="E281" s="41" t="n">
        <f aca="false">C281/D281-1</f>
        <v>-0.0744611543279881</v>
      </c>
      <c r="F281" s="42" t="n">
        <f aca="false">YEAR(A281)</f>
        <v>2014</v>
      </c>
    </row>
    <row r="282" customFormat="false" ht="15" hidden="false" customHeight="false" outlineLevel="0" collapsed="false">
      <c r="A282" s="38" t="n">
        <v>41781</v>
      </c>
      <c r="B282" s="39" t="n">
        <v>824</v>
      </c>
      <c r="C282" s="40" t="n">
        <v>1035500.48</v>
      </c>
      <c r="D282" s="40" t="n">
        <f aca="false">MAX(D281,C282)</f>
        <v>1199582.8</v>
      </c>
      <c r="E282" s="41" t="n">
        <f aca="false">C282/D282-1</f>
        <v>-0.136782821494273</v>
      </c>
      <c r="F282" s="42" t="n">
        <f aca="false">YEAR(A282)</f>
        <v>2014</v>
      </c>
    </row>
    <row r="283" customFormat="false" ht="15" hidden="false" customHeight="false" outlineLevel="0" collapsed="false">
      <c r="A283" s="38" t="n">
        <v>41782</v>
      </c>
      <c r="B283" s="39" t="n">
        <v>821</v>
      </c>
      <c r="C283" s="40" t="n">
        <v>1051520.48</v>
      </c>
      <c r="D283" s="40" t="n">
        <f aca="false">MAX(D282,C283)</f>
        <v>1199582.8</v>
      </c>
      <c r="E283" s="41" t="n">
        <f aca="false">C283/D283-1</f>
        <v>-0.123428178530069</v>
      </c>
      <c r="F283" s="42" t="n">
        <f aca="false">YEAR(A283)</f>
        <v>2014</v>
      </c>
    </row>
    <row r="284" customFormat="false" ht="15" hidden="false" customHeight="false" outlineLevel="0" collapsed="false">
      <c r="A284" s="38" t="n">
        <v>41785</v>
      </c>
      <c r="B284" s="39" t="n">
        <v>851</v>
      </c>
      <c r="C284" s="40" t="n">
        <v>891320.48</v>
      </c>
      <c r="D284" s="40" t="n">
        <f aca="false">MAX(D283,C284)</f>
        <v>1199582.8</v>
      </c>
      <c r="E284" s="41" t="n">
        <f aca="false">C284/D284-1</f>
        <v>-0.256974608172108</v>
      </c>
      <c r="F284" s="42" t="n">
        <f aca="false">YEAR(A284)</f>
        <v>2014</v>
      </c>
    </row>
    <row r="285" customFormat="false" ht="15" hidden="false" customHeight="false" outlineLevel="0" collapsed="false">
      <c r="A285" s="38" t="n">
        <v>41786</v>
      </c>
      <c r="B285" s="39" t="n">
        <v>847</v>
      </c>
      <c r="C285" s="40" t="n">
        <v>912680.48</v>
      </c>
      <c r="D285" s="40" t="n">
        <f aca="false">MAX(D284,C285)</f>
        <v>1199582.8</v>
      </c>
      <c r="E285" s="41" t="n">
        <f aca="false">C285/D285-1</f>
        <v>-0.239168417553169</v>
      </c>
      <c r="F285" s="42" t="n">
        <f aca="false">YEAR(A285)</f>
        <v>2014</v>
      </c>
    </row>
    <row r="286" customFormat="false" ht="15" hidden="false" customHeight="false" outlineLevel="0" collapsed="false">
      <c r="A286" s="38" t="n">
        <v>41787</v>
      </c>
      <c r="B286" s="39" t="n">
        <v>830</v>
      </c>
      <c r="C286" s="40" t="n">
        <v>1003460.48</v>
      </c>
      <c r="D286" s="40" t="n">
        <f aca="false">MAX(D285,C286)</f>
        <v>1199582.8</v>
      </c>
      <c r="E286" s="41" t="n">
        <f aca="false">C286/D286-1</f>
        <v>-0.163492107422681</v>
      </c>
      <c r="F286" s="42" t="n">
        <f aca="false">YEAR(A286)</f>
        <v>2014</v>
      </c>
    </row>
    <row r="287" customFormat="false" ht="15" hidden="false" customHeight="false" outlineLevel="0" collapsed="false">
      <c r="A287" s="38" t="n">
        <v>41788</v>
      </c>
      <c r="B287" s="39" t="n">
        <v>824</v>
      </c>
      <c r="C287" s="40" t="n">
        <v>1035500.48</v>
      </c>
      <c r="D287" s="40" t="n">
        <f aca="false">MAX(D286,C287)</f>
        <v>1199582.8</v>
      </c>
      <c r="E287" s="41" t="n">
        <f aca="false">C287/D287-1</f>
        <v>-0.136782821494273</v>
      </c>
      <c r="F287" s="42" t="n">
        <f aca="false">YEAR(A287)</f>
        <v>2014</v>
      </c>
    </row>
    <row r="288" customFormat="false" ht="15" hidden="false" customHeight="false" outlineLevel="0" collapsed="false">
      <c r="A288" s="38" t="n">
        <v>41789</v>
      </c>
      <c r="B288" s="39" t="n">
        <v>826</v>
      </c>
      <c r="C288" s="40" t="n">
        <v>1024820.48</v>
      </c>
      <c r="D288" s="40" t="n">
        <f aca="false">MAX(D287,C288)</f>
        <v>1199582.8</v>
      </c>
      <c r="E288" s="41" t="n">
        <f aca="false">C288/D288-1</f>
        <v>-0.145685916803742</v>
      </c>
      <c r="F288" s="42" t="n">
        <f aca="false">YEAR(A288)</f>
        <v>2014</v>
      </c>
    </row>
    <row r="289" customFormat="false" ht="15" hidden="false" customHeight="false" outlineLevel="0" collapsed="false">
      <c r="A289" s="38" t="n">
        <v>41793</v>
      </c>
      <c r="B289" s="39" t="n">
        <v>818</v>
      </c>
      <c r="C289" s="40" t="n">
        <v>1067540.48</v>
      </c>
      <c r="D289" s="40" t="n">
        <f aca="false">MAX(D288,C289)</f>
        <v>1199582.8</v>
      </c>
      <c r="E289" s="41" t="n">
        <f aca="false">C289/D289-1</f>
        <v>-0.110073535565865</v>
      </c>
      <c r="F289" s="42" t="n">
        <f aca="false">YEAR(A289)</f>
        <v>2014</v>
      </c>
    </row>
    <row r="290" customFormat="false" ht="15" hidden="false" customHeight="false" outlineLevel="0" collapsed="false">
      <c r="A290" s="38" t="n">
        <v>41794</v>
      </c>
      <c r="B290" s="39" t="n">
        <v>829</v>
      </c>
      <c r="C290" s="40" t="n">
        <v>1008800.48</v>
      </c>
      <c r="D290" s="40" t="n">
        <f aca="false">MAX(D289,C290)</f>
        <v>1199582.8</v>
      </c>
      <c r="E290" s="41" t="n">
        <f aca="false">C290/D290-1</f>
        <v>-0.159040559767946</v>
      </c>
      <c r="F290" s="42" t="n">
        <f aca="false">YEAR(A290)</f>
        <v>2014</v>
      </c>
    </row>
    <row r="291" customFormat="false" ht="15" hidden="false" customHeight="false" outlineLevel="0" collapsed="false">
      <c r="A291" s="38" t="n">
        <v>41795</v>
      </c>
      <c r="B291" s="39" t="n">
        <v>844</v>
      </c>
      <c r="C291" s="40" t="n">
        <v>928700.48</v>
      </c>
      <c r="D291" s="40" t="n">
        <f aca="false">MAX(D290,C291)</f>
        <v>1199582.8</v>
      </c>
      <c r="E291" s="41" t="n">
        <f aca="false">C291/D291-1</f>
        <v>-0.225813774588965</v>
      </c>
      <c r="F291" s="42" t="n">
        <f aca="false">YEAR(A291)</f>
        <v>2014</v>
      </c>
    </row>
    <row r="292" customFormat="false" ht="15" hidden="false" customHeight="false" outlineLevel="0" collapsed="false">
      <c r="A292" s="38" t="n">
        <v>41796</v>
      </c>
      <c r="B292" s="39" t="n">
        <v>841</v>
      </c>
      <c r="C292" s="40" t="n">
        <v>944720.48</v>
      </c>
      <c r="D292" s="40" t="n">
        <f aca="false">MAX(D291,C292)</f>
        <v>1199582.8</v>
      </c>
      <c r="E292" s="41" t="n">
        <f aca="false">C292/D292-1</f>
        <v>-0.212459131624762</v>
      </c>
      <c r="F292" s="42" t="n">
        <f aca="false">YEAR(A292)</f>
        <v>2014</v>
      </c>
    </row>
    <row r="293" customFormat="false" ht="15" hidden="false" customHeight="false" outlineLevel="0" collapsed="false">
      <c r="A293" s="38" t="n">
        <v>41799</v>
      </c>
      <c r="B293" s="39" t="n">
        <v>834</v>
      </c>
      <c r="C293" s="40" t="n">
        <v>982100.48</v>
      </c>
      <c r="D293" s="40" t="n">
        <f aca="false">MAX(D292,C293)</f>
        <v>1199582.8</v>
      </c>
      <c r="E293" s="41" t="n">
        <f aca="false">C293/D293-1</f>
        <v>-0.181298298041619</v>
      </c>
      <c r="F293" s="42" t="n">
        <f aca="false">YEAR(A293)</f>
        <v>2014</v>
      </c>
    </row>
    <row r="294" customFormat="false" ht="15" hidden="false" customHeight="false" outlineLevel="0" collapsed="false">
      <c r="A294" s="38" t="n">
        <v>41800</v>
      </c>
      <c r="B294" s="39" t="n">
        <v>835</v>
      </c>
      <c r="C294" s="40" t="n">
        <v>976760.48</v>
      </c>
      <c r="D294" s="40" t="n">
        <f aca="false">MAX(D293,C294)</f>
        <v>1199582.8</v>
      </c>
      <c r="E294" s="41" t="n">
        <f aca="false">C294/D294-1</f>
        <v>-0.185749845696354</v>
      </c>
      <c r="F294" s="42" t="n">
        <f aca="false">YEAR(A294)</f>
        <v>2014</v>
      </c>
    </row>
    <row r="295" customFormat="false" ht="15" hidden="false" customHeight="false" outlineLevel="0" collapsed="false">
      <c r="A295" s="38" t="n">
        <v>41801</v>
      </c>
      <c r="B295" s="39" t="n">
        <v>830</v>
      </c>
      <c r="C295" s="40" t="n">
        <v>1003460.48</v>
      </c>
      <c r="D295" s="40" t="n">
        <f aca="false">MAX(D294,C295)</f>
        <v>1199582.8</v>
      </c>
      <c r="E295" s="41" t="n">
        <f aca="false">C295/D295-1</f>
        <v>-0.163492107422681</v>
      </c>
      <c r="F295" s="42" t="n">
        <f aca="false">YEAR(A295)</f>
        <v>2014</v>
      </c>
    </row>
    <row r="296" customFormat="false" ht="15" hidden="false" customHeight="false" outlineLevel="0" collapsed="false">
      <c r="A296" s="38" t="n">
        <v>41802</v>
      </c>
      <c r="B296" s="39" t="n">
        <v>816</v>
      </c>
      <c r="C296" s="40" t="n">
        <v>1078220.48</v>
      </c>
      <c r="D296" s="40" t="n">
        <f aca="false">MAX(D295,C296)</f>
        <v>1199582.8</v>
      </c>
      <c r="E296" s="41" t="n">
        <f aca="false">C296/D296-1</f>
        <v>-0.101170440256396</v>
      </c>
      <c r="F296" s="42" t="n">
        <f aca="false">YEAR(A296)</f>
        <v>2014</v>
      </c>
    </row>
    <row r="297" customFormat="false" ht="15" hidden="false" customHeight="false" outlineLevel="0" collapsed="false">
      <c r="A297" s="38" t="n">
        <v>41803</v>
      </c>
      <c r="B297" s="39" t="n">
        <v>819</v>
      </c>
      <c r="C297" s="40" t="n">
        <v>1062200.48</v>
      </c>
      <c r="D297" s="40" t="n">
        <f aca="false">MAX(D296,C297)</f>
        <v>1199582.8</v>
      </c>
      <c r="E297" s="41" t="n">
        <f aca="false">C297/D297-1</f>
        <v>-0.1145250832206</v>
      </c>
      <c r="F297" s="42" t="n">
        <f aca="false">YEAR(A297)</f>
        <v>2014</v>
      </c>
    </row>
    <row r="298" customFormat="false" ht="15" hidden="false" customHeight="false" outlineLevel="0" collapsed="false">
      <c r="A298" s="38" t="n">
        <v>41806</v>
      </c>
      <c r="B298" s="39" t="n">
        <v>805</v>
      </c>
      <c r="C298" s="40" t="n">
        <v>1136960.48</v>
      </c>
      <c r="D298" s="40" t="n">
        <f aca="false">MAX(D297,C298)</f>
        <v>1199582.8</v>
      </c>
      <c r="E298" s="41" t="n">
        <f aca="false">C298/D298-1</f>
        <v>-0.0522034160543149</v>
      </c>
      <c r="F298" s="42" t="n">
        <f aca="false">YEAR(A298)</f>
        <v>2014</v>
      </c>
    </row>
    <row r="299" customFormat="false" ht="15" hidden="false" customHeight="false" outlineLevel="0" collapsed="false">
      <c r="A299" s="38" t="n">
        <v>41807</v>
      </c>
      <c r="B299" s="39" t="n">
        <v>815</v>
      </c>
      <c r="C299" s="40" t="n">
        <v>1083560.48</v>
      </c>
      <c r="D299" s="40" t="n">
        <f aca="false">MAX(D298,C299)</f>
        <v>1199582.8</v>
      </c>
      <c r="E299" s="41" t="n">
        <f aca="false">C299/D299-1</f>
        <v>-0.0967188926016612</v>
      </c>
      <c r="F299" s="42" t="n">
        <f aca="false">YEAR(A299)</f>
        <v>2014</v>
      </c>
    </row>
    <row r="300" customFormat="false" ht="15" hidden="false" customHeight="false" outlineLevel="0" collapsed="false">
      <c r="A300" s="38" t="n">
        <v>41808</v>
      </c>
      <c r="B300" s="39" t="n">
        <v>812</v>
      </c>
      <c r="C300" s="40" t="n">
        <v>1099580.48</v>
      </c>
      <c r="D300" s="40" t="n">
        <f aca="false">MAX(D299,C300)</f>
        <v>1199582.8</v>
      </c>
      <c r="E300" s="41" t="n">
        <f aca="false">C300/D300-1</f>
        <v>-0.0833642496374574</v>
      </c>
      <c r="F300" s="42" t="n">
        <f aca="false">YEAR(A300)</f>
        <v>2014</v>
      </c>
    </row>
    <row r="301" customFormat="false" ht="15" hidden="false" customHeight="false" outlineLevel="0" collapsed="false">
      <c r="A301" s="38" t="n">
        <v>41809</v>
      </c>
      <c r="B301" s="39" t="n">
        <v>804</v>
      </c>
      <c r="C301" s="40" t="n">
        <v>1142300.48</v>
      </c>
      <c r="D301" s="40" t="n">
        <f aca="false">MAX(D300,C301)</f>
        <v>1199582.8</v>
      </c>
      <c r="E301" s="41" t="n">
        <f aca="false">C301/D301-1</f>
        <v>-0.0477518683995803</v>
      </c>
      <c r="F301" s="42" t="n">
        <f aca="false">YEAR(A301)</f>
        <v>2014</v>
      </c>
    </row>
    <row r="302" customFormat="false" ht="15" hidden="false" customHeight="false" outlineLevel="0" collapsed="false">
      <c r="A302" s="38" t="n">
        <v>41810</v>
      </c>
      <c r="B302" s="39" t="n">
        <v>815</v>
      </c>
      <c r="C302" s="40" t="n">
        <v>1083560.48</v>
      </c>
      <c r="D302" s="40" t="n">
        <f aca="false">MAX(D301,C302)</f>
        <v>1199582.8</v>
      </c>
      <c r="E302" s="41" t="n">
        <f aca="false">C302/D302-1</f>
        <v>-0.0967188926016612</v>
      </c>
      <c r="F302" s="42" t="n">
        <f aca="false">YEAR(A302)</f>
        <v>2014</v>
      </c>
    </row>
    <row r="303" customFormat="false" ht="15" hidden="false" customHeight="false" outlineLevel="0" collapsed="false">
      <c r="A303" s="38" t="n">
        <v>41813</v>
      </c>
      <c r="B303" s="39" t="n">
        <v>816</v>
      </c>
      <c r="C303" s="40" t="n">
        <v>1078220.48</v>
      </c>
      <c r="D303" s="40" t="n">
        <f aca="false">MAX(D302,C303)</f>
        <v>1199582.8</v>
      </c>
      <c r="E303" s="41" t="n">
        <f aca="false">C303/D303-1</f>
        <v>-0.101170440256396</v>
      </c>
      <c r="F303" s="42" t="n">
        <f aca="false">YEAR(A303)</f>
        <v>2014</v>
      </c>
    </row>
    <row r="304" customFormat="false" ht="15" hidden="false" customHeight="false" outlineLevel="0" collapsed="false">
      <c r="A304" s="38" t="n">
        <v>41814</v>
      </c>
      <c r="B304" s="39" t="n">
        <v>812</v>
      </c>
      <c r="C304" s="40" t="n">
        <v>1099580.48</v>
      </c>
      <c r="D304" s="40" t="n">
        <f aca="false">MAX(D303,C304)</f>
        <v>1199582.8</v>
      </c>
      <c r="E304" s="41" t="n">
        <f aca="false">C304/D304-1</f>
        <v>-0.0833642496374574</v>
      </c>
      <c r="F304" s="42" t="n">
        <f aca="false">YEAR(A304)</f>
        <v>2014</v>
      </c>
    </row>
    <row r="305" customFormat="false" ht="15" hidden="false" customHeight="false" outlineLevel="0" collapsed="false">
      <c r="A305" s="38" t="n">
        <v>41815</v>
      </c>
      <c r="B305" s="39" t="n">
        <v>819</v>
      </c>
      <c r="C305" s="40" t="n">
        <v>1062200.48</v>
      </c>
      <c r="D305" s="40" t="n">
        <f aca="false">MAX(D304,C305)</f>
        <v>1199582.8</v>
      </c>
      <c r="E305" s="41" t="n">
        <f aca="false">C305/D305-1</f>
        <v>-0.1145250832206</v>
      </c>
      <c r="F305" s="42" t="n">
        <f aca="false">YEAR(A305)</f>
        <v>2014</v>
      </c>
    </row>
    <row r="306" customFormat="false" ht="15" hidden="false" customHeight="false" outlineLevel="0" collapsed="false">
      <c r="A306" s="38" t="n">
        <v>41816</v>
      </c>
      <c r="B306" s="39" t="n">
        <v>828</v>
      </c>
      <c r="C306" s="40" t="n">
        <v>1014140.48</v>
      </c>
      <c r="D306" s="40" t="n">
        <f aca="false">MAX(D305,C306)</f>
        <v>1199582.8</v>
      </c>
      <c r="E306" s="41" t="n">
        <f aca="false">C306/D306-1</f>
        <v>-0.154589012113211</v>
      </c>
      <c r="F306" s="42" t="n">
        <f aca="false">YEAR(A306)</f>
        <v>2014</v>
      </c>
    </row>
    <row r="307" customFormat="false" ht="15" hidden="false" customHeight="false" outlineLevel="0" collapsed="false">
      <c r="A307" s="38" t="n">
        <v>41817</v>
      </c>
      <c r="B307" s="39" t="n">
        <v>819</v>
      </c>
      <c r="C307" s="40" t="n">
        <v>1062200.48</v>
      </c>
      <c r="D307" s="40" t="n">
        <f aca="false">MAX(D306,C307)</f>
        <v>1199582.8</v>
      </c>
      <c r="E307" s="41" t="n">
        <f aca="false">C307/D307-1</f>
        <v>-0.1145250832206</v>
      </c>
      <c r="F307" s="42" t="n">
        <f aca="false">YEAR(A307)</f>
        <v>2014</v>
      </c>
    </row>
    <row r="308" customFormat="false" ht="15" hidden="false" customHeight="false" outlineLevel="0" collapsed="false">
      <c r="A308" s="38" t="n">
        <v>41820</v>
      </c>
      <c r="B308" s="39" t="n">
        <v>812</v>
      </c>
      <c r="C308" s="40" t="n">
        <v>1099580.48</v>
      </c>
      <c r="D308" s="40" t="n">
        <f aca="false">MAX(D307,C308)</f>
        <v>1199582.8</v>
      </c>
      <c r="E308" s="41" t="n">
        <f aca="false">C308/D308-1</f>
        <v>-0.0833642496374574</v>
      </c>
      <c r="F308" s="42" t="n">
        <f aca="false">YEAR(A308)</f>
        <v>2014</v>
      </c>
    </row>
    <row r="309" customFormat="false" ht="15" hidden="false" customHeight="false" outlineLevel="0" collapsed="false">
      <c r="A309" s="38" t="n">
        <v>41821</v>
      </c>
      <c r="B309" s="39" t="n">
        <v>811</v>
      </c>
      <c r="C309" s="40" t="n">
        <v>1104920.48</v>
      </c>
      <c r="D309" s="40" t="n">
        <f aca="false">MAX(D308,C309)</f>
        <v>1199582.8</v>
      </c>
      <c r="E309" s="41" t="n">
        <f aca="false">C309/D309-1</f>
        <v>-0.0789127019827227</v>
      </c>
      <c r="F309" s="42" t="n">
        <f aca="false">YEAR(A309)</f>
        <v>2014</v>
      </c>
    </row>
    <row r="310" customFormat="false" ht="15" hidden="false" customHeight="false" outlineLevel="0" collapsed="false">
      <c r="A310" s="38" t="n">
        <v>41822</v>
      </c>
      <c r="B310" s="39" t="n">
        <v>819</v>
      </c>
      <c r="C310" s="40" t="n">
        <v>1062200.48</v>
      </c>
      <c r="D310" s="40" t="n">
        <f aca="false">MAX(D309,C310)</f>
        <v>1199582.8</v>
      </c>
      <c r="E310" s="41" t="n">
        <f aca="false">C310/D310-1</f>
        <v>-0.1145250832206</v>
      </c>
      <c r="F310" s="42" t="n">
        <f aca="false">YEAR(A310)</f>
        <v>2014</v>
      </c>
    </row>
    <row r="311" customFormat="false" ht="15" hidden="false" customHeight="false" outlineLevel="0" collapsed="false">
      <c r="A311" s="38" t="n">
        <v>41823</v>
      </c>
      <c r="B311" s="39" t="n">
        <v>809</v>
      </c>
      <c r="C311" s="40" t="n">
        <v>1115600.48</v>
      </c>
      <c r="D311" s="40" t="n">
        <f aca="false">MAX(D310,C311)</f>
        <v>1199582.8</v>
      </c>
      <c r="E311" s="41" t="n">
        <f aca="false">C311/D311-1</f>
        <v>-0.0700096066732534</v>
      </c>
      <c r="F311" s="42" t="n">
        <f aca="false">YEAR(A311)</f>
        <v>2014</v>
      </c>
    </row>
    <row r="312" customFormat="false" ht="15" hidden="false" customHeight="false" outlineLevel="0" collapsed="false">
      <c r="A312" s="38" t="n">
        <v>41824</v>
      </c>
      <c r="B312" s="39" t="n">
        <v>796</v>
      </c>
      <c r="C312" s="40" t="n">
        <v>1185020.48</v>
      </c>
      <c r="D312" s="40" t="n">
        <f aca="false">MAX(D311,C312)</f>
        <v>1199582.8</v>
      </c>
      <c r="E312" s="41" t="n">
        <f aca="false">C312/D312-1</f>
        <v>-0.0121394871617033</v>
      </c>
      <c r="F312" s="42" t="n">
        <f aca="false">YEAR(A312)</f>
        <v>2014</v>
      </c>
    </row>
    <row r="313" customFormat="false" ht="15" hidden="false" customHeight="false" outlineLevel="0" collapsed="false">
      <c r="A313" s="38" t="n">
        <v>41827</v>
      </c>
      <c r="B313" s="39" t="n">
        <v>793</v>
      </c>
      <c r="C313" s="40" t="n">
        <v>1201040.48</v>
      </c>
      <c r="D313" s="40" t="n">
        <f aca="false">MAX(D312,C313)</f>
        <v>1201040.48</v>
      </c>
      <c r="E313" s="41" t="n">
        <f aca="false">C313/D313-1</f>
        <v>0</v>
      </c>
      <c r="F313" s="42" t="n">
        <f aca="false">YEAR(A313)</f>
        <v>2014</v>
      </c>
    </row>
    <row r="314" customFormat="false" ht="15" hidden="false" customHeight="false" outlineLevel="0" collapsed="false">
      <c r="A314" s="38" t="n">
        <v>41828</v>
      </c>
      <c r="B314" s="39" t="n">
        <v>802</v>
      </c>
      <c r="C314" s="40" t="n">
        <v>1152980.48</v>
      </c>
      <c r="D314" s="40" t="n">
        <f aca="false">MAX(D313,C314)</f>
        <v>1201040.48</v>
      </c>
      <c r="E314" s="41" t="n">
        <f aca="false">C314/D314-1</f>
        <v>-0.0400153040636898</v>
      </c>
      <c r="F314" s="42" t="n">
        <f aca="false">YEAR(A314)</f>
        <v>2014</v>
      </c>
    </row>
    <row r="315" customFormat="false" ht="15" hidden="false" customHeight="false" outlineLevel="0" collapsed="false">
      <c r="A315" s="38" t="n">
        <v>41829</v>
      </c>
      <c r="B315" s="39" t="n">
        <v>791</v>
      </c>
      <c r="C315" s="40" t="n">
        <v>1211720.48</v>
      </c>
      <c r="D315" s="40" t="n">
        <f aca="false">MAX(D314,C315)</f>
        <v>1211720.48</v>
      </c>
      <c r="E315" s="41" t="n">
        <f aca="false">C315/D315-1</f>
        <v>0</v>
      </c>
      <c r="F315" s="42" t="n">
        <f aca="false">YEAR(A315)</f>
        <v>2014</v>
      </c>
    </row>
    <row r="316" customFormat="false" ht="15" hidden="false" customHeight="false" outlineLevel="0" collapsed="false">
      <c r="A316" s="38" t="n">
        <v>41830</v>
      </c>
      <c r="B316" s="39" t="n">
        <v>789</v>
      </c>
      <c r="C316" s="40" t="n">
        <v>1222400.48</v>
      </c>
      <c r="D316" s="40" t="n">
        <f aca="false">MAX(D315,C316)</f>
        <v>1222400.48</v>
      </c>
      <c r="E316" s="41" t="n">
        <f aca="false">C316/D316-1</f>
        <v>0</v>
      </c>
      <c r="F316" s="42" t="n">
        <f aca="false">YEAR(A316)</f>
        <v>2014</v>
      </c>
    </row>
    <row r="317" customFormat="false" ht="15" hidden="false" customHeight="false" outlineLevel="0" collapsed="false">
      <c r="A317" s="38" t="n">
        <v>41831</v>
      </c>
      <c r="B317" s="39" t="n">
        <v>779</v>
      </c>
      <c r="C317" s="40" t="n">
        <v>1275800.48</v>
      </c>
      <c r="D317" s="40" t="n">
        <f aca="false">MAX(D316,C317)</f>
        <v>1275800.48</v>
      </c>
      <c r="E317" s="41" t="n">
        <f aca="false">C317/D317-1</f>
        <v>0</v>
      </c>
      <c r="F317" s="42" t="n">
        <f aca="false">YEAR(A317)</f>
        <v>2014</v>
      </c>
    </row>
    <row r="318" customFormat="false" ht="15" hidden="false" customHeight="false" outlineLevel="0" collapsed="false">
      <c r="A318" s="38" t="n">
        <v>41834</v>
      </c>
      <c r="B318" s="39" t="n">
        <v>779</v>
      </c>
      <c r="C318" s="40" t="n">
        <v>1275800.48</v>
      </c>
      <c r="D318" s="40" t="n">
        <f aca="false">MAX(D317,C318)</f>
        <v>1275800.48</v>
      </c>
      <c r="E318" s="41" t="n">
        <f aca="false">C318/D318-1</f>
        <v>0</v>
      </c>
      <c r="F318" s="42" t="n">
        <f aca="false">YEAR(A318)</f>
        <v>2014</v>
      </c>
    </row>
    <row r="319" customFormat="false" ht="15" hidden="false" customHeight="false" outlineLevel="0" collapsed="false">
      <c r="A319" s="38" t="n">
        <v>41835</v>
      </c>
      <c r="B319" s="39" t="n">
        <v>786</v>
      </c>
      <c r="C319" s="40" t="n">
        <v>1238420.48</v>
      </c>
      <c r="D319" s="40" t="n">
        <f aca="false">MAX(D318,C319)</f>
        <v>1275800.48</v>
      </c>
      <c r="E319" s="41" t="n">
        <f aca="false">C319/D319-1</f>
        <v>-0.0292992521840092</v>
      </c>
      <c r="F319" s="42" t="n">
        <f aca="false">YEAR(A319)</f>
        <v>2014</v>
      </c>
    </row>
    <row r="320" customFormat="false" ht="15" hidden="false" customHeight="false" outlineLevel="0" collapsed="false">
      <c r="A320" s="38" t="n">
        <v>41836</v>
      </c>
      <c r="B320" s="39" t="n">
        <v>780</v>
      </c>
      <c r="C320" s="40" t="n">
        <v>1270460.48</v>
      </c>
      <c r="D320" s="40" t="n">
        <f aca="false">MAX(D319,C320)</f>
        <v>1275800.48</v>
      </c>
      <c r="E320" s="41" t="n">
        <f aca="false">C320/D320-1</f>
        <v>-0.00418560745485841</v>
      </c>
      <c r="F320" s="42" t="n">
        <f aca="false">YEAR(A320)</f>
        <v>2014</v>
      </c>
    </row>
    <row r="321" customFormat="false" ht="15" hidden="false" customHeight="false" outlineLevel="0" collapsed="false">
      <c r="A321" s="38" t="n">
        <v>41837</v>
      </c>
      <c r="B321" s="39" t="n">
        <v>779</v>
      </c>
      <c r="C321" s="40" t="n">
        <v>1275800.48</v>
      </c>
      <c r="D321" s="40" t="n">
        <f aca="false">MAX(D320,C321)</f>
        <v>1275800.48</v>
      </c>
      <c r="E321" s="41" t="n">
        <f aca="false">C321/D321-1</f>
        <v>0</v>
      </c>
      <c r="F321" s="42" t="n">
        <f aca="false">YEAR(A321)</f>
        <v>2014</v>
      </c>
    </row>
    <row r="322" customFormat="false" ht="15" hidden="false" customHeight="false" outlineLevel="0" collapsed="false">
      <c r="A322" s="38" t="n">
        <v>41838</v>
      </c>
      <c r="B322" s="39" t="n">
        <v>773</v>
      </c>
      <c r="C322" s="40" t="n">
        <v>1307840.48</v>
      </c>
      <c r="D322" s="40" t="n">
        <f aca="false">MAX(D321,C322)</f>
        <v>1307840.48</v>
      </c>
      <c r="E322" s="41" t="n">
        <f aca="false">C322/D322-1</f>
        <v>0</v>
      </c>
      <c r="F322" s="42" t="n">
        <f aca="false">YEAR(A322)</f>
        <v>2014</v>
      </c>
    </row>
    <row r="323" customFormat="false" ht="15" hidden="false" customHeight="false" outlineLevel="0" collapsed="false">
      <c r="A323" s="38" t="n">
        <v>41841</v>
      </c>
      <c r="B323" s="39" t="n">
        <v>779</v>
      </c>
      <c r="C323" s="40" t="n">
        <v>1275800.48</v>
      </c>
      <c r="D323" s="40" t="n">
        <f aca="false">MAX(D322,C323)</f>
        <v>1307840.48</v>
      </c>
      <c r="E323" s="41" t="n">
        <f aca="false">C323/D323-1</f>
        <v>-0.0244984006000487</v>
      </c>
      <c r="F323" s="42" t="n">
        <f aca="false">YEAR(A323)</f>
        <v>2014</v>
      </c>
    </row>
    <row r="324" customFormat="false" ht="15" hidden="false" customHeight="false" outlineLevel="0" collapsed="false">
      <c r="A324" s="38" t="n">
        <v>41842</v>
      </c>
      <c r="B324" s="39" t="n">
        <v>775</v>
      </c>
      <c r="C324" s="40" t="n">
        <v>1297160.48</v>
      </c>
      <c r="D324" s="40" t="n">
        <f aca="false">MAX(D323,C324)</f>
        <v>1307840.48</v>
      </c>
      <c r="E324" s="41" t="n">
        <f aca="false">C324/D324-1</f>
        <v>-0.00816613353334961</v>
      </c>
      <c r="F324" s="42" t="n">
        <f aca="false">YEAR(A324)</f>
        <v>2014</v>
      </c>
    </row>
    <row r="325" customFormat="false" ht="15" hidden="false" customHeight="false" outlineLevel="0" collapsed="false">
      <c r="A325" s="38" t="n">
        <v>41843</v>
      </c>
      <c r="B325" s="39" t="n">
        <v>767</v>
      </c>
      <c r="C325" s="40" t="n">
        <v>1339880.48</v>
      </c>
      <c r="D325" s="40" t="n">
        <f aca="false">MAX(D324,C325)</f>
        <v>1339880.48</v>
      </c>
      <c r="E325" s="41" t="n">
        <f aca="false">C325/D325-1</f>
        <v>0</v>
      </c>
      <c r="F325" s="42" t="n">
        <f aca="false">YEAR(A325)</f>
        <v>2014</v>
      </c>
    </row>
    <row r="326" customFormat="false" ht="15" hidden="false" customHeight="false" outlineLevel="0" collapsed="false">
      <c r="A326" s="38" t="n">
        <v>41844</v>
      </c>
      <c r="B326" s="39" t="n">
        <v>766</v>
      </c>
      <c r="C326" s="40" t="n">
        <v>1345220.48</v>
      </c>
      <c r="D326" s="40" t="n">
        <f aca="false">MAX(D325,C326)</f>
        <v>1345220.48</v>
      </c>
      <c r="E326" s="41" t="n">
        <f aca="false">C326/D326-1</f>
        <v>0</v>
      </c>
      <c r="F326" s="42" t="n">
        <f aca="false">YEAR(A326)</f>
        <v>2014</v>
      </c>
    </row>
    <row r="327" customFormat="false" ht="15" hidden="false" customHeight="false" outlineLevel="0" collapsed="false">
      <c r="A327" s="38" t="n">
        <v>41845</v>
      </c>
      <c r="B327" s="39" t="n">
        <v>770</v>
      </c>
      <c r="C327" s="40" t="n">
        <v>1323860.48</v>
      </c>
      <c r="D327" s="40" t="n">
        <f aca="false">MAX(D326,C327)</f>
        <v>1345220.48</v>
      </c>
      <c r="E327" s="41" t="n">
        <f aca="false">C327/D327-1</f>
        <v>-0.0158784380089129</v>
      </c>
      <c r="F327" s="42" t="n">
        <f aca="false">YEAR(A327)</f>
        <v>2014</v>
      </c>
    </row>
    <row r="328" customFormat="false" ht="15" hidden="false" customHeight="false" outlineLevel="0" collapsed="false">
      <c r="A328" s="38" t="n">
        <v>41848</v>
      </c>
      <c r="B328" s="39" t="n">
        <v>780</v>
      </c>
      <c r="C328" s="40" t="n">
        <v>1270460.48</v>
      </c>
      <c r="D328" s="40" t="n">
        <f aca="false">MAX(D327,C328)</f>
        <v>1345220.48</v>
      </c>
      <c r="E328" s="41" t="n">
        <f aca="false">C328/D328-1</f>
        <v>-0.055574533031195</v>
      </c>
      <c r="F328" s="42" t="n">
        <f aca="false">YEAR(A328)</f>
        <v>2014</v>
      </c>
    </row>
    <row r="329" customFormat="false" ht="15" hidden="false" customHeight="false" outlineLevel="0" collapsed="false">
      <c r="A329" s="38" t="n">
        <v>41849</v>
      </c>
      <c r="B329" s="39" t="n">
        <v>785</v>
      </c>
      <c r="C329" s="40" t="n">
        <v>1243760.48</v>
      </c>
      <c r="D329" s="40" t="n">
        <f aca="false">MAX(D328,C329)</f>
        <v>1345220.48</v>
      </c>
      <c r="E329" s="41" t="n">
        <f aca="false">C329/D329-1</f>
        <v>-0.0754225805423361</v>
      </c>
      <c r="F329" s="42" t="n">
        <f aca="false">YEAR(A329)</f>
        <v>2014</v>
      </c>
    </row>
    <row r="330" customFormat="false" ht="15" hidden="false" customHeight="false" outlineLevel="0" collapsed="false">
      <c r="A330" s="38" t="n">
        <v>41850</v>
      </c>
      <c r="B330" s="39" t="n">
        <v>781</v>
      </c>
      <c r="C330" s="40" t="n">
        <v>1265120.48</v>
      </c>
      <c r="D330" s="40" t="n">
        <f aca="false">MAX(D329,C330)</f>
        <v>1345220.48</v>
      </c>
      <c r="E330" s="41" t="n">
        <f aca="false">C330/D330-1</f>
        <v>-0.0595441425334232</v>
      </c>
      <c r="F330" s="42" t="n">
        <f aca="false">YEAR(A330)</f>
        <v>2014</v>
      </c>
    </row>
    <row r="331" customFormat="false" ht="15" hidden="false" customHeight="false" outlineLevel="0" collapsed="false">
      <c r="A331" s="38" t="n">
        <v>41851</v>
      </c>
      <c r="B331" s="39" t="n">
        <v>772</v>
      </c>
      <c r="C331" s="40" t="n">
        <v>1313180.48</v>
      </c>
      <c r="D331" s="40" t="n">
        <f aca="false">MAX(D330,C331)</f>
        <v>1345220.48</v>
      </c>
      <c r="E331" s="41" t="n">
        <f aca="false">C331/D331-1</f>
        <v>-0.0238176570133692</v>
      </c>
      <c r="F331" s="42" t="n">
        <f aca="false">YEAR(A331)</f>
        <v>2014</v>
      </c>
    </row>
    <row r="332" customFormat="false" ht="15" hidden="false" customHeight="false" outlineLevel="0" collapsed="false">
      <c r="A332" s="38" t="n">
        <v>41852</v>
      </c>
      <c r="B332" s="39" t="n">
        <v>770</v>
      </c>
      <c r="C332" s="40" t="n">
        <v>1323860.48</v>
      </c>
      <c r="D332" s="40" t="n">
        <f aca="false">MAX(D331,C332)</f>
        <v>1345220.48</v>
      </c>
      <c r="E332" s="41" t="n">
        <f aca="false">C332/D332-1</f>
        <v>-0.0158784380089129</v>
      </c>
      <c r="F332" s="42" t="n">
        <f aca="false">YEAR(A332)</f>
        <v>2014</v>
      </c>
    </row>
    <row r="333" customFormat="false" ht="15" hidden="false" customHeight="false" outlineLevel="0" collapsed="false">
      <c r="A333" s="38" t="n">
        <v>41855</v>
      </c>
      <c r="B333" s="39" t="n">
        <v>789</v>
      </c>
      <c r="C333" s="40" t="n">
        <v>1222400.48</v>
      </c>
      <c r="D333" s="40" t="n">
        <f aca="false">MAX(D332,C333)</f>
        <v>1345220.48</v>
      </c>
      <c r="E333" s="41" t="n">
        <f aca="false">C333/D333-1</f>
        <v>-0.091301018551249</v>
      </c>
      <c r="F333" s="42" t="n">
        <f aca="false">YEAR(A333)</f>
        <v>2014</v>
      </c>
    </row>
    <row r="334" customFormat="false" ht="15" hidden="false" customHeight="false" outlineLevel="0" collapsed="false">
      <c r="A334" s="38" t="n">
        <v>41856</v>
      </c>
      <c r="B334" s="39" t="n">
        <v>795</v>
      </c>
      <c r="C334" s="40" t="n">
        <v>1190360.48</v>
      </c>
      <c r="D334" s="40" t="n">
        <f aca="false">MAX(D333,C334)</f>
        <v>1345220.48</v>
      </c>
      <c r="E334" s="41" t="n">
        <f aca="false">C334/D334-1</f>
        <v>-0.115118675564618</v>
      </c>
      <c r="F334" s="42" t="n">
        <f aca="false">YEAR(A334)</f>
        <v>2014</v>
      </c>
    </row>
    <row r="335" customFormat="false" ht="15" hidden="false" customHeight="false" outlineLevel="0" collapsed="false">
      <c r="A335" s="38" t="n">
        <v>41857</v>
      </c>
      <c r="B335" s="39" t="n">
        <v>797</v>
      </c>
      <c r="C335" s="40" t="n">
        <v>1192605.32</v>
      </c>
      <c r="D335" s="40" t="n">
        <f aca="false">MAX(D334,C335)</f>
        <v>1345220.48</v>
      </c>
      <c r="E335" s="41" t="n">
        <f aca="false">C335/D335-1</f>
        <v>-0.113449923093648</v>
      </c>
      <c r="F335" s="42" t="n">
        <f aca="false">YEAR(A335)</f>
        <v>2014</v>
      </c>
    </row>
    <row r="336" customFormat="false" ht="15" hidden="false" customHeight="false" outlineLevel="0" collapsed="false">
      <c r="A336" s="38" t="n">
        <v>41858</v>
      </c>
      <c r="B336" s="39" t="n">
        <v>802</v>
      </c>
      <c r="C336" s="40" t="n">
        <v>1192605.32</v>
      </c>
      <c r="D336" s="40" t="n">
        <f aca="false">MAX(D335,C336)</f>
        <v>1345220.48</v>
      </c>
      <c r="E336" s="41" t="n">
        <f aca="false">C336/D336-1</f>
        <v>-0.113449923093648</v>
      </c>
      <c r="F336" s="42" t="n">
        <f aca="false">YEAR(A336)</f>
        <v>2014</v>
      </c>
    </row>
    <row r="337" customFormat="false" ht="15" hidden="false" customHeight="false" outlineLevel="0" collapsed="false">
      <c r="A337" s="38" t="n">
        <v>41859</v>
      </c>
      <c r="B337" s="39" t="n">
        <v>796</v>
      </c>
      <c r="C337" s="40" t="n">
        <v>1192605.32</v>
      </c>
      <c r="D337" s="40" t="n">
        <f aca="false">MAX(D336,C337)</f>
        <v>1345220.48</v>
      </c>
      <c r="E337" s="41" t="n">
        <f aca="false">C337/D337-1</f>
        <v>-0.113449923093648</v>
      </c>
      <c r="F337" s="42" t="n">
        <f aca="false">YEAR(A337)</f>
        <v>2014</v>
      </c>
    </row>
    <row r="338" customFormat="false" ht="15" hidden="false" customHeight="false" outlineLevel="0" collapsed="false">
      <c r="A338" s="38" t="n">
        <v>41862</v>
      </c>
      <c r="B338" s="39" t="n">
        <v>796</v>
      </c>
      <c r="C338" s="40" t="n">
        <v>1192605.32</v>
      </c>
      <c r="D338" s="40" t="n">
        <f aca="false">MAX(D337,C338)</f>
        <v>1345220.48</v>
      </c>
      <c r="E338" s="41" t="n">
        <f aca="false">C338/D338-1</f>
        <v>-0.113449923093648</v>
      </c>
      <c r="F338" s="42" t="n">
        <f aca="false">YEAR(A338)</f>
        <v>2014</v>
      </c>
    </row>
    <row r="339" customFormat="false" ht="15" hidden="false" customHeight="false" outlineLevel="0" collapsed="false">
      <c r="A339" s="38" t="n">
        <v>41863</v>
      </c>
      <c r="B339" s="39" t="n">
        <v>787</v>
      </c>
      <c r="C339" s="40" t="n">
        <v>1192605.32</v>
      </c>
      <c r="D339" s="40" t="n">
        <f aca="false">MAX(D338,C339)</f>
        <v>1345220.48</v>
      </c>
      <c r="E339" s="41" t="n">
        <f aca="false">C339/D339-1</f>
        <v>-0.113449923093648</v>
      </c>
      <c r="F339" s="42" t="n">
        <f aca="false">YEAR(A339)</f>
        <v>2014</v>
      </c>
    </row>
    <row r="340" customFormat="false" ht="15" hidden="false" customHeight="false" outlineLevel="0" collapsed="false">
      <c r="A340" s="38" t="n">
        <v>41864</v>
      </c>
      <c r="B340" s="39" t="n">
        <v>787</v>
      </c>
      <c r="C340" s="40" t="n">
        <v>1192605.32</v>
      </c>
      <c r="D340" s="40" t="n">
        <f aca="false">MAX(D339,C340)</f>
        <v>1345220.48</v>
      </c>
      <c r="E340" s="41" t="n">
        <f aca="false">C340/D340-1</f>
        <v>-0.113449923093648</v>
      </c>
      <c r="F340" s="42" t="n">
        <f aca="false">YEAR(A340)</f>
        <v>2014</v>
      </c>
    </row>
    <row r="341" customFormat="false" ht="15" hidden="false" customHeight="false" outlineLevel="0" collapsed="false">
      <c r="A341" s="38" t="n">
        <v>41865</v>
      </c>
      <c r="B341" s="39" t="n">
        <v>769</v>
      </c>
      <c r="C341" s="40" t="n">
        <v>1192605.32</v>
      </c>
      <c r="D341" s="40" t="n">
        <f aca="false">MAX(D340,C341)</f>
        <v>1345220.48</v>
      </c>
      <c r="E341" s="41" t="n">
        <f aca="false">C341/D341-1</f>
        <v>-0.113449923093648</v>
      </c>
      <c r="F341" s="42" t="n">
        <f aca="false">YEAR(A341)</f>
        <v>2014</v>
      </c>
    </row>
    <row r="342" customFormat="false" ht="15" hidden="false" customHeight="false" outlineLevel="0" collapsed="false">
      <c r="A342" s="38" t="n">
        <v>41866</v>
      </c>
      <c r="B342" s="39" t="n">
        <v>796</v>
      </c>
      <c r="C342" s="40" t="n">
        <v>1192605.32</v>
      </c>
      <c r="D342" s="40" t="n">
        <f aca="false">MAX(D341,C342)</f>
        <v>1345220.48</v>
      </c>
      <c r="E342" s="41" t="n">
        <f aca="false">C342/D342-1</f>
        <v>-0.113449923093648</v>
      </c>
      <c r="F342" s="42" t="n">
        <f aca="false">YEAR(A342)</f>
        <v>2014</v>
      </c>
    </row>
    <row r="343" customFormat="false" ht="15" hidden="false" customHeight="false" outlineLevel="0" collapsed="false">
      <c r="A343" s="38" t="n">
        <v>41869</v>
      </c>
      <c r="B343" s="39" t="n">
        <v>791</v>
      </c>
      <c r="C343" s="40" t="n">
        <v>1192605.32</v>
      </c>
      <c r="D343" s="40" t="n">
        <f aca="false">MAX(D342,C343)</f>
        <v>1345220.48</v>
      </c>
      <c r="E343" s="41" t="n">
        <f aca="false">C343/D343-1</f>
        <v>-0.113449923093648</v>
      </c>
      <c r="F343" s="42" t="n">
        <f aca="false">YEAR(A343)</f>
        <v>2014</v>
      </c>
    </row>
    <row r="344" customFormat="false" ht="15" hidden="false" customHeight="false" outlineLevel="0" collapsed="false">
      <c r="A344" s="38" t="n">
        <v>41870</v>
      </c>
      <c r="B344" s="39" t="n">
        <v>795</v>
      </c>
      <c r="C344" s="40" t="n">
        <v>1192605.32</v>
      </c>
      <c r="D344" s="40" t="n">
        <f aca="false">MAX(D343,C344)</f>
        <v>1345220.48</v>
      </c>
      <c r="E344" s="41" t="n">
        <f aca="false">C344/D344-1</f>
        <v>-0.113449923093648</v>
      </c>
      <c r="F344" s="42" t="n">
        <f aca="false">YEAR(A344)</f>
        <v>2014</v>
      </c>
    </row>
    <row r="345" customFormat="false" ht="15" hidden="false" customHeight="false" outlineLevel="0" collapsed="false">
      <c r="A345" s="38" t="n">
        <v>41871</v>
      </c>
      <c r="B345" s="39" t="n">
        <v>788</v>
      </c>
      <c r="C345" s="40" t="n">
        <v>1192605.32</v>
      </c>
      <c r="D345" s="40" t="n">
        <f aca="false">MAX(D344,C345)</f>
        <v>1345220.48</v>
      </c>
      <c r="E345" s="41" t="n">
        <f aca="false">C345/D345-1</f>
        <v>-0.113449923093648</v>
      </c>
      <c r="F345" s="42" t="n">
        <f aca="false">YEAR(A345)</f>
        <v>2014</v>
      </c>
    </row>
    <row r="346" customFormat="false" ht="15" hidden="false" customHeight="false" outlineLevel="0" collapsed="false">
      <c r="A346" s="38" t="n">
        <v>41872</v>
      </c>
      <c r="B346" s="39" t="n">
        <v>791</v>
      </c>
      <c r="C346" s="40" t="n">
        <v>1192605.32</v>
      </c>
      <c r="D346" s="40" t="n">
        <f aca="false">MAX(D345,C346)</f>
        <v>1345220.48</v>
      </c>
      <c r="E346" s="41" t="n">
        <f aca="false">C346/D346-1</f>
        <v>-0.113449923093648</v>
      </c>
      <c r="F346" s="42" t="n">
        <f aca="false">YEAR(A346)</f>
        <v>2014</v>
      </c>
    </row>
    <row r="347" customFormat="false" ht="15" hidden="false" customHeight="false" outlineLevel="0" collapsed="false">
      <c r="A347" s="38" t="n">
        <v>41873</v>
      </c>
      <c r="B347" s="39" t="n">
        <v>796</v>
      </c>
      <c r="C347" s="40" t="n">
        <v>1192605.32</v>
      </c>
      <c r="D347" s="40" t="n">
        <f aca="false">MAX(D346,C347)</f>
        <v>1345220.48</v>
      </c>
      <c r="E347" s="41" t="n">
        <f aca="false">C347/D347-1</f>
        <v>-0.113449923093648</v>
      </c>
      <c r="F347" s="42" t="n">
        <f aca="false">YEAR(A347)</f>
        <v>2014</v>
      </c>
    </row>
    <row r="348" customFormat="false" ht="15" hidden="false" customHeight="false" outlineLevel="0" collapsed="false">
      <c r="A348" s="38" t="n">
        <v>41876</v>
      </c>
      <c r="B348" s="39" t="n">
        <v>800</v>
      </c>
      <c r="C348" s="40" t="n">
        <v>1226428.52</v>
      </c>
      <c r="D348" s="40" t="n">
        <f aca="false">MAX(D347,C348)</f>
        <v>1345220.48</v>
      </c>
      <c r="E348" s="41" t="n">
        <f aca="false">C348/D348-1</f>
        <v>-0.088306684120658</v>
      </c>
      <c r="F348" s="42" t="n">
        <f aca="false">YEAR(A348)</f>
        <v>2014</v>
      </c>
    </row>
    <row r="349" customFormat="false" ht="15" hidden="false" customHeight="false" outlineLevel="0" collapsed="false">
      <c r="A349" s="38" t="n">
        <v>41877</v>
      </c>
      <c r="B349" s="39" t="n">
        <v>805</v>
      </c>
      <c r="C349" s="40" t="n">
        <v>1257628.52</v>
      </c>
      <c r="D349" s="40" t="n">
        <f aca="false">MAX(D348,C349)</f>
        <v>1345220.48</v>
      </c>
      <c r="E349" s="41" t="n">
        <f aca="false">C349/D349-1</f>
        <v>-0.0651134600626955</v>
      </c>
      <c r="F349" s="42" t="n">
        <f aca="false">YEAR(A349)</f>
        <v>2014</v>
      </c>
    </row>
    <row r="350" customFormat="false" ht="15" hidden="false" customHeight="false" outlineLevel="0" collapsed="false">
      <c r="A350" s="38" t="n">
        <v>41878</v>
      </c>
      <c r="B350" s="39" t="n">
        <v>798</v>
      </c>
      <c r="C350" s="40" t="n">
        <v>1213948.52</v>
      </c>
      <c r="D350" s="40" t="n">
        <f aca="false">MAX(D349,C350)</f>
        <v>1345220.48</v>
      </c>
      <c r="E350" s="41" t="n">
        <f aca="false">C350/D350-1</f>
        <v>-0.0975839737438431</v>
      </c>
      <c r="F350" s="42" t="n">
        <f aca="false">YEAR(A350)</f>
        <v>2014</v>
      </c>
    </row>
    <row r="351" customFormat="false" ht="15" hidden="false" customHeight="false" outlineLevel="0" collapsed="false">
      <c r="A351" s="38" t="n">
        <v>41879</v>
      </c>
      <c r="B351" s="39" t="n">
        <v>795</v>
      </c>
      <c r="C351" s="40" t="n">
        <v>1195228.52</v>
      </c>
      <c r="D351" s="40" t="n">
        <f aca="false">MAX(D350,C351)</f>
        <v>1345220.48</v>
      </c>
      <c r="E351" s="41" t="n">
        <f aca="false">C351/D351-1</f>
        <v>-0.111499908178621</v>
      </c>
      <c r="F351" s="42" t="n">
        <f aca="false">YEAR(A351)</f>
        <v>2014</v>
      </c>
    </row>
    <row r="352" customFormat="false" ht="15" hidden="false" customHeight="false" outlineLevel="0" collapsed="false">
      <c r="A352" s="38" t="n">
        <v>41880</v>
      </c>
      <c r="B352" s="39" t="n">
        <v>795</v>
      </c>
      <c r="C352" s="40" t="n">
        <v>1195228.52</v>
      </c>
      <c r="D352" s="40" t="n">
        <f aca="false">MAX(D351,C352)</f>
        <v>1345220.48</v>
      </c>
      <c r="E352" s="41" t="n">
        <f aca="false">C352/D352-1</f>
        <v>-0.111499908178621</v>
      </c>
      <c r="F352" s="42" t="n">
        <f aca="false">YEAR(A352)</f>
        <v>2014</v>
      </c>
    </row>
    <row r="353" customFormat="false" ht="15" hidden="false" customHeight="false" outlineLevel="0" collapsed="false">
      <c r="A353" s="38" t="n">
        <v>41883</v>
      </c>
      <c r="B353" s="39" t="n">
        <v>794</v>
      </c>
      <c r="C353" s="40" t="n">
        <v>1188988.52</v>
      </c>
      <c r="D353" s="40" t="n">
        <f aca="false">MAX(D352,C353)</f>
        <v>1345220.48</v>
      </c>
      <c r="E353" s="41" t="n">
        <f aca="false">C353/D353-1</f>
        <v>-0.116138552990213</v>
      </c>
      <c r="F353" s="42" t="n">
        <f aca="false">YEAR(A353)</f>
        <v>2014</v>
      </c>
    </row>
    <row r="354" customFormat="false" ht="15" hidden="false" customHeight="false" outlineLevel="0" collapsed="false">
      <c r="A354" s="38" t="n">
        <v>41884</v>
      </c>
      <c r="B354" s="39" t="n">
        <v>806</v>
      </c>
      <c r="C354" s="40" t="n">
        <v>1263868.52</v>
      </c>
      <c r="D354" s="40" t="n">
        <f aca="false">MAX(D353,C354)</f>
        <v>1345220.48</v>
      </c>
      <c r="E354" s="41" t="n">
        <f aca="false">C354/D354-1</f>
        <v>-0.0604748152511029</v>
      </c>
      <c r="F354" s="42" t="n">
        <f aca="false">YEAR(A354)</f>
        <v>2014</v>
      </c>
    </row>
    <row r="355" customFormat="false" ht="15" hidden="false" customHeight="false" outlineLevel="0" collapsed="false">
      <c r="A355" s="38" t="n">
        <v>41885</v>
      </c>
      <c r="B355" s="39" t="n">
        <v>796</v>
      </c>
      <c r="C355" s="40" t="n">
        <v>1201468.52</v>
      </c>
      <c r="D355" s="40" t="n">
        <f aca="false">MAX(D354,C355)</f>
        <v>1345220.48</v>
      </c>
      <c r="E355" s="41" t="n">
        <f aca="false">C355/D355-1</f>
        <v>-0.106861263367028</v>
      </c>
      <c r="F355" s="42" t="n">
        <f aca="false">YEAR(A355)</f>
        <v>2014</v>
      </c>
    </row>
    <row r="356" customFormat="false" ht="15" hidden="false" customHeight="false" outlineLevel="0" collapsed="false">
      <c r="A356" s="38" t="n">
        <v>41886</v>
      </c>
      <c r="B356" s="39" t="n">
        <v>793</v>
      </c>
      <c r="C356" s="40" t="n">
        <v>1182748.52</v>
      </c>
      <c r="D356" s="40" t="n">
        <f aca="false">MAX(D355,C356)</f>
        <v>1345220.48</v>
      </c>
      <c r="E356" s="41" t="n">
        <f aca="false">C356/D356-1</f>
        <v>-0.120777197801806</v>
      </c>
      <c r="F356" s="42" t="n">
        <f aca="false">YEAR(A356)</f>
        <v>2014</v>
      </c>
    </row>
    <row r="357" customFormat="false" ht="15" hidden="false" customHeight="false" outlineLevel="0" collapsed="false">
      <c r="A357" s="38" t="n">
        <v>41887</v>
      </c>
      <c r="B357" s="39" t="n">
        <v>787</v>
      </c>
      <c r="C357" s="40" t="n">
        <v>1145308.52</v>
      </c>
      <c r="D357" s="40" t="n">
        <f aca="false">MAX(D356,C357)</f>
        <v>1345220.48</v>
      </c>
      <c r="E357" s="41" t="n">
        <f aca="false">C357/D357-1</f>
        <v>-0.148609066671361</v>
      </c>
      <c r="F357" s="42" t="n">
        <f aca="false">YEAR(A357)</f>
        <v>2014</v>
      </c>
    </row>
    <row r="358" customFormat="false" ht="15" hidden="false" customHeight="false" outlineLevel="0" collapsed="false">
      <c r="A358" s="38" t="n">
        <v>41891</v>
      </c>
      <c r="B358" s="39" t="n">
        <v>776</v>
      </c>
      <c r="C358" s="40" t="n">
        <v>1076668.52</v>
      </c>
      <c r="D358" s="40" t="n">
        <f aca="false">MAX(D357,C358)</f>
        <v>1345220.48</v>
      </c>
      <c r="E358" s="41" t="n">
        <f aca="false">C358/D358-1</f>
        <v>-0.199634159598879</v>
      </c>
      <c r="F358" s="42" t="n">
        <f aca="false">YEAR(A358)</f>
        <v>2014</v>
      </c>
    </row>
    <row r="359" customFormat="false" ht="15" hidden="false" customHeight="false" outlineLevel="0" collapsed="false">
      <c r="A359" s="38" t="n">
        <v>41892</v>
      </c>
      <c r="B359" s="39" t="n">
        <v>778</v>
      </c>
      <c r="C359" s="40" t="n">
        <v>1035627.31</v>
      </c>
      <c r="D359" s="40" t="n">
        <f aca="false">MAX(D358,C359)</f>
        <v>1345220.48</v>
      </c>
      <c r="E359" s="41" t="n">
        <f aca="false">C359/D359-1</f>
        <v>-0.230143069186696</v>
      </c>
      <c r="F359" s="42" t="n">
        <f aca="false">YEAR(A359)</f>
        <v>2014</v>
      </c>
    </row>
    <row r="360" customFormat="false" ht="15" hidden="false" customHeight="false" outlineLevel="0" collapsed="false">
      <c r="A360" s="38" t="n">
        <v>41893</v>
      </c>
      <c r="B360" s="39" t="n">
        <v>774</v>
      </c>
      <c r="C360" s="40" t="n">
        <v>1035627.31</v>
      </c>
      <c r="D360" s="40" t="n">
        <f aca="false">MAX(D359,C360)</f>
        <v>1345220.48</v>
      </c>
      <c r="E360" s="41" t="n">
        <f aca="false">C360/D360-1</f>
        <v>-0.230143069186696</v>
      </c>
      <c r="F360" s="42" t="n">
        <f aca="false">YEAR(A360)</f>
        <v>2014</v>
      </c>
    </row>
    <row r="361" customFormat="false" ht="15" hidden="false" customHeight="false" outlineLevel="0" collapsed="false">
      <c r="A361" s="38" t="n">
        <v>41894</v>
      </c>
      <c r="B361" s="39" t="n">
        <v>782</v>
      </c>
      <c r="C361" s="40" t="n">
        <v>1035627.31</v>
      </c>
      <c r="D361" s="40" t="n">
        <f aca="false">MAX(D360,C361)</f>
        <v>1345220.48</v>
      </c>
      <c r="E361" s="41" t="n">
        <f aca="false">C361/D361-1</f>
        <v>-0.230143069186696</v>
      </c>
      <c r="F361" s="42" t="n">
        <f aca="false">YEAR(A361)</f>
        <v>2014</v>
      </c>
    </row>
    <row r="362" customFormat="false" ht="15" hidden="false" customHeight="false" outlineLevel="0" collapsed="false">
      <c r="A362" s="38" t="n">
        <v>41897</v>
      </c>
      <c r="B362" s="39" t="n">
        <v>797</v>
      </c>
      <c r="C362" s="40" t="n">
        <v>1035627.31</v>
      </c>
      <c r="D362" s="40" t="n">
        <f aca="false">MAX(D361,C362)</f>
        <v>1345220.48</v>
      </c>
      <c r="E362" s="41" t="n">
        <f aca="false">C362/D362-1</f>
        <v>-0.230143069186696</v>
      </c>
      <c r="F362" s="42" t="n">
        <f aca="false">YEAR(A362)</f>
        <v>2014</v>
      </c>
    </row>
    <row r="363" customFormat="false" ht="15" hidden="false" customHeight="false" outlineLevel="0" collapsed="false">
      <c r="A363" s="38" t="n">
        <v>41898</v>
      </c>
      <c r="B363" s="39" t="n">
        <v>791</v>
      </c>
      <c r="C363" s="40" t="n">
        <v>1035627.31</v>
      </c>
      <c r="D363" s="40" t="n">
        <f aca="false">MAX(D362,C363)</f>
        <v>1345220.48</v>
      </c>
      <c r="E363" s="41" t="n">
        <f aca="false">C363/D363-1</f>
        <v>-0.230143069186696</v>
      </c>
      <c r="F363" s="42" t="n">
        <f aca="false">YEAR(A363)</f>
        <v>2014</v>
      </c>
    </row>
    <row r="364" customFormat="false" ht="15" hidden="false" customHeight="false" outlineLevel="0" collapsed="false">
      <c r="A364" s="38" t="n">
        <v>41899</v>
      </c>
      <c r="B364" s="39" t="n">
        <v>799</v>
      </c>
      <c r="C364" s="40" t="n">
        <v>1035627.31</v>
      </c>
      <c r="D364" s="40" t="n">
        <f aca="false">MAX(D363,C364)</f>
        <v>1345220.48</v>
      </c>
      <c r="E364" s="41" t="n">
        <f aca="false">C364/D364-1</f>
        <v>-0.230143069186696</v>
      </c>
      <c r="F364" s="42" t="n">
        <f aca="false">YEAR(A364)</f>
        <v>2014</v>
      </c>
    </row>
    <row r="365" customFormat="false" ht="15" hidden="false" customHeight="false" outlineLevel="0" collapsed="false">
      <c r="A365" s="38" t="n">
        <v>41900</v>
      </c>
      <c r="B365" s="39" t="n">
        <v>793</v>
      </c>
      <c r="C365" s="40" t="n">
        <v>1035627.31</v>
      </c>
      <c r="D365" s="40" t="n">
        <f aca="false">MAX(D364,C365)</f>
        <v>1345220.48</v>
      </c>
      <c r="E365" s="41" t="n">
        <f aca="false">C365/D365-1</f>
        <v>-0.230143069186696</v>
      </c>
      <c r="F365" s="42" t="n">
        <f aca="false">YEAR(A365)</f>
        <v>2014</v>
      </c>
    </row>
    <row r="366" customFormat="false" ht="15" hidden="false" customHeight="false" outlineLevel="0" collapsed="false">
      <c r="A366" s="38" t="n">
        <v>41901</v>
      </c>
      <c r="B366" s="39" t="n">
        <v>786</v>
      </c>
      <c r="C366" s="40" t="n">
        <v>1035627.31</v>
      </c>
      <c r="D366" s="40" t="n">
        <f aca="false">MAX(D365,C366)</f>
        <v>1345220.48</v>
      </c>
      <c r="E366" s="41" t="n">
        <f aca="false">C366/D366-1</f>
        <v>-0.230143069186696</v>
      </c>
      <c r="F366" s="42" t="n">
        <f aca="false">YEAR(A366)</f>
        <v>2014</v>
      </c>
    </row>
    <row r="367" customFormat="false" ht="15" hidden="false" customHeight="false" outlineLevel="0" collapsed="false">
      <c r="A367" s="38" t="n">
        <v>41904</v>
      </c>
      <c r="B367" s="39" t="n">
        <v>774</v>
      </c>
      <c r="C367" s="40" t="n">
        <v>1035627.31</v>
      </c>
      <c r="D367" s="40" t="n">
        <f aca="false">MAX(D366,C367)</f>
        <v>1345220.48</v>
      </c>
      <c r="E367" s="41" t="n">
        <f aca="false">C367/D367-1</f>
        <v>-0.230143069186696</v>
      </c>
      <c r="F367" s="42" t="n">
        <f aca="false">YEAR(A367)</f>
        <v>2014</v>
      </c>
    </row>
    <row r="368" customFormat="false" ht="15" hidden="false" customHeight="false" outlineLevel="0" collapsed="false">
      <c r="A368" s="38" t="n">
        <v>41905</v>
      </c>
      <c r="B368" s="39" t="n">
        <v>787</v>
      </c>
      <c r="C368" s="40" t="n">
        <v>982757.21</v>
      </c>
      <c r="D368" s="40" t="n">
        <f aca="false">MAX(D367,C368)</f>
        <v>1345220.48</v>
      </c>
      <c r="E368" s="41" t="n">
        <f aca="false">C368/D368-1</f>
        <v>-0.269445251086276</v>
      </c>
      <c r="F368" s="42" t="n">
        <f aca="false">YEAR(A368)</f>
        <v>2014</v>
      </c>
    </row>
    <row r="369" customFormat="false" ht="15" hidden="false" customHeight="false" outlineLevel="0" collapsed="false">
      <c r="A369" s="38" t="n">
        <v>41906</v>
      </c>
      <c r="B369" s="39" t="n">
        <v>790</v>
      </c>
      <c r="C369" s="40" t="n">
        <v>966197.21</v>
      </c>
      <c r="D369" s="40" t="n">
        <f aca="false">MAX(D368,C369)</f>
        <v>1345220.48</v>
      </c>
      <c r="E369" s="41" t="n">
        <f aca="false">C369/D369-1</f>
        <v>-0.281755500778579</v>
      </c>
      <c r="F369" s="42" t="n">
        <f aca="false">YEAR(A369)</f>
        <v>2014</v>
      </c>
    </row>
    <row r="370" customFormat="false" ht="15" hidden="false" customHeight="false" outlineLevel="0" collapsed="false">
      <c r="A370" s="38" t="n">
        <v>41907</v>
      </c>
      <c r="B370" s="39" t="n">
        <v>776</v>
      </c>
      <c r="C370" s="40" t="n">
        <v>1043477.21</v>
      </c>
      <c r="D370" s="40" t="n">
        <f aca="false">MAX(D369,C370)</f>
        <v>1345220.48</v>
      </c>
      <c r="E370" s="41" t="n">
        <f aca="false">C370/D370-1</f>
        <v>-0.224307668881164</v>
      </c>
      <c r="F370" s="42" t="n">
        <f aca="false">YEAR(A370)</f>
        <v>2014</v>
      </c>
    </row>
    <row r="371" customFormat="false" ht="15" hidden="false" customHeight="false" outlineLevel="0" collapsed="false">
      <c r="A371" s="38" t="n">
        <v>41908</v>
      </c>
      <c r="B371" s="39" t="n">
        <v>782</v>
      </c>
      <c r="C371" s="40" t="n">
        <v>1010357.21</v>
      </c>
      <c r="D371" s="40" t="n">
        <f aca="false">MAX(D370,C371)</f>
        <v>1345220.48</v>
      </c>
      <c r="E371" s="41" t="n">
        <f aca="false">C371/D371-1</f>
        <v>-0.24892816826577</v>
      </c>
      <c r="F371" s="42" t="n">
        <f aca="false">YEAR(A371)</f>
        <v>2014</v>
      </c>
    </row>
    <row r="372" customFormat="false" ht="15" hidden="false" customHeight="false" outlineLevel="0" collapsed="false">
      <c r="A372" s="38" t="n">
        <v>41911</v>
      </c>
      <c r="B372" s="39" t="n">
        <v>780</v>
      </c>
      <c r="C372" s="40" t="n">
        <v>1021397.21</v>
      </c>
      <c r="D372" s="40" t="n">
        <f aca="false">MAX(D371,C372)</f>
        <v>1345220.48</v>
      </c>
      <c r="E372" s="41" t="n">
        <f aca="false">C372/D372-1</f>
        <v>-0.240721335137568</v>
      </c>
      <c r="F372" s="42" t="n">
        <f aca="false">YEAR(A372)</f>
        <v>2014</v>
      </c>
    </row>
    <row r="373" customFormat="false" ht="15" hidden="false" customHeight="false" outlineLevel="0" collapsed="false">
      <c r="A373" s="38" t="n">
        <v>41912</v>
      </c>
      <c r="B373" s="39" t="n">
        <v>780</v>
      </c>
      <c r="C373" s="40" t="n">
        <v>1021397.21</v>
      </c>
      <c r="D373" s="40" t="n">
        <f aca="false">MAX(D372,C373)</f>
        <v>1345220.48</v>
      </c>
      <c r="E373" s="41" t="n">
        <f aca="false">C373/D373-1</f>
        <v>-0.240721335137568</v>
      </c>
      <c r="F373" s="42" t="n">
        <f aca="false">YEAR(A373)</f>
        <v>2014</v>
      </c>
    </row>
    <row r="374" customFormat="false" ht="15" hidden="false" customHeight="false" outlineLevel="0" collapsed="false">
      <c r="A374" s="38" t="n">
        <v>41920</v>
      </c>
      <c r="B374" s="39" t="n">
        <v>780</v>
      </c>
      <c r="C374" s="40" t="n">
        <v>1021397.21</v>
      </c>
      <c r="D374" s="40" t="n">
        <f aca="false">MAX(D373,C374)</f>
        <v>1345220.48</v>
      </c>
      <c r="E374" s="41" t="n">
        <f aca="false">C374/D374-1</f>
        <v>-0.240721335137568</v>
      </c>
      <c r="F374" s="42" t="n">
        <f aca="false">YEAR(A374)</f>
        <v>2014</v>
      </c>
    </row>
    <row r="375" customFormat="false" ht="15" hidden="false" customHeight="false" outlineLevel="0" collapsed="false">
      <c r="A375" s="38" t="n">
        <v>41921</v>
      </c>
      <c r="B375" s="39" t="n">
        <v>817</v>
      </c>
      <c r="C375" s="40" t="n">
        <v>817099.63</v>
      </c>
      <c r="D375" s="40" t="n">
        <f aca="false">MAX(D374,C375)</f>
        <v>1345220.48</v>
      </c>
      <c r="E375" s="41" t="n">
        <f aca="false">C375/D375-1</f>
        <v>-0.392590551401656</v>
      </c>
      <c r="F375" s="42" t="n">
        <f aca="false">YEAR(A375)</f>
        <v>2014</v>
      </c>
    </row>
    <row r="376" customFormat="false" ht="15" hidden="false" customHeight="false" outlineLevel="0" collapsed="false">
      <c r="A376" s="38" t="n">
        <v>41922</v>
      </c>
      <c r="B376" s="39" t="n">
        <v>809</v>
      </c>
      <c r="C376" s="40" t="n">
        <v>798132.15</v>
      </c>
      <c r="D376" s="40" t="n">
        <f aca="false">MAX(D375,C376)</f>
        <v>1345220.48</v>
      </c>
      <c r="E376" s="41" t="n">
        <f aca="false">C376/D376-1</f>
        <v>-0.406690455679057</v>
      </c>
      <c r="F376" s="42" t="n">
        <f aca="false">YEAR(A376)</f>
        <v>2014</v>
      </c>
    </row>
    <row r="377" customFormat="false" ht="15" hidden="false" customHeight="false" outlineLevel="0" collapsed="false">
      <c r="A377" s="38" t="n">
        <v>41925</v>
      </c>
      <c r="B377" s="39" t="n">
        <v>818</v>
      </c>
      <c r="C377" s="40" t="n">
        <v>835392.15</v>
      </c>
      <c r="D377" s="40" t="n">
        <f aca="false">MAX(D376,C377)</f>
        <v>1345220.48</v>
      </c>
      <c r="E377" s="41" t="n">
        <f aca="false">C377/D377-1</f>
        <v>-0.378992393871375</v>
      </c>
      <c r="F377" s="42" t="n">
        <f aca="false">YEAR(A377)</f>
        <v>2014</v>
      </c>
    </row>
    <row r="378" customFormat="false" ht="15" hidden="false" customHeight="false" outlineLevel="0" collapsed="false">
      <c r="A378" s="38" t="n">
        <v>41926</v>
      </c>
      <c r="B378" s="39" t="n">
        <v>811</v>
      </c>
      <c r="C378" s="40" t="n">
        <v>806412.15</v>
      </c>
      <c r="D378" s="40" t="n">
        <f aca="false">MAX(D377,C378)</f>
        <v>1345220.48</v>
      </c>
      <c r="E378" s="41" t="n">
        <f aca="false">C378/D378-1</f>
        <v>-0.400535330832906</v>
      </c>
      <c r="F378" s="42" t="n">
        <f aca="false">YEAR(A378)</f>
        <v>2014</v>
      </c>
    </row>
    <row r="379" customFormat="false" ht="15" hidden="false" customHeight="false" outlineLevel="0" collapsed="false">
      <c r="A379" s="38" t="n">
        <v>41927</v>
      </c>
      <c r="B379" s="39" t="n">
        <v>799</v>
      </c>
      <c r="C379" s="40" t="n">
        <v>756732.15</v>
      </c>
      <c r="D379" s="40" t="n">
        <f aca="false">MAX(D378,C379)</f>
        <v>1345220.48</v>
      </c>
      <c r="E379" s="41" t="n">
        <f aca="false">C379/D379-1</f>
        <v>-0.437466079909815</v>
      </c>
      <c r="F379" s="42" t="n">
        <f aca="false">YEAR(A379)</f>
        <v>2014</v>
      </c>
    </row>
    <row r="380" customFormat="false" ht="15" hidden="false" customHeight="false" outlineLevel="0" collapsed="false">
      <c r="A380" s="38" t="n">
        <v>41928</v>
      </c>
      <c r="B380" s="39" t="n">
        <v>793</v>
      </c>
      <c r="C380" s="40" t="n">
        <v>731892.15</v>
      </c>
      <c r="D380" s="40" t="n">
        <f aca="false">MAX(D379,C380)</f>
        <v>1345220.48</v>
      </c>
      <c r="E380" s="41" t="n">
        <f aca="false">C380/D380-1</f>
        <v>-0.45593145444827</v>
      </c>
      <c r="F380" s="42" t="n">
        <f aca="false">YEAR(A380)</f>
        <v>2014</v>
      </c>
    </row>
    <row r="381" customFormat="false" ht="15" hidden="false" customHeight="false" outlineLevel="0" collapsed="false">
      <c r="A381" s="38" t="n">
        <v>41929</v>
      </c>
      <c r="B381" s="39" t="n">
        <v>782</v>
      </c>
      <c r="C381" s="40" t="n">
        <v>686352.15</v>
      </c>
      <c r="D381" s="40" t="n">
        <f aca="false">MAX(D380,C381)</f>
        <v>1345220.48</v>
      </c>
      <c r="E381" s="41" t="n">
        <f aca="false">C381/D381-1</f>
        <v>-0.489784641102104</v>
      </c>
      <c r="F381" s="42" t="n">
        <f aca="false">YEAR(A381)</f>
        <v>2014</v>
      </c>
    </row>
    <row r="382" customFormat="false" ht="15" hidden="false" customHeight="false" outlineLevel="0" collapsed="false">
      <c r="A382" s="38" t="n">
        <v>41932</v>
      </c>
      <c r="B382" s="39" t="n">
        <v>781</v>
      </c>
      <c r="C382" s="40" t="n">
        <v>682212.15</v>
      </c>
      <c r="D382" s="40" t="n">
        <f aca="false">MAX(D381,C382)</f>
        <v>1345220.48</v>
      </c>
      <c r="E382" s="41" t="n">
        <f aca="false">C382/D382-1</f>
        <v>-0.49286220352518</v>
      </c>
      <c r="F382" s="42" t="n">
        <f aca="false">YEAR(A382)</f>
        <v>2014</v>
      </c>
    </row>
    <row r="383" customFormat="false" ht="15" hidden="false" customHeight="false" outlineLevel="0" collapsed="false">
      <c r="A383" s="38" t="n">
        <v>41933</v>
      </c>
      <c r="B383" s="39" t="n">
        <v>776</v>
      </c>
      <c r="C383" s="40" t="n">
        <v>661512.15</v>
      </c>
      <c r="D383" s="40" t="n">
        <f aca="false">MAX(D382,C383)</f>
        <v>1345220.48</v>
      </c>
      <c r="E383" s="41" t="n">
        <f aca="false">C383/D383-1</f>
        <v>-0.508250015640559</v>
      </c>
      <c r="F383" s="42" t="n">
        <f aca="false">YEAR(A383)</f>
        <v>2014</v>
      </c>
    </row>
    <row r="384" customFormat="false" ht="15" hidden="false" customHeight="false" outlineLevel="0" collapsed="false">
      <c r="A384" s="38" t="n">
        <v>41934</v>
      </c>
      <c r="B384" s="39" t="n">
        <v>771</v>
      </c>
      <c r="C384" s="40" t="n">
        <v>638422.47</v>
      </c>
      <c r="D384" s="40" t="n">
        <f aca="false">MAX(D383,C384)</f>
        <v>1345220.48</v>
      </c>
      <c r="E384" s="41" t="n">
        <f aca="false">C384/D384-1</f>
        <v>-0.525414250309362</v>
      </c>
      <c r="F384" s="42" t="n">
        <f aca="false">YEAR(A384)</f>
        <v>2014</v>
      </c>
    </row>
    <row r="385" customFormat="false" ht="15" hidden="false" customHeight="false" outlineLevel="0" collapsed="false">
      <c r="A385" s="38" t="n">
        <v>41935</v>
      </c>
      <c r="B385" s="39" t="n">
        <v>770</v>
      </c>
      <c r="C385" s="40" t="n">
        <v>638422.47</v>
      </c>
      <c r="D385" s="40" t="n">
        <f aca="false">MAX(D384,C385)</f>
        <v>1345220.48</v>
      </c>
      <c r="E385" s="41" t="n">
        <f aca="false">C385/D385-1</f>
        <v>-0.525414250309362</v>
      </c>
      <c r="F385" s="42" t="n">
        <f aca="false">YEAR(A385)</f>
        <v>2014</v>
      </c>
    </row>
    <row r="386" customFormat="false" ht="15" hidden="false" customHeight="false" outlineLevel="0" collapsed="false">
      <c r="A386" s="38" t="n">
        <v>41936</v>
      </c>
      <c r="B386" s="39" t="n">
        <v>778</v>
      </c>
      <c r="C386" s="40" t="n">
        <v>638422.47</v>
      </c>
      <c r="D386" s="40" t="n">
        <f aca="false">MAX(D385,C386)</f>
        <v>1345220.48</v>
      </c>
      <c r="E386" s="41" t="n">
        <f aca="false">C386/D386-1</f>
        <v>-0.525414250309362</v>
      </c>
      <c r="F386" s="42" t="n">
        <f aca="false">YEAR(A386)</f>
        <v>2014</v>
      </c>
    </row>
    <row r="387" customFormat="false" ht="15" hidden="false" customHeight="false" outlineLevel="0" collapsed="false">
      <c r="A387" s="38" t="n">
        <v>41939</v>
      </c>
      <c r="B387" s="39" t="n">
        <v>771</v>
      </c>
      <c r="C387" s="40" t="n">
        <v>638422.47</v>
      </c>
      <c r="D387" s="40" t="n">
        <f aca="false">MAX(D386,C387)</f>
        <v>1345220.48</v>
      </c>
      <c r="E387" s="41" t="n">
        <f aca="false">C387/D387-1</f>
        <v>-0.525414250309362</v>
      </c>
      <c r="F387" s="42" t="n">
        <f aca="false">YEAR(A387)</f>
        <v>2014</v>
      </c>
    </row>
    <row r="388" customFormat="false" ht="15" hidden="false" customHeight="false" outlineLevel="0" collapsed="false">
      <c r="A388" s="38" t="n">
        <v>41940</v>
      </c>
      <c r="B388" s="39" t="n">
        <v>768</v>
      </c>
      <c r="C388" s="40" t="n">
        <v>638422.47</v>
      </c>
      <c r="D388" s="40" t="n">
        <f aca="false">MAX(D387,C388)</f>
        <v>1345220.48</v>
      </c>
      <c r="E388" s="41" t="n">
        <f aca="false">C388/D388-1</f>
        <v>-0.525414250309362</v>
      </c>
      <c r="F388" s="42" t="n">
        <f aca="false">YEAR(A388)</f>
        <v>2014</v>
      </c>
    </row>
    <row r="389" customFormat="false" ht="15" hidden="false" customHeight="false" outlineLevel="0" collapsed="false">
      <c r="A389" s="38" t="n">
        <v>41941</v>
      </c>
      <c r="B389" s="39" t="n">
        <v>771</v>
      </c>
      <c r="C389" s="40" t="n">
        <v>638422.47</v>
      </c>
      <c r="D389" s="40" t="n">
        <f aca="false">MAX(D388,C389)</f>
        <v>1345220.48</v>
      </c>
      <c r="E389" s="41" t="n">
        <f aca="false">C389/D389-1</f>
        <v>-0.525414250309362</v>
      </c>
      <c r="F389" s="42" t="n">
        <f aca="false">YEAR(A389)</f>
        <v>2014</v>
      </c>
    </row>
    <row r="390" customFormat="false" ht="15" hidden="false" customHeight="false" outlineLevel="0" collapsed="false">
      <c r="A390" s="38" t="n">
        <v>41942</v>
      </c>
      <c r="B390" s="39" t="n">
        <v>765</v>
      </c>
      <c r="C390" s="40" t="n">
        <v>638422.47</v>
      </c>
      <c r="D390" s="40" t="n">
        <f aca="false">MAX(D389,C390)</f>
        <v>1345220.48</v>
      </c>
      <c r="E390" s="41" t="n">
        <f aca="false">C390/D390-1</f>
        <v>-0.525414250309362</v>
      </c>
      <c r="F390" s="42" t="n">
        <f aca="false">YEAR(A390)</f>
        <v>2014</v>
      </c>
    </row>
    <row r="391" customFormat="false" ht="15" hidden="false" customHeight="false" outlineLevel="0" collapsed="false">
      <c r="A391" s="38" t="n">
        <v>41943</v>
      </c>
      <c r="B391" s="39" t="n">
        <v>764</v>
      </c>
      <c r="C391" s="40" t="n">
        <v>638422.47</v>
      </c>
      <c r="D391" s="40" t="n">
        <f aca="false">MAX(D390,C391)</f>
        <v>1345220.48</v>
      </c>
      <c r="E391" s="41" t="n">
        <f aca="false">C391/D391-1</f>
        <v>-0.525414250309362</v>
      </c>
      <c r="F391" s="42" t="n">
        <f aca="false">YEAR(A391)</f>
        <v>2014</v>
      </c>
    </row>
    <row r="392" customFormat="false" ht="15" hidden="false" customHeight="false" outlineLevel="0" collapsed="false">
      <c r="A392" s="38" t="n">
        <v>41946</v>
      </c>
      <c r="B392" s="39" t="n">
        <v>760</v>
      </c>
      <c r="C392" s="40" t="n">
        <v>638422.47</v>
      </c>
      <c r="D392" s="40" t="n">
        <f aca="false">MAX(D391,C392)</f>
        <v>1345220.48</v>
      </c>
      <c r="E392" s="41" t="n">
        <f aca="false">C392/D392-1</f>
        <v>-0.525414250309362</v>
      </c>
      <c r="F392" s="42" t="n">
        <f aca="false">YEAR(A392)</f>
        <v>2014</v>
      </c>
    </row>
    <row r="393" customFormat="false" ht="15" hidden="false" customHeight="false" outlineLevel="0" collapsed="false">
      <c r="A393" s="38" t="n">
        <v>41947</v>
      </c>
      <c r="B393" s="39" t="n">
        <v>750</v>
      </c>
      <c r="C393" s="40" t="n">
        <v>638422.47</v>
      </c>
      <c r="D393" s="40" t="n">
        <f aca="false">MAX(D392,C393)</f>
        <v>1345220.48</v>
      </c>
      <c r="E393" s="41" t="n">
        <f aca="false">C393/D393-1</f>
        <v>-0.525414250309362</v>
      </c>
      <c r="F393" s="42" t="n">
        <f aca="false">YEAR(A393)</f>
        <v>2014</v>
      </c>
    </row>
    <row r="394" customFormat="false" ht="15" hidden="false" customHeight="false" outlineLevel="0" collapsed="false">
      <c r="A394" s="38" t="n">
        <v>41948</v>
      </c>
      <c r="B394" s="39" t="n">
        <v>745</v>
      </c>
      <c r="C394" s="40" t="n">
        <v>638422.47</v>
      </c>
      <c r="D394" s="40" t="n">
        <f aca="false">MAX(D393,C394)</f>
        <v>1345220.48</v>
      </c>
      <c r="E394" s="41" t="n">
        <f aca="false">C394/D394-1</f>
        <v>-0.525414250309362</v>
      </c>
      <c r="F394" s="42" t="n">
        <f aca="false">YEAR(A394)</f>
        <v>2014</v>
      </c>
    </row>
    <row r="395" customFormat="false" ht="15" hidden="false" customHeight="false" outlineLevel="0" collapsed="false">
      <c r="A395" s="38" t="n">
        <v>41949</v>
      </c>
      <c r="B395" s="39" t="n">
        <v>749</v>
      </c>
      <c r="C395" s="40" t="n">
        <v>638422.47</v>
      </c>
      <c r="D395" s="40" t="n">
        <f aca="false">MAX(D394,C395)</f>
        <v>1345220.48</v>
      </c>
      <c r="E395" s="41" t="n">
        <f aca="false">C395/D395-1</f>
        <v>-0.525414250309362</v>
      </c>
      <c r="F395" s="42" t="n">
        <f aca="false">YEAR(A395)</f>
        <v>2014</v>
      </c>
    </row>
    <row r="396" customFormat="false" ht="15" hidden="false" customHeight="false" outlineLevel="0" collapsed="false">
      <c r="A396" s="38" t="n">
        <v>41950</v>
      </c>
      <c r="B396" s="39" t="n">
        <v>760</v>
      </c>
      <c r="C396" s="40" t="n">
        <v>638422.47</v>
      </c>
      <c r="D396" s="40" t="n">
        <f aca="false">MAX(D395,C396)</f>
        <v>1345220.48</v>
      </c>
      <c r="E396" s="41" t="n">
        <f aca="false">C396/D396-1</f>
        <v>-0.525414250309362</v>
      </c>
      <c r="F396" s="42" t="n">
        <f aca="false">YEAR(A396)</f>
        <v>2014</v>
      </c>
    </row>
    <row r="397" customFormat="false" ht="15" hidden="false" customHeight="false" outlineLevel="0" collapsed="false">
      <c r="A397" s="38" t="n">
        <v>41953</v>
      </c>
      <c r="B397" s="39" t="n">
        <v>768</v>
      </c>
      <c r="C397" s="40" t="n">
        <v>638422.47</v>
      </c>
      <c r="D397" s="40" t="n">
        <f aca="false">MAX(D396,C397)</f>
        <v>1345220.48</v>
      </c>
      <c r="E397" s="41" t="n">
        <f aca="false">C397/D397-1</f>
        <v>-0.525414250309362</v>
      </c>
      <c r="F397" s="42" t="n">
        <f aca="false">YEAR(A397)</f>
        <v>2014</v>
      </c>
    </row>
    <row r="398" customFormat="false" ht="15" hidden="false" customHeight="false" outlineLevel="0" collapsed="false">
      <c r="A398" s="38" t="n">
        <v>41954</v>
      </c>
      <c r="B398" s="39" t="n">
        <v>768</v>
      </c>
      <c r="C398" s="40" t="n">
        <v>638422.47</v>
      </c>
      <c r="D398" s="40" t="n">
        <f aca="false">MAX(D397,C398)</f>
        <v>1345220.48</v>
      </c>
      <c r="E398" s="41" t="n">
        <f aca="false">C398/D398-1</f>
        <v>-0.525414250309362</v>
      </c>
      <c r="F398" s="42" t="n">
        <f aca="false">YEAR(A398)</f>
        <v>2014</v>
      </c>
    </row>
    <row r="399" customFormat="false" ht="15" hidden="false" customHeight="false" outlineLevel="0" collapsed="false">
      <c r="A399" s="38" t="n">
        <v>41955</v>
      </c>
      <c r="B399" s="39" t="n">
        <v>771</v>
      </c>
      <c r="C399" s="40" t="n">
        <v>638422.47</v>
      </c>
      <c r="D399" s="40" t="n">
        <f aca="false">MAX(D398,C399)</f>
        <v>1345220.48</v>
      </c>
      <c r="E399" s="41" t="n">
        <f aca="false">C399/D399-1</f>
        <v>-0.525414250309362</v>
      </c>
      <c r="F399" s="42" t="n">
        <f aca="false">YEAR(A399)</f>
        <v>2014</v>
      </c>
    </row>
    <row r="400" customFormat="false" ht="15" hidden="false" customHeight="false" outlineLevel="0" collapsed="false">
      <c r="A400" s="38" t="n">
        <v>41956</v>
      </c>
      <c r="B400" s="39" t="n">
        <v>775</v>
      </c>
      <c r="C400" s="40" t="n">
        <v>638422.47</v>
      </c>
      <c r="D400" s="40" t="n">
        <f aca="false">MAX(D399,C400)</f>
        <v>1345220.48</v>
      </c>
      <c r="E400" s="41" t="n">
        <f aca="false">C400/D400-1</f>
        <v>-0.525414250309362</v>
      </c>
      <c r="F400" s="42" t="n">
        <f aca="false">YEAR(A400)</f>
        <v>2014</v>
      </c>
    </row>
    <row r="401" customFormat="false" ht="15" hidden="false" customHeight="false" outlineLevel="0" collapsed="false">
      <c r="A401" s="38" t="n">
        <v>41957</v>
      </c>
      <c r="B401" s="39" t="n">
        <v>773</v>
      </c>
      <c r="C401" s="40" t="n">
        <v>638422.47</v>
      </c>
      <c r="D401" s="40" t="n">
        <f aca="false">MAX(D400,C401)</f>
        <v>1345220.48</v>
      </c>
      <c r="E401" s="41" t="n">
        <f aca="false">C401/D401-1</f>
        <v>-0.525414250309362</v>
      </c>
      <c r="F401" s="42" t="n">
        <f aca="false">YEAR(A401)</f>
        <v>2014</v>
      </c>
    </row>
    <row r="402" customFormat="false" ht="15" hidden="false" customHeight="false" outlineLevel="0" collapsed="false">
      <c r="A402" s="38" t="n">
        <v>41960</v>
      </c>
      <c r="B402" s="39" t="n">
        <v>774</v>
      </c>
      <c r="C402" s="40" t="n">
        <v>638422.47</v>
      </c>
      <c r="D402" s="40" t="n">
        <f aca="false">MAX(D401,C402)</f>
        <v>1345220.48</v>
      </c>
      <c r="E402" s="41" t="n">
        <f aca="false">C402/D402-1</f>
        <v>-0.525414250309362</v>
      </c>
      <c r="F402" s="42" t="n">
        <f aca="false">YEAR(A402)</f>
        <v>2014</v>
      </c>
    </row>
    <row r="403" customFormat="false" ht="15" hidden="false" customHeight="false" outlineLevel="0" collapsed="false">
      <c r="A403" s="38" t="n">
        <v>41961</v>
      </c>
      <c r="B403" s="39" t="n">
        <v>760</v>
      </c>
      <c r="C403" s="40" t="n">
        <v>638422.47</v>
      </c>
      <c r="D403" s="40" t="n">
        <f aca="false">MAX(D402,C403)</f>
        <v>1345220.48</v>
      </c>
      <c r="E403" s="41" t="n">
        <f aca="false">C403/D403-1</f>
        <v>-0.525414250309362</v>
      </c>
      <c r="F403" s="42" t="n">
        <f aca="false">YEAR(A403)</f>
        <v>2014</v>
      </c>
    </row>
    <row r="404" customFormat="false" ht="15" hidden="false" customHeight="false" outlineLevel="0" collapsed="false">
      <c r="A404" s="38" t="n">
        <v>41962</v>
      </c>
      <c r="B404" s="39" t="n">
        <v>757</v>
      </c>
      <c r="C404" s="40" t="n">
        <v>638422.47</v>
      </c>
      <c r="D404" s="40" t="n">
        <f aca="false">MAX(D403,C404)</f>
        <v>1345220.48</v>
      </c>
      <c r="E404" s="41" t="n">
        <f aca="false">C404/D404-1</f>
        <v>-0.525414250309362</v>
      </c>
      <c r="F404" s="42" t="n">
        <f aca="false">YEAR(A404)</f>
        <v>2014</v>
      </c>
    </row>
    <row r="405" customFormat="false" ht="15" hidden="false" customHeight="false" outlineLevel="0" collapsed="false">
      <c r="A405" s="38" t="n">
        <v>41963</v>
      </c>
      <c r="B405" s="39" t="n">
        <v>756</v>
      </c>
      <c r="C405" s="40" t="n">
        <v>638422.47</v>
      </c>
      <c r="D405" s="40" t="n">
        <f aca="false">MAX(D404,C405)</f>
        <v>1345220.48</v>
      </c>
      <c r="E405" s="41" t="n">
        <f aca="false">C405/D405-1</f>
        <v>-0.525414250309362</v>
      </c>
      <c r="F405" s="42" t="n">
        <f aca="false">YEAR(A405)</f>
        <v>2014</v>
      </c>
    </row>
    <row r="406" customFormat="false" ht="15" hidden="false" customHeight="false" outlineLevel="0" collapsed="false">
      <c r="A406" s="38" t="n">
        <v>41964</v>
      </c>
      <c r="B406" s="39" t="n">
        <v>757</v>
      </c>
      <c r="C406" s="40" t="n">
        <v>638422.47</v>
      </c>
      <c r="D406" s="40" t="n">
        <f aca="false">MAX(D405,C406)</f>
        <v>1345220.48</v>
      </c>
      <c r="E406" s="41" t="n">
        <f aca="false">C406/D406-1</f>
        <v>-0.525414250309362</v>
      </c>
      <c r="F406" s="42" t="n">
        <f aca="false">YEAR(A406)</f>
        <v>2014</v>
      </c>
    </row>
    <row r="407" customFormat="false" ht="15" hidden="false" customHeight="false" outlineLevel="0" collapsed="false">
      <c r="A407" s="38" t="n">
        <v>41967</v>
      </c>
      <c r="B407" s="39" t="n">
        <v>753</v>
      </c>
      <c r="C407" s="40" t="n">
        <v>638422.47</v>
      </c>
      <c r="D407" s="40" t="n">
        <f aca="false">MAX(D406,C407)</f>
        <v>1345220.48</v>
      </c>
      <c r="E407" s="41" t="n">
        <f aca="false">C407/D407-1</f>
        <v>-0.525414250309362</v>
      </c>
      <c r="F407" s="42" t="n">
        <f aca="false">YEAR(A407)</f>
        <v>2014</v>
      </c>
    </row>
    <row r="408" customFormat="false" ht="15" hidden="false" customHeight="false" outlineLevel="0" collapsed="false">
      <c r="A408" s="38" t="n">
        <v>41968</v>
      </c>
      <c r="B408" s="39" t="n">
        <v>761</v>
      </c>
      <c r="C408" s="40" t="n">
        <v>638422.47</v>
      </c>
      <c r="D408" s="40" t="n">
        <f aca="false">MAX(D407,C408)</f>
        <v>1345220.48</v>
      </c>
      <c r="E408" s="41" t="n">
        <f aca="false">C408/D408-1</f>
        <v>-0.525414250309362</v>
      </c>
      <c r="F408" s="42" t="n">
        <f aca="false">YEAR(A408)</f>
        <v>2014</v>
      </c>
    </row>
    <row r="409" customFormat="false" ht="15" hidden="false" customHeight="false" outlineLevel="0" collapsed="false">
      <c r="A409" s="38" t="n">
        <v>41969</v>
      </c>
      <c r="B409" s="39" t="n">
        <v>758</v>
      </c>
      <c r="C409" s="40" t="n">
        <v>638422.47</v>
      </c>
      <c r="D409" s="40" t="n">
        <f aca="false">MAX(D408,C409)</f>
        <v>1345220.48</v>
      </c>
      <c r="E409" s="41" t="n">
        <f aca="false">C409/D409-1</f>
        <v>-0.525414250309362</v>
      </c>
      <c r="F409" s="42" t="n">
        <f aca="false">YEAR(A409)</f>
        <v>2014</v>
      </c>
    </row>
    <row r="410" customFormat="false" ht="15" hidden="false" customHeight="false" outlineLevel="0" collapsed="false">
      <c r="A410" s="38" t="n">
        <v>41970</v>
      </c>
      <c r="B410" s="39" t="n">
        <v>771</v>
      </c>
      <c r="C410" s="40" t="n">
        <v>638422.47</v>
      </c>
      <c r="D410" s="40" t="n">
        <f aca="false">MAX(D409,C410)</f>
        <v>1345220.48</v>
      </c>
      <c r="E410" s="41" t="n">
        <f aca="false">C410/D410-1</f>
        <v>-0.525414250309362</v>
      </c>
      <c r="F410" s="42" t="n">
        <f aca="false">YEAR(A410)</f>
        <v>2014</v>
      </c>
    </row>
    <row r="411" customFormat="false" ht="15" hidden="false" customHeight="false" outlineLevel="0" collapsed="false">
      <c r="A411" s="38" t="n">
        <v>41971</v>
      </c>
      <c r="B411" s="39" t="n">
        <v>764</v>
      </c>
      <c r="C411" s="40" t="n">
        <v>638422.47</v>
      </c>
      <c r="D411" s="40" t="n">
        <f aca="false">MAX(D410,C411)</f>
        <v>1345220.48</v>
      </c>
      <c r="E411" s="41" t="n">
        <f aca="false">C411/D411-1</f>
        <v>-0.525414250309362</v>
      </c>
      <c r="F411" s="42" t="n">
        <f aca="false">YEAR(A411)</f>
        <v>2014</v>
      </c>
    </row>
    <row r="412" customFormat="false" ht="15" hidden="false" customHeight="false" outlineLevel="0" collapsed="false">
      <c r="A412" s="38" t="n">
        <v>41974</v>
      </c>
      <c r="B412" s="39" t="n">
        <v>768</v>
      </c>
      <c r="C412" s="40" t="n">
        <v>638422.47</v>
      </c>
      <c r="D412" s="40" t="n">
        <f aca="false">MAX(D411,C412)</f>
        <v>1345220.48</v>
      </c>
      <c r="E412" s="41" t="n">
        <f aca="false">C412/D412-1</f>
        <v>-0.525414250309362</v>
      </c>
      <c r="F412" s="42" t="n">
        <f aca="false">YEAR(A412)</f>
        <v>2014</v>
      </c>
    </row>
    <row r="413" customFormat="false" ht="15" hidden="false" customHeight="false" outlineLevel="0" collapsed="false">
      <c r="A413" s="38" t="n">
        <v>41975</v>
      </c>
      <c r="B413" s="39" t="n">
        <v>763</v>
      </c>
      <c r="C413" s="40" t="n">
        <v>638422.47</v>
      </c>
      <c r="D413" s="40" t="n">
        <f aca="false">MAX(D412,C413)</f>
        <v>1345220.48</v>
      </c>
      <c r="E413" s="41" t="n">
        <f aca="false">C413/D413-1</f>
        <v>-0.525414250309362</v>
      </c>
      <c r="F413" s="42" t="n">
        <f aca="false">YEAR(A413)</f>
        <v>2014</v>
      </c>
    </row>
    <row r="414" customFormat="false" ht="15" hidden="false" customHeight="false" outlineLevel="0" collapsed="false">
      <c r="A414" s="38" t="n">
        <v>41976</v>
      </c>
      <c r="B414" s="39" t="n">
        <v>768</v>
      </c>
      <c r="C414" s="40" t="n">
        <v>650130.44</v>
      </c>
      <c r="D414" s="40" t="n">
        <f aca="false">MAX(D413,C414)</f>
        <v>1345220.48</v>
      </c>
      <c r="E414" s="41" t="n">
        <f aca="false">C414/D414-1</f>
        <v>-0.516710866608275</v>
      </c>
      <c r="F414" s="42" t="n">
        <f aca="false">YEAR(A414)</f>
        <v>2014</v>
      </c>
    </row>
    <row r="415" customFormat="false" ht="15" hidden="false" customHeight="false" outlineLevel="0" collapsed="false">
      <c r="A415" s="38" t="n">
        <v>41977</v>
      </c>
      <c r="B415" s="39" t="n">
        <v>773</v>
      </c>
      <c r="C415" s="40" t="n">
        <v>667230.44</v>
      </c>
      <c r="D415" s="40" t="n">
        <f aca="false">MAX(D414,C415)</f>
        <v>1345220.48</v>
      </c>
      <c r="E415" s="41" t="n">
        <f aca="false">C415/D415-1</f>
        <v>-0.503999195730354</v>
      </c>
      <c r="F415" s="42" t="n">
        <f aca="false">YEAR(A415)</f>
        <v>2014</v>
      </c>
    </row>
    <row r="416" customFormat="false" ht="15" hidden="false" customHeight="false" outlineLevel="0" collapsed="false">
      <c r="A416" s="38" t="n">
        <v>41978</v>
      </c>
      <c r="B416" s="39" t="n">
        <v>772</v>
      </c>
      <c r="C416" s="40" t="n">
        <v>663810.44</v>
      </c>
      <c r="D416" s="40" t="n">
        <f aca="false">MAX(D415,C416)</f>
        <v>1345220.48</v>
      </c>
      <c r="E416" s="41" t="n">
        <f aca="false">C416/D416-1</f>
        <v>-0.506541529905938</v>
      </c>
      <c r="F416" s="42" t="n">
        <f aca="false">YEAR(A416)</f>
        <v>2014</v>
      </c>
    </row>
    <row r="417" customFormat="false" ht="15" hidden="false" customHeight="false" outlineLevel="0" collapsed="false">
      <c r="A417" s="38" t="n">
        <v>41981</v>
      </c>
      <c r="B417" s="39" t="n">
        <v>769</v>
      </c>
      <c r="C417" s="40" t="n">
        <v>653550.44</v>
      </c>
      <c r="D417" s="40" t="n">
        <f aca="false">MAX(D416,C417)</f>
        <v>1345220.48</v>
      </c>
      <c r="E417" s="41" t="n">
        <f aca="false">C417/D417-1</f>
        <v>-0.514168532432691</v>
      </c>
      <c r="F417" s="42" t="n">
        <f aca="false">YEAR(A417)</f>
        <v>2014</v>
      </c>
    </row>
    <row r="418" customFormat="false" ht="15" hidden="false" customHeight="false" outlineLevel="0" collapsed="false">
      <c r="A418" s="38" t="n">
        <v>41982</v>
      </c>
      <c r="B418" s="39" t="n">
        <v>769</v>
      </c>
      <c r="C418" s="40" t="n">
        <v>653550.44</v>
      </c>
      <c r="D418" s="40" t="n">
        <f aca="false">MAX(D417,C418)</f>
        <v>1345220.48</v>
      </c>
      <c r="E418" s="41" t="n">
        <f aca="false">C418/D418-1</f>
        <v>-0.514168532432691</v>
      </c>
      <c r="F418" s="42" t="n">
        <f aca="false">YEAR(A418)</f>
        <v>2014</v>
      </c>
    </row>
    <row r="419" customFormat="false" ht="15" hidden="false" customHeight="false" outlineLevel="0" collapsed="false">
      <c r="A419" s="38" t="n">
        <v>41983</v>
      </c>
      <c r="B419" s="39" t="n">
        <v>771</v>
      </c>
      <c r="C419" s="40" t="n">
        <v>660390.44</v>
      </c>
      <c r="D419" s="40" t="n">
        <f aca="false">MAX(D418,C419)</f>
        <v>1345220.48</v>
      </c>
      <c r="E419" s="41" t="n">
        <f aca="false">C419/D419-1</f>
        <v>-0.509083864081522</v>
      </c>
      <c r="F419" s="42" t="n">
        <f aca="false">YEAR(A419)</f>
        <v>2014</v>
      </c>
    </row>
    <row r="420" customFormat="false" ht="15" hidden="false" customHeight="false" outlineLevel="0" collapsed="false">
      <c r="A420" s="38" t="n">
        <v>41984</v>
      </c>
      <c r="B420" s="39" t="n">
        <v>774</v>
      </c>
      <c r="C420" s="40" t="n">
        <v>670650.44</v>
      </c>
      <c r="D420" s="40" t="n">
        <f aca="false">MAX(D419,C420)</f>
        <v>1345220.48</v>
      </c>
      <c r="E420" s="41" t="n">
        <f aca="false">C420/D420-1</f>
        <v>-0.501456861554769</v>
      </c>
      <c r="F420" s="42" t="n">
        <f aca="false">YEAR(A420)</f>
        <v>2014</v>
      </c>
    </row>
    <row r="421" customFormat="false" ht="15" hidden="false" customHeight="false" outlineLevel="0" collapsed="false">
      <c r="A421" s="38" t="n">
        <v>41985</v>
      </c>
      <c r="B421" s="39" t="n">
        <v>782</v>
      </c>
      <c r="C421" s="40" t="n">
        <v>698010.44</v>
      </c>
      <c r="D421" s="40" t="n">
        <f aca="false">MAX(D420,C421)</f>
        <v>1345220.48</v>
      </c>
      <c r="E421" s="41" t="n">
        <f aca="false">C421/D421-1</f>
        <v>-0.481118188150094</v>
      </c>
      <c r="F421" s="42" t="n">
        <f aca="false">YEAR(A421)</f>
        <v>2014</v>
      </c>
    </row>
    <row r="422" customFormat="false" ht="15" hidden="false" customHeight="false" outlineLevel="0" collapsed="false">
      <c r="A422" s="38" t="n">
        <v>41988</v>
      </c>
      <c r="B422" s="39" t="n">
        <v>769</v>
      </c>
      <c r="C422" s="40" t="n">
        <v>653550.44</v>
      </c>
      <c r="D422" s="40" t="n">
        <f aca="false">MAX(D421,C422)</f>
        <v>1345220.48</v>
      </c>
      <c r="E422" s="41" t="n">
        <f aca="false">C422/D422-1</f>
        <v>-0.514168532432691</v>
      </c>
      <c r="F422" s="42" t="n">
        <f aca="false">YEAR(A422)</f>
        <v>2014</v>
      </c>
    </row>
    <row r="423" customFormat="false" ht="15" hidden="false" customHeight="false" outlineLevel="0" collapsed="false">
      <c r="A423" s="38" t="n">
        <v>41989</v>
      </c>
      <c r="B423" s="39" t="n">
        <v>767</v>
      </c>
      <c r="C423" s="40" t="n">
        <v>646710.44</v>
      </c>
      <c r="D423" s="40" t="n">
        <f aca="false">MAX(D422,C423)</f>
        <v>1345220.48</v>
      </c>
      <c r="E423" s="41" t="n">
        <f aca="false">C423/D423-1</f>
        <v>-0.51925320078386</v>
      </c>
      <c r="F423" s="42" t="n">
        <f aca="false">YEAR(A423)</f>
        <v>2014</v>
      </c>
    </row>
    <row r="424" customFormat="false" ht="15" hidden="false" customHeight="false" outlineLevel="0" collapsed="false">
      <c r="A424" s="38" t="n">
        <v>41990</v>
      </c>
      <c r="B424" s="39" t="n">
        <v>763</v>
      </c>
      <c r="C424" s="40" t="n">
        <v>633030.44</v>
      </c>
      <c r="D424" s="40" t="n">
        <f aca="false">MAX(D423,C424)</f>
        <v>1345220.48</v>
      </c>
      <c r="E424" s="41" t="n">
        <f aca="false">C424/D424-1</f>
        <v>-0.529422537486197</v>
      </c>
      <c r="F424" s="42" t="n">
        <f aca="false">YEAR(A424)</f>
        <v>2014</v>
      </c>
    </row>
    <row r="425" customFormat="false" ht="15" hidden="false" customHeight="false" outlineLevel="0" collapsed="false">
      <c r="A425" s="38" t="n">
        <v>41991</v>
      </c>
      <c r="B425" s="39" t="n">
        <v>763</v>
      </c>
      <c r="C425" s="40" t="n">
        <v>633030.44</v>
      </c>
      <c r="D425" s="40" t="n">
        <f aca="false">MAX(D424,C425)</f>
        <v>1345220.48</v>
      </c>
      <c r="E425" s="41" t="n">
        <f aca="false">C425/D425-1</f>
        <v>-0.529422537486197</v>
      </c>
      <c r="F425" s="42" t="n">
        <f aca="false">YEAR(A425)</f>
        <v>2014</v>
      </c>
    </row>
    <row r="426" customFormat="false" ht="15" hidden="false" customHeight="false" outlineLevel="0" collapsed="false">
      <c r="A426" s="38" t="n">
        <v>41992</v>
      </c>
      <c r="B426" s="39" t="n">
        <v>766</v>
      </c>
      <c r="C426" s="40" t="n">
        <v>643290.44</v>
      </c>
      <c r="D426" s="40" t="n">
        <f aca="false">MAX(D425,C426)</f>
        <v>1345220.48</v>
      </c>
      <c r="E426" s="41" t="n">
        <f aca="false">C426/D426-1</f>
        <v>-0.521795534959444</v>
      </c>
      <c r="F426" s="42" t="n">
        <f aca="false">YEAR(A426)</f>
        <v>2014</v>
      </c>
    </row>
    <row r="427" customFormat="false" ht="15" hidden="false" customHeight="false" outlineLevel="0" collapsed="false">
      <c r="A427" s="38" t="n">
        <v>41995</v>
      </c>
      <c r="B427" s="39" t="n">
        <v>739</v>
      </c>
      <c r="C427" s="40" t="n">
        <v>550950.44</v>
      </c>
      <c r="D427" s="40" t="n">
        <f aca="false">MAX(D426,C427)</f>
        <v>1345220.48</v>
      </c>
      <c r="E427" s="41" t="n">
        <f aca="false">C427/D427-1</f>
        <v>-0.590438557700222</v>
      </c>
      <c r="F427" s="42" t="n">
        <f aca="false">YEAR(A427)</f>
        <v>2014</v>
      </c>
    </row>
    <row r="428" customFormat="false" ht="15" hidden="false" customHeight="false" outlineLevel="0" collapsed="false">
      <c r="A428" s="38" t="n">
        <v>41996</v>
      </c>
      <c r="B428" s="39" t="n">
        <v>724</v>
      </c>
      <c r="C428" s="40" t="n">
        <v>545567.65</v>
      </c>
      <c r="D428" s="40" t="n">
        <f aca="false">MAX(D427,C428)</f>
        <v>1345220.48</v>
      </c>
      <c r="E428" s="41" t="n">
        <f aca="false">C428/D428-1</f>
        <v>-0.594439976114547</v>
      </c>
      <c r="F428" s="42" t="n">
        <f aca="false">YEAR(A428)</f>
        <v>2014</v>
      </c>
    </row>
    <row r="429" customFormat="false" ht="15" hidden="false" customHeight="false" outlineLevel="0" collapsed="false">
      <c r="A429" s="38" t="n">
        <v>41997</v>
      </c>
      <c r="B429" s="39" t="n">
        <v>735</v>
      </c>
      <c r="C429" s="40" t="n">
        <v>545567.65</v>
      </c>
      <c r="D429" s="40" t="n">
        <f aca="false">MAX(D428,C429)</f>
        <v>1345220.48</v>
      </c>
      <c r="E429" s="41" t="n">
        <f aca="false">C429/D429-1</f>
        <v>-0.594439976114547</v>
      </c>
      <c r="F429" s="42" t="n">
        <f aca="false">YEAR(A429)</f>
        <v>2014</v>
      </c>
    </row>
    <row r="430" customFormat="false" ht="15" hidden="false" customHeight="false" outlineLevel="0" collapsed="false">
      <c r="A430" s="38" t="n">
        <v>41998</v>
      </c>
      <c r="B430" s="39" t="n">
        <v>732</v>
      </c>
      <c r="C430" s="40" t="n">
        <v>545567.65</v>
      </c>
      <c r="D430" s="40" t="n">
        <f aca="false">MAX(D429,C430)</f>
        <v>1345220.48</v>
      </c>
      <c r="E430" s="41" t="n">
        <f aca="false">C430/D430-1</f>
        <v>-0.594439976114547</v>
      </c>
      <c r="F430" s="42" t="n">
        <f aca="false">YEAR(A430)</f>
        <v>2014</v>
      </c>
    </row>
    <row r="431" customFormat="false" ht="15" hidden="false" customHeight="false" outlineLevel="0" collapsed="false">
      <c r="A431" s="38" t="n">
        <v>41999</v>
      </c>
      <c r="B431" s="39" t="n">
        <v>724</v>
      </c>
      <c r="C431" s="40" t="n">
        <v>545567.65</v>
      </c>
      <c r="D431" s="40" t="n">
        <f aca="false">MAX(D430,C431)</f>
        <v>1345220.48</v>
      </c>
      <c r="E431" s="41" t="n">
        <f aca="false">C431/D431-1</f>
        <v>-0.594439976114547</v>
      </c>
      <c r="F431" s="42" t="n">
        <f aca="false">YEAR(A431)</f>
        <v>2014</v>
      </c>
    </row>
    <row r="432" customFormat="false" ht="15" hidden="false" customHeight="false" outlineLevel="0" collapsed="false">
      <c r="A432" s="38" t="n">
        <v>42002</v>
      </c>
      <c r="B432" s="39" t="n">
        <v>732</v>
      </c>
      <c r="C432" s="40" t="n">
        <v>545567.65</v>
      </c>
      <c r="D432" s="40" t="n">
        <f aca="false">MAX(D431,C432)</f>
        <v>1345220.48</v>
      </c>
      <c r="E432" s="41" t="n">
        <f aca="false">C432/D432-1</f>
        <v>-0.594439976114547</v>
      </c>
      <c r="F432" s="42" t="n">
        <f aca="false">YEAR(A432)</f>
        <v>2014</v>
      </c>
    </row>
    <row r="433" customFormat="false" ht="15" hidden="false" customHeight="false" outlineLevel="0" collapsed="false">
      <c r="A433" s="38" t="n">
        <v>42003</v>
      </c>
      <c r="B433" s="39" t="n">
        <v>756</v>
      </c>
      <c r="C433" s="40" t="n">
        <v>545567.65</v>
      </c>
      <c r="D433" s="40" t="n">
        <f aca="false">MAX(D432,C433)</f>
        <v>1345220.48</v>
      </c>
      <c r="E433" s="41" t="n">
        <f aca="false">C433/D433-1</f>
        <v>-0.594439976114547</v>
      </c>
      <c r="F433" s="42" t="n">
        <f aca="false">YEAR(A433)</f>
        <v>2014</v>
      </c>
    </row>
    <row r="434" customFormat="false" ht="15" hidden="false" customHeight="false" outlineLevel="0" collapsed="false">
      <c r="A434" s="38" t="n">
        <v>42004</v>
      </c>
      <c r="B434" s="39" t="n">
        <v>744</v>
      </c>
      <c r="C434" s="40" t="n">
        <v>545567.65</v>
      </c>
      <c r="D434" s="40" t="n">
        <f aca="false">MAX(D433,C434)</f>
        <v>1345220.48</v>
      </c>
      <c r="E434" s="41" t="n">
        <f aca="false">C434/D434-1</f>
        <v>-0.594439976114547</v>
      </c>
      <c r="F434" s="42" t="n">
        <f aca="false">YEAR(A434)</f>
        <v>2014</v>
      </c>
    </row>
    <row r="435" customFormat="false" ht="15" hidden="false" customHeight="false" outlineLevel="0" collapsed="false">
      <c r="A435" s="38" t="n">
        <v>42009</v>
      </c>
      <c r="B435" s="39" t="n">
        <v>735</v>
      </c>
      <c r="C435" s="40" t="n">
        <v>545567.65</v>
      </c>
      <c r="D435" s="40" t="n">
        <f aca="false">MAX(D434,C435)</f>
        <v>1345220.48</v>
      </c>
      <c r="E435" s="41" t="n">
        <f aca="false">C435/D435-1</f>
        <v>-0.594439976114547</v>
      </c>
      <c r="F435" s="42" t="n">
        <f aca="false">YEAR(A435)</f>
        <v>2015</v>
      </c>
    </row>
    <row r="436" customFormat="false" ht="15" hidden="false" customHeight="false" outlineLevel="0" collapsed="false">
      <c r="A436" s="38" t="n">
        <v>42010</v>
      </c>
      <c r="B436" s="39" t="n">
        <v>747</v>
      </c>
      <c r="C436" s="40" t="n">
        <v>545567.65</v>
      </c>
      <c r="D436" s="40" t="n">
        <f aca="false">MAX(D435,C436)</f>
        <v>1345220.48</v>
      </c>
      <c r="E436" s="41" t="n">
        <f aca="false">C436/D436-1</f>
        <v>-0.594439976114547</v>
      </c>
      <c r="F436" s="42" t="n">
        <f aca="false">YEAR(A436)</f>
        <v>2015</v>
      </c>
    </row>
    <row r="437" customFormat="false" ht="15" hidden="false" customHeight="false" outlineLevel="0" collapsed="false">
      <c r="A437" s="38" t="n">
        <v>42011</v>
      </c>
      <c r="B437" s="39" t="n">
        <v>743</v>
      </c>
      <c r="C437" s="40" t="n">
        <v>545567.65</v>
      </c>
      <c r="D437" s="40" t="n">
        <f aca="false">MAX(D436,C437)</f>
        <v>1345220.48</v>
      </c>
      <c r="E437" s="41" t="n">
        <f aca="false">C437/D437-1</f>
        <v>-0.594439976114547</v>
      </c>
      <c r="F437" s="42" t="n">
        <f aca="false">YEAR(A437)</f>
        <v>2015</v>
      </c>
    </row>
    <row r="438" customFormat="false" ht="15" hidden="false" customHeight="false" outlineLevel="0" collapsed="false">
      <c r="A438" s="38" t="n">
        <v>42012</v>
      </c>
      <c r="B438" s="39" t="n">
        <v>745</v>
      </c>
      <c r="C438" s="40" t="n">
        <v>545567.65</v>
      </c>
      <c r="D438" s="40" t="n">
        <f aca="false">MAX(D437,C438)</f>
        <v>1345220.48</v>
      </c>
      <c r="E438" s="41" t="n">
        <f aca="false">C438/D438-1</f>
        <v>-0.594439976114547</v>
      </c>
      <c r="F438" s="42" t="n">
        <f aca="false">YEAR(A438)</f>
        <v>2015</v>
      </c>
    </row>
    <row r="439" customFormat="false" ht="15" hidden="false" customHeight="false" outlineLevel="0" collapsed="false">
      <c r="A439" s="38" t="n">
        <v>42013</v>
      </c>
      <c r="B439" s="39" t="n">
        <v>741</v>
      </c>
      <c r="C439" s="40" t="n">
        <v>545567.65</v>
      </c>
      <c r="D439" s="40" t="n">
        <f aca="false">MAX(D438,C439)</f>
        <v>1345220.48</v>
      </c>
      <c r="E439" s="41" t="n">
        <f aca="false">C439/D439-1</f>
        <v>-0.594439976114547</v>
      </c>
      <c r="F439" s="42" t="n">
        <f aca="false">YEAR(A439)</f>
        <v>2015</v>
      </c>
    </row>
    <row r="440" customFormat="false" ht="15" hidden="false" customHeight="false" outlineLevel="0" collapsed="false">
      <c r="A440" s="38" t="n">
        <v>42016</v>
      </c>
      <c r="B440" s="39" t="n">
        <v>730</v>
      </c>
      <c r="C440" s="40" t="n">
        <v>545567.65</v>
      </c>
      <c r="D440" s="40" t="n">
        <f aca="false">MAX(D439,C440)</f>
        <v>1345220.48</v>
      </c>
      <c r="E440" s="41" t="n">
        <f aca="false">C440/D440-1</f>
        <v>-0.594439976114547</v>
      </c>
      <c r="F440" s="42" t="n">
        <f aca="false">YEAR(A440)</f>
        <v>2015</v>
      </c>
    </row>
    <row r="441" customFormat="false" ht="15" hidden="false" customHeight="false" outlineLevel="0" collapsed="false">
      <c r="A441" s="38" t="n">
        <v>42017</v>
      </c>
      <c r="B441" s="39" t="n">
        <v>732</v>
      </c>
      <c r="C441" s="40" t="n">
        <v>531300.15</v>
      </c>
      <c r="D441" s="40" t="n">
        <f aca="false">MAX(D440,C441)</f>
        <v>1345220.48</v>
      </c>
      <c r="E441" s="41" t="n">
        <f aca="false">C441/D441-1</f>
        <v>-0.605046044199387</v>
      </c>
      <c r="F441" s="42" t="n">
        <f aca="false">YEAR(A441)</f>
        <v>2015</v>
      </c>
    </row>
    <row r="442" customFormat="false" ht="15" hidden="false" customHeight="false" outlineLevel="0" collapsed="false">
      <c r="A442" s="38" t="n">
        <v>42018</v>
      </c>
      <c r="B442" s="39" t="n">
        <v>728</v>
      </c>
      <c r="C442" s="40" t="n">
        <v>543780.15</v>
      </c>
      <c r="D442" s="40" t="n">
        <f aca="false">MAX(D441,C442)</f>
        <v>1345220.48</v>
      </c>
      <c r="E442" s="41" t="n">
        <f aca="false">C442/D442-1</f>
        <v>-0.595768754576202</v>
      </c>
      <c r="F442" s="42" t="n">
        <f aca="false">YEAR(A442)</f>
        <v>2015</v>
      </c>
    </row>
    <row r="443" customFormat="false" ht="15" hidden="false" customHeight="false" outlineLevel="0" collapsed="false">
      <c r="A443" s="38" t="n">
        <v>42019</v>
      </c>
      <c r="B443" s="39" t="n">
        <v>731</v>
      </c>
      <c r="C443" s="40" t="n">
        <v>534420.15</v>
      </c>
      <c r="D443" s="40" t="n">
        <f aca="false">MAX(D442,C443)</f>
        <v>1345220.48</v>
      </c>
      <c r="E443" s="41" t="n">
        <f aca="false">C443/D443-1</f>
        <v>-0.60272672179359</v>
      </c>
      <c r="F443" s="42" t="n">
        <f aca="false">YEAR(A443)</f>
        <v>2015</v>
      </c>
    </row>
    <row r="444" customFormat="false" ht="15" hidden="false" customHeight="false" outlineLevel="0" collapsed="false">
      <c r="A444" s="38" t="n">
        <v>42020</v>
      </c>
      <c r="B444" s="39" t="n">
        <v>725</v>
      </c>
      <c r="C444" s="40" t="n">
        <v>553140.15</v>
      </c>
      <c r="D444" s="40" t="n">
        <f aca="false">MAX(D443,C444)</f>
        <v>1345220.48</v>
      </c>
      <c r="E444" s="41" t="n">
        <f aca="false">C444/D444-1</f>
        <v>-0.588810787358813</v>
      </c>
      <c r="F444" s="42" t="n">
        <f aca="false">YEAR(A444)</f>
        <v>2015</v>
      </c>
    </row>
    <row r="445" customFormat="false" ht="15" hidden="false" customHeight="false" outlineLevel="0" collapsed="false">
      <c r="A445" s="38" t="n">
        <v>42023</v>
      </c>
      <c r="B445" s="39" t="n">
        <v>732</v>
      </c>
      <c r="C445" s="40" t="n">
        <v>531300.15</v>
      </c>
      <c r="D445" s="40" t="n">
        <f aca="false">MAX(D444,C445)</f>
        <v>1345220.48</v>
      </c>
      <c r="E445" s="41" t="n">
        <f aca="false">C445/D445-1</f>
        <v>-0.605046044199387</v>
      </c>
      <c r="F445" s="42" t="n">
        <f aca="false">YEAR(A445)</f>
        <v>2015</v>
      </c>
    </row>
    <row r="446" customFormat="false" ht="15" hidden="false" customHeight="false" outlineLevel="0" collapsed="false">
      <c r="A446" s="38" t="n">
        <v>42024</v>
      </c>
      <c r="B446" s="39" t="n">
        <v>727</v>
      </c>
      <c r="C446" s="40" t="n">
        <v>546900.15</v>
      </c>
      <c r="D446" s="40" t="n">
        <f aca="false">MAX(D445,C446)</f>
        <v>1345220.48</v>
      </c>
      <c r="E446" s="41" t="n">
        <f aca="false">C446/D446-1</f>
        <v>-0.593449432170405</v>
      </c>
      <c r="F446" s="42" t="n">
        <f aca="false">YEAR(A446)</f>
        <v>2015</v>
      </c>
    </row>
    <row r="447" customFormat="false" ht="15" hidden="false" customHeight="false" outlineLevel="0" collapsed="false">
      <c r="A447" s="38" t="n">
        <v>42025</v>
      </c>
      <c r="B447" s="39" t="n">
        <v>725</v>
      </c>
      <c r="C447" s="40" t="n">
        <v>553140.15</v>
      </c>
      <c r="D447" s="40" t="n">
        <f aca="false">MAX(D446,C447)</f>
        <v>1345220.48</v>
      </c>
      <c r="E447" s="41" t="n">
        <f aca="false">C447/D447-1</f>
        <v>-0.588810787358813</v>
      </c>
      <c r="F447" s="42" t="n">
        <f aca="false">YEAR(A447)</f>
        <v>2015</v>
      </c>
    </row>
    <row r="448" customFormat="false" ht="15" hidden="false" customHeight="false" outlineLevel="0" collapsed="false">
      <c r="A448" s="38" t="n">
        <v>42026</v>
      </c>
      <c r="B448" s="39" t="n">
        <v>723</v>
      </c>
      <c r="C448" s="40" t="n">
        <v>559380.15</v>
      </c>
      <c r="D448" s="40" t="n">
        <f aca="false">MAX(D447,C448)</f>
        <v>1345220.48</v>
      </c>
      <c r="E448" s="41" t="n">
        <f aca="false">C448/D448-1</f>
        <v>-0.58417214254722</v>
      </c>
      <c r="F448" s="42" t="n">
        <f aca="false">YEAR(A448)</f>
        <v>2015</v>
      </c>
    </row>
    <row r="449" customFormat="false" ht="15" hidden="false" customHeight="false" outlineLevel="0" collapsed="false">
      <c r="A449" s="38" t="n">
        <v>42027</v>
      </c>
      <c r="B449" s="39" t="n">
        <v>725</v>
      </c>
      <c r="C449" s="40" t="n">
        <v>553140.15</v>
      </c>
      <c r="D449" s="40" t="n">
        <f aca="false">MAX(D448,C449)</f>
        <v>1345220.48</v>
      </c>
      <c r="E449" s="41" t="n">
        <f aca="false">C449/D449-1</f>
        <v>-0.588810787358813</v>
      </c>
      <c r="F449" s="42" t="n">
        <f aca="false">YEAR(A449)</f>
        <v>2015</v>
      </c>
    </row>
    <row r="450" customFormat="false" ht="15" hidden="false" customHeight="false" outlineLevel="0" collapsed="false">
      <c r="A450" s="38" t="n">
        <v>42030</v>
      </c>
      <c r="B450" s="39" t="n">
        <v>719</v>
      </c>
      <c r="C450" s="40" t="n">
        <v>571860.15</v>
      </c>
      <c r="D450" s="40" t="n">
        <f aca="false">MAX(D449,C450)</f>
        <v>1345220.48</v>
      </c>
      <c r="E450" s="41" t="n">
        <f aca="false">C450/D450-1</f>
        <v>-0.574894852924035</v>
      </c>
      <c r="F450" s="42" t="n">
        <f aca="false">YEAR(A450)</f>
        <v>2015</v>
      </c>
    </row>
    <row r="451" customFormat="false" ht="15" hidden="false" customHeight="false" outlineLevel="0" collapsed="false">
      <c r="A451" s="38" t="n">
        <v>42031</v>
      </c>
      <c r="B451" s="39" t="n">
        <v>727</v>
      </c>
      <c r="C451" s="40" t="n">
        <v>546900.15</v>
      </c>
      <c r="D451" s="40" t="n">
        <f aca="false">MAX(D450,C451)</f>
        <v>1345220.48</v>
      </c>
      <c r="E451" s="41" t="n">
        <f aca="false">C451/D451-1</f>
        <v>-0.593449432170405</v>
      </c>
      <c r="F451" s="42" t="n">
        <f aca="false">YEAR(A451)</f>
        <v>2015</v>
      </c>
    </row>
    <row r="452" customFormat="false" ht="15" hidden="false" customHeight="false" outlineLevel="0" collapsed="false">
      <c r="A452" s="38" t="n">
        <v>42032</v>
      </c>
      <c r="B452" s="39" t="n">
        <v>730</v>
      </c>
      <c r="C452" s="40" t="n">
        <v>537540.15</v>
      </c>
      <c r="D452" s="40" t="n">
        <f aca="false">MAX(D451,C452)</f>
        <v>1345220.48</v>
      </c>
      <c r="E452" s="41" t="n">
        <f aca="false">C452/D452-1</f>
        <v>-0.600407399387794</v>
      </c>
      <c r="F452" s="42" t="n">
        <f aca="false">YEAR(A452)</f>
        <v>2015</v>
      </c>
    </row>
    <row r="453" customFormat="false" ht="15" hidden="false" customHeight="false" outlineLevel="0" collapsed="false">
      <c r="A453" s="38" t="n">
        <v>42033</v>
      </c>
      <c r="B453" s="39" t="n">
        <v>727</v>
      </c>
      <c r="C453" s="40" t="n">
        <v>546900.15</v>
      </c>
      <c r="D453" s="40" t="n">
        <f aca="false">MAX(D452,C453)</f>
        <v>1345220.48</v>
      </c>
      <c r="E453" s="41" t="n">
        <f aca="false">C453/D453-1</f>
        <v>-0.593449432170405</v>
      </c>
      <c r="F453" s="42" t="n">
        <f aca="false">YEAR(A453)</f>
        <v>2015</v>
      </c>
    </row>
    <row r="454" customFormat="false" ht="15" hidden="false" customHeight="false" outlineLevel="0" collapsed="false">
      <c r="A454" s="38" t="n">
        <v>42034</v>
      </c>
      <c r="B454" s="39" t="n">
        <v>728</v>
      </c>
      <c r="C454" s="40" t="n">
        <v>543780.15</v>
      </c>
      <c r="D454" s="40" t="n">
        <f aca="false">MAX(D453,C454)</f>
        <v>1345220.48</v>
      </c>
      <c r="E454" s="41" t="n">
        <f aca="false">C454/D454-1</f>
        <v>-0.595768754576202</v>
      </c>
      <c r="F454" s="42" t="n">
        <f aca="false">YEAR(A454)</f>
        <v>2015</v>
      </c>
    </row>
    <row r="455" customFormat="false" ht="15" hidden="false" customHeight="false" outlineLevel="0" collapsed="false">
      <c r="A455" s="38" t="n">
        <v>42037</v>
      </c>
      <c r="B455" s="39" t="n">
        <v>733</v>
      </c>
      <c r="C455" s="40" t="n">
        <v>528180.15</v>
      </c>
      <c r="D455" s="40" t="n">
        <f aca="false">MAX(D454,C455)</f>
        <v>1345220.48</v>
      </c>
      <c r="E455" s="41" t="n">
        <f aca="false">C455/D455-1</f>
        <v>-0.607365366605183</v>
      </c>
      <c r="F455" s="42" t="n">
        <f aca="false">YEAR(A455)</f>
        <v>2015</v>
      </c>
    </row>
    <row r="456" customFormat="false" ht="15" hidden="false" customHeight="false" outlineLevel="0" collapsed="false">
      <c r="A456" s="38" t="n">
        <v>42038</v>
      </c>
      <c r="B456" s="39" t="n">
        <v>737</v>
      </c>
      <c r="C456" s="40" t="n">
        <v>515700.15</v>
      </c>
      <c r="D456" s="40" t="n">
        <f aca="false">MAX(D455,C456)</f>
        <v>1345220.48</v>
      </c>
      <c r="E456" s="41" t="n">
        <f aca="false">C456/D456-1</f>
        <v>-0.616642656228368</v>
      </c>
      <c r="F456" s="42" t="n">
        <f aca="false">YEAR(A456)</f>
        <v>2015</v>
      </c>
    </row>
    <row r="457" customFormat="false" ht="15" hidden="false" customHeight="false" outlineLevel="0" collapsed="false">
      <c r="A457" s="38" t="n">
        <v>42039</v>
      </c>
      <c r="B457" s="39" t="n">
        <v>734</v>
      </c>
      <c r="C457" s="40" t="n">
        <v>525060.15</v>
      </c>
      <c r="D457" s="40" t="n">
        <f aca="false">MAX(D456,C457)</f>
        <v>1345220.48</v>
      </c>
      <c r="E457" s="41" t="n">
        <f aca="false">C457/D457-1</f>
        <v>-0.609684689010979</v>
      </c>
      <c r="F457" s="42" t="n">
        <f aca="false">YEAR(A457)</f>
        <v>2015</v>
      </c>
    </row>
    <row r="458" customFormat="false" ht="15" hidden="false" customHeight="false" outlineLevel="0" collapsed="false">
      <c r="A458" s="38" t="n">
        <v>42040</v>
      </c>
      <c r="B458" s="39" t="n">
        <v>733</v>
      </c>
      <c r="C458" s="40" t="n">
        <v>528180.15</v>
      </c>
      <c r="D458" s="40" t="n">
        <f aca="false">MAX(D457,C458)</f>
        <v>1345220.48</v>
      </c>
      <c r="E458" s="41" t="n">
        <f aca="false">C458/D458-1</f>
        <v>-0.607365366605183</v>
      </c>
      <c r="F458" s="42" t="n">
        <f aca="false">YEAR(A458)</f>
        <v>2015</v>
      </c>
    </row>
    <row r="459" customFormat="false" ht="15" hidden="false" customHeight="false" outlineLevel="0" collapsed="false">
      <c r="A459" s="38" t="n">
        <v>42041</v>
      </c>
      <c r="B459" s="39" t="n">
        <v>740</v>
      </c>
      <c r="C459" s="40" t="n">
        <v>506340.15</v>
      </c>
      <c r="D459" s="40" t="n">
        <f aca="false">MAX(D458,C459)</f>
        <v>1345220.48</v>
      </c>
      <c r="E459" s="41" t="n">
        <f aca="false">C459/D459-1</f>
        <v>-0.623600623445757</v>
      </c>
      <c r="F459" s="42" t="n">
        <f aca="false">YEAR(A459)</f>
        <v>2015</v>
      </c>
    </row>
    <row r="460" customFormat="false" ht="15" hidden="false" customHeight="false" outlineLevel="0" collapsed="false">
      <c r="A460" s="38" t="n">
        <v>42044</v>
      </c>
      <c r="B460" s="39" t="n">
        <v>730</v>
      </c>
      <c r="C460" s="40" t="n">
        <v>537540.15</v>
      </c>
      <c r="D460" s="40" t="n">
        <f aca="false">MAX(D459,C460)</f>
        <v>1345220.48</v>
      </c>
      <c r="E460" s="41" t="n">
        <f aca="false">C460/D460-1</f>
        <v>-0.600407399387794</v>
      </c>
      <c r="F460" s="42" t="n">
        <f aca="false">YEAR(A460)</f>
        <v>2015</v>
      </c>
    </row>
    <row r="461" customFormat="false" ht="15" hidden="false" customHeight="false" outlineLevel="0" collapsed="false">
      <c r="A461" s="38" t="n">
        <v>42045</v>
      </c>
      <c r="B461" s="39" t="n">
        <v>734</v>
      </c>
      <c r="C461" s="40" t="n">
        <v>525060.15</v>
      </c>
      <c r="D461" s="40" t="n">
        <f aca="false">MAX(D460,C461)</f>
        <v>1345220.48</v>
      </c>
      <c r="E461" s="41" t="n">
        <f aca="false">C461/D461-1</f>
        <v>-0.609684689010979</v>
      </c>
      <c r="F461" s="42" t="n">
        <f aca="false">YEAR(A461)</f>
        <v>2015</v>
      </c>
    </row>
    <row r="462" customFormat="false" ht="15" hidden="false" customHeight="false" outlineLevel="0" collapsed="false">
      <c r="A462" s="38" t="n">
        <v>42046</v>
      </c>
      <c r="B462" s="39" t="n">
        <v>734</v>
      </c>
      <c r="C462" s="40" t="n">
        <v>525060.15</v>
      </c>
      <c r="D462" s="40" t="n">
        <f aca="false">MAX(D461,C462)</f>
        <v>1345220.48</v>
      </c>
      <c r="E462" s="41" t="n">
        <f aca="false">C462/D462-1</f>
        <v>-0.609684689010979</v>
      </c>
      <c r="F462" s="42" t="n">
        <f aca="false">YEAR(A462)</f>
        <v>2015</v>
      </c>
    </row>
    <row r="463" customFormat="false" ht="15" hidden="false" customHeight="false" outlineLevel="0" collapsed="false">
      <c r="A463" s="38" t="n">
        <v>42047</v>
      </c>
      <c r="B463" s="39" t="n">
        <v>733</v>
      </c>
      <c r="C463" s="40" t="n">
        <v>528180.15</v>
      </c>
      <c r="D463" s="40" t="n">
        <f aca="false">MAX(D462,C463)</f>
        <v>1345220.48</v>
      </c>
      <c r="E463" s="41" t="n">
        <f aca="false">C463/D463-1</f>
        <v>-0.607365366605183</v>
      </c>
      <c r="F463" s="42" t="n">
        <f aca="false">YEAR(A463)</f>
        <v>2015</v>
      </c>
    </row>
    <row r="464" customFormat="false" ht="15" hidden="false" customHeight="false" outlineLevel="0" collapsed="false">
      <c r="A464" s="38" t="n">
        <v>42048</v>
      </c>
      <c r="B464" s="39" t="n">
        <v>740</v>
      </c>
      <c r="C464" s="40" t="n">
        <v>506340.15</v>
      </c>
      <c r="D464" s="40" t="n">
        <f aca="false">MAX(D463,C464)</f>
        <v>1345220.48</v>
      </c>
      <c r="E464" s="41" t="n">
        <f aca="false">C464/D464-1</f>
        <v>-0.623600623445757</v>
      </c>
      <c r="F464" s="42" t="n">
        <f aca="false">YEAR(A464)</f>
        <v>2015</v>
      </c>
    </row>
    <row r="465" customFormat="false" ht="15" hidden="false" customHeight="false" outlineLevel="0" collapsed="false">
      <c r="A465" s="38" t="n">
        <v>42051</v>
      </c>
      <c r="B465" s="39" t="n">
        <v>743</v>
      </c>
      <c r="C465" s="40" t="n">
        <v>496980.15</v>
      </c>
      <c r="D465" s="40" t="n">
        <f aca="false">MAX(D464,C465)</f>
        <v>1345220.48</v>
      </c>
      <c r="E465" s="41" t="n">
        <f aca="false">C465/D465-1</f>
        <v>-0.630558590663146</v>
      </c>
      <c r="F465" s="42" t="n">
        <f aca="false">YEAR(A465)</f>
        <v>2015</v>
      </c>
    </row>
    <row r="466" customFormat="false" ht="15" hidden="false" customHeight="false" outlineLevel="0" collapsed="false">
      <c r="A466" s="38" t="n">
        <v>42052</v>
      </c>
      <c r="B466" s="39" t="n">
        <v>734</v>
      </c>
      <c r="C466" s="40" t="n">
        <v>525060.15</v>
      </c>
      <c r="D466" s="40" t="n">
        <f aca="false">MAX(D465,C466)</f>
        <v>1345220.48</v>
      </c>
      <c r="E466" s="41" t="n">
        <f aca="false">C466/D466-1</f>
        <v>-0.609684689010979</v>
      </c>
      <c r="F466" s="42" t="n">
        <f aca="false">YEAR(A466)</f>
        <v>2015</v>
      </c>
    </row>
    <row r="467" customFormat="false" ht="15" hidden="false" customHeight="false" outlineLevel="0" collapsed="false">
      <c r="A467" s="38" t="n">
        <v>42060</v>
      </c>
      <c r="B467" s="39" t="n">
        <v>727</v>
      </c>
      <c r="C467" s="40" t="n">
        <v>546900.15</v>
      </c>
      <c r="D467" s="40" t="n">
        <f aca="false">MAX(D466,C467)</f>
        <v>1345220.48</v>
      </c>
      <c r="E467" s="41" t="n">
        <f aca="false">C467/D467-1</f>
        <v>-0.593449432170405</v>
      </c>
      <c r="F467" s="42" t="n">
        <f aca="false">YEAR(A467)</f>
        <v>2015</v>
      </c>
    </row>
    <row r="468" customFormat="false" ht="15" hidden="false" customHeight="false" outlineLevel="0" collapsed="false">
      <c r="A468" s="38" t="n">
        <v>42061</v>
      </c>
      <c r="B468" s="39" t="n">
        <v>736</v>
      </c>
      <c r="C468" s="40" t="n">
        <v>518820.15</v>
      </c>
      <c r="D468" s="40" t="n">
        <f aca="false">MAX(D467,C468)</f>
        <v>1345220.48</v>
      </c>
      <c r="E468" s="41" t="n">
        <f aca="false">C468/D468-1</f>
        <v>-0.614323333822572</v>
      </c>
      <c r="F468" s="42" t="n">
        <f aca="false">YEAR(A468)</f>
        <v>2015</v>
      </c>
    </row>
    <row r="469" customFormat="false" ht="15" hidden="false" customHeight="false" outlineLevel="0" collapsed="false">
      <c r="A469" s="38" t="n">
        <v>42062</v>
      </c>
      <c r="B469" s="39" t="n">
        <v>728</v>
      </c>
      <c r="C469" s="40" t="n">
        <v>543780.15</v>
      </c>
      <c r="D469" s="40" t="n">
        <f aca="false">MAX(D468,C469)</f>
        <v>1345220.48</v>
      </c>
      <c r="E469" s="41" t="n">
        <f aca="false">C469/D469-1</f>
        <v>-0.595768754576202</v>
      </c>
      <c r="F469" s="42" t="n">
        <f aca="false">YEAR(A469)</f>
        <v>2015</v>
      </c>
    </row>
    <row r="470" customFormat="false" ht="15" hidden="false" customHeight="false" outlineLevel="0" collapsed="false">
      <c r="A470" s="38" t="n">
        <v>42065</v>
      </c>
      <c r="B470" s="39" t="n">
        <v>732</v>
      </c>
      <c r="C470" s="40" t="n">
        <v>531300.15</v>
      </c>
      <c r="D470" s="40" t="n">
        <f aca="false">MAX(D469,C470)</f>
        <v>1345220.48</v>
      </c>
      <c r="E470" s="41" t="n">
        <f aca="false">C470/D470-1</f>
        <v>-0.605046044199387</v>
      </c>
      <c r="F470" s="42" t="n">
        <f aca="false">YEAR(A470)</f>
        <v>2015</v>
      </c>
    </row>
    <row r="471" customFormat="false" ht="15" hidden="false" customHeight="false" outlineLevel="0" collapsed="false">
      <c r="A471" s="38" t="n">
        <v>42066</v>
      </c>
      <c r="B471" s="39" t="n">
        <v>733</v>
      </c>
      <c r="C471" s="40" t="n">
        <v>528180.15</v>
      </c>
      <c r="D471" s="40" t="n">
        <f aca="false">MAX(D470,C471)</f>
        <v>1345220.48</v>
      </c>
      <c r="E471" s="41" t="n">
        <f aca="false">C471/D471-1</f>
        <v>-0.607365366605183</v>
      </c>
      <c r="F471" s="42" t="n">
        <f aca="false">YEAR(A471)</f>
        <v>2015</v>
      </c>
    </row>
    <row r="472" customFormat="false" ht="15" hidden="false" customHeight="false" outlineLevel="0" collapsed="false">
      <c r="A472" s="38" t="n">
        <v>42067</v>
      </c>
      <c r="B472" s="39" t="n">
        <v>726</v>
      </c>
      <c r="C472" s="40" t="n">
        <v>550020.15</v>
      </c>
      <c r="D472" s="40" t="n">
        <f aca="false">MAX(D471,C472)</f>
        <v>1345220.48</v>
      </c>
      <c r="E472" s="41" t="n">
        <f aca="false">C472/D472-1</f>
        <v>-0.591130109764609</v>
      </c>
      <c r="F472" s="42" t="n">
        <f aca="false">YEAR(A472)</f>
        <v>2015</v>
      </c>
    </row>
    <row r="473" customFormat="false" ht="15" hidden="false" customHeight="false" outlineLevel="0" collapsed="false">
      <c r="A473" s="38" t="n">
        <v>42068</v>
      </c>
      <c r="B473" s="39" t="n">
        <v>715</v>
      </c>
      <c r="C473" s="40" t="n">
        <v>584340.15</v>
      </c>
      <c r="D473" s="40" t="n">
        <f aca="false">MAX(D472,C473)</f>
        <v>1345220.48</v>
      </c>
      <c r="E473" s="41" t="n">
        <f aca="false">C473/D473-1</f>
        <v>-0.56561756330085</v>
      </c>
      <c r="F473" s="42" t="n">
        <f aca="false">YEAR(A473)</f>
        <v>2015</v>
      </c>
    </row>
    <row r="474" customFormat="false" ht="15" hidden="false" customHeight="false" outlineLevel="0" collapsed="false">
      <c r="A474" s="38" t="n">
        <v>42069</v>
      </c>
      <c r="B474" s="39" t="n">
        <v>715</v>
      </c>
      <c r="C474" s="40" t="n">
        <v>584340.15</v>
      </c>
      <c r="D474" s="40" t="n">
        <f aca="false">MAX(D473,C474)</f>
        <v>1345220.48</v>
      </c>
      <c r="E474" s="41" t="n">
        <f aca="false">C474/D474-1</f>
        <v>-0.56561756330085</v>
      </c>
      <c r="F474" s="42" t="n">
        <f aca="false">YEAR(A474)</f>
        <v>2015</v>
      </c>
    </row>
    <row r="475" customFormat="false" ht="15" hidden="false" customHeight="false" outlineLevel="0" collapsed="false">
      <c r="A475" s="38" t="n">
        <v>42072</v>
      </c>
      <c r="B475" s="39" t="n">
        <v>720</v>
      </c>
      <c r="C475" s="40" t="n">
        <v>568740.15</v>
      </c>
      <c r="D475" s="40" t="n">
        <f aca="false">MAX(D474,C475)</f>
        <v>1345220.48</v>
      </c>
      <c r="E475" s="41" t="n">
        <f aca="false">C475/D475-1</f>
        <v>-0.577214175329831</v>
      </c>
      <c r="F475" s="42" t="n">
        <f aca="false">YEAR(A475)</f>
        <v>2015</v>
      </c>
    </row>
    <row r="476" customFormat="false" ht="15" hidden="false" customHeight="false" outlineLevel="0" collapsed="false">
      <c r="A476" s="38" t="n">
        <v>42073</v>
      </c>
      <c r="B476" s="39" t="n">
        <v>718</v>
      </c>
      <c r="C476" s="40" t="n">
        <v>574980.15</v>
      </c>
      <c r="D476" s="40" t="n">
        <f aca="false">MAX(D475,C476)</f>
        <v>1345220.48</v>
      </c>
      <c r="E476" s="41" t="n">
        <f aca="false">C476/D476-1</f>
        <v>-0.572575530518239</v>
      </c>
      <c r="F476" s="42" t="n">
        <f aca="false">YEAR(A476)</f>
        <v>2015</v>
      </c>
    </row>
    <row r="477" customFormat="false" ht="15" hidden="false" customHeight="false" outlineLevel="0" collapsed="false">
      <c r="A477" s="38" t="n">
        <v>42074</v>
      </c>
      <c r="B477" s="39" t="n">
        <v>721</v>
      </c>
      <c r="C477" s="40" t="n">
        <v>565620.15</v>
      </c>
      <c r="D477" s="40" t="n">
        <f aca="false">MAX(D476,C477)</f>
        <v>1345220.48</v>
      </c>
      <c r="E477" s="41" t="n">
        <f aca="false">C477/D477-1</f>
        <v>-0.579533497735628</v>
      </c>
      <c r="F477" s="42" t="n">
        <f aca="false">YEAR(A477)</f>
        <v>2015</v>
      </c>
    </row>
    <row r="478" customFormat="false" ht="15" hidden="false" customHeight="false" outlineLevel="0" collapsed="false">
      <c r="A478" s="38" t="n">
        <v>42075</v>
      </c>
      <c r="B478" s="39" t="n">
        <v>723</v>
      </c>
      <c r="C478" s="40" t="n">
        <v>559380.15</v>
      </c>
      <c r="D478" s="40" t="n">
        <f aca="false">MAX(D477,C478)</f>
        <v>1345220.48</v>
      </c>
      <c r="E478" s="41" t="n">
        <f aca="false">C478/D478-1</f>
        <v>-0.58417214254722</v>
      </c>
      <c r="F478" s="42" t="n">
        <f aca="false">YEAR(A478)</f>
        <v>2015</v>
      </c>
    </row>
    <row r="479" customFormat="false" ht="15" hidden="false" customHeight="false" outlineLevel="0" collapsed="false">
      <c r="A479" s="38" t="n">
        <v>42076</v>
      </c>
      <c r="B479" s="39" t="n">
        <v>723</v>
      </c>
      <c r="C479" s="40" t="n">
        <v>559380.15</v>
      </c>
      <c r="D479" s="40" t="n">
        <f aca="false">MAX(D478,C479)</f>
        <v>1345220.48</v>
      </c>
      <c r="E479" s="41" t="n">
        <f aca="false">C479/D479-1</f>
        <v>-0.58417214254722</v>
      </c>
      <c r="F479" s="42" t="n">
        <f aca="false">YEAR(A479)</f>
        <v>2015</v>
      </c>
    </row>
    <row r="480" customFormat="false" ht="15" hidden="false" customHeight="false" outlineLevel="0" collapsed="false">
      <c r="A480" s="38" t="n">
        <v>42079</v>
      </c>
      <c r="B480" s="39" t="n">
        <v>723</v>
      </c>
      <c r="C480" s="40" t="n">
        <v>559380.15</v>
      </c>
      <c r="D480" s="40" t="n">
        <f aca="false">MAX(D479,C480)</f>
        <v>1345220.48</v>
      </c>
      <c r="E480" s="41" t="n">
        <f aca="false">C480/D480-1</f>
        <v>-0.58417214254722</v>
      </c>
      <c r="F480" s="42" t="n">
        <f aca="false">YEAR(A480)</f>
        <v>2015</v>
      </c>
    </row>
    <row r="481" customFormat="false" ht="15" hidden="false" customHeight="false" outlineLevel="0" collapsed="false">
      <c r="A481" s="38" t="n">
        <v>42080</v>
      </c>
      <c r="B481" s="39" t="n">
        <v>717</v>
      </c>
      <c r="C481" s="40" t="n">
        <v>578100.15</v>
      </c>
      <c r="D481" s="40" t="n">
        <f aca="false">MAX(D480,C481)</f>
        <v>1345220.48</v>
      </c>
      <c r="E481" s="41" t="n">
        <f aca="false">C481/D481-1</f>
        <v>-0.570256208112443</v>
      </c>
      <c r="F481" s="42" t="n">
        <f aca="false">YEAR(A481)</f>
        <v>2015</v>
      </c>
    </row>
    <row r="482" customFormat="false" ht="15" hidden="false" customHeight="false" outlineLevel="0" collapsed="false">
      <c r="A482" s="38" t="n">
        <v>42081</v>
      </c>
      <c r="B482" s="39" t="n">
        <v>708</v>
      </c>
      <c r="C482" s="40" t="n">
        <v>606180.15</v>
      </c>
      <c r="D482" s="40" t="n">
        <f aca="false">MAX(D481,C482)</f>
        <v>1345220.48</v>
      </c>
      <c r="E482" s="41" t="n">
        <f aca="false">C482/D482-1</f>
        <v>-0.549382306460276</v>
      </c>
      <c r="F482" s="42" t="n">
        <f aca="false">YEAR(A482)</f>
        <v>2015</v>
      </c>
    </row>
    <row r="483" customFormat="false" ht="15" hidden="false" customHeight="false" outlineLevel="0" collapsed="false">
      <c r="A483" s="38" t="n">
        <v>42082</v>
      </c>
      <c r="B483" s="39" t="n">
        <v>705</v>
      </c>
      <c r="C483" s="40" t="n">
        <v>615540.15</v>
      </c>
      <c r="D483" s="40" t="n">
        <f aca="false">MAX(D482,C483)</f>
        <v>1345220.48</v>
      </c>
      <c r="E483" s="41" t="n">
        <f aca="false">C483/D483-1</f>
        <v>-0.542424339242888</v>
      </c>
      <c r="F483" s="42" t="n">
        <f aca="false">YEAR(A483)</f>
        <v>2015</v>
      </c>
    </row>
    <row r="484" customFormat="false" ht="15" hidden="false" customHeight="false" outlineLevel="0" collapsed="false">
      <c r="A484" s="38" t="n">
        <v>42083</v>
      </c>
      <c r="B484" s="39" t="n">
        <v>707</v>
      </c>
      <c r="C484" s="40" t="n">
        <v>609300.15</v>
      </c>
      <c r="D484" s="40" t="n">
        <f aca="false">MAX(D483,C484)</f>
        <v>1345220.48</v>
      </c>
      <c r="E484" s="41" t="n">
        <f aca="false">C484/D484-1</f>
        <v>-0.54706298405448</v>
      </c>
      <c r="F484" s="42" t="n">
        <f aca="false">YEAR(A484)</f>
        <v>2015</v>
      </c>
    </row>
    <row r="485" customFormat="false" ht="15" hidden="false" customHeight="false" outlineLevel="0" collapsed="false">
      <c r="A485" s="38" t="n">
        <v>42086</v>
      </c>
      <c r="B485" s="39" t="n">
        <v>706</v>
      </c>
      <c r="C485" s="40" t="n">
        <v>612420.15</v>
      </c>
      <c r="D485" s="40" t="n">
        <f aca="false">MAX(D484,C485)</f>
        <v>1345220.48</v>
      </c>
      <c r="E485" s="41" t="n">
        <f aca="false">C485/D485-1</f>
        <v>-0.544743661648684</v>
      </c>
      <c r="F485" s="42" t="n">
        <f aca="false">YEAR(A485)</f>
        <v>2015</v>
      </c>
    </row>
    <row r="486" customFormat="false" ht="15" hidden="false" customHeight="false" outlineLevel="0" collapsed="false">
      <c r="A486" s="38" t="n">
        <v>42087</v>
      </c>
      <c r="B486" s="39" t="n">
        <v>708</v>
      </c>
      <c r="C486" s="40" t="n">
        <v>606180.15</v>
      </c>
      <c r="D486" s="40" t="n">
        <f aca="false">MAX(D485,C486)</f>
        <v>1345220.48</v>
      </c>
      <c r="E486" s="41" t="n">
        <f aca="false">C486/D486-1</f>
        <v>-0.549382306460276</v>
      </c>
      <c r="F486" s="42" t="n">
        <f aca="false">YEAR(A486)</f>
        <v>2015</v>
      </c>
    </row>
    <row r="487" customFormat="false" ht="15" hidden="false" customHeight="false" outlineLevel="0" collapsed="false">
      <c r="A487" s="38" t="n">
        <v>42088</v>
      </c>
      <c r="B487" s="39" t="n">
        <v>696</v>
      </c>
      <c r="C487" s="40" t="n">
        <v>643620.15</v>
      </c>
      <c r="D487" s="40" t="n">
        <f aca="false">MAX(D486,C487)</f>
        <v>1345220.48</v>
      </c>
      <c r="E487" s="41" t="n">
        <f aca="false">C487/D487-1</f>
        <v>-0.521550437590721</v>
      </c>
      <c r="F487" s="42" t="n">
        <f aca="false">YEAR(A487)</f>
        <v>2015</v>
      </c>
    </row>
    <row r="488" customFormat="false" ht="15" hidden="false" customHeight="false" outlineLevel="0" collapsed="false">
      <c r="A488" s="38" t="n">
        <v>42089</v>
      </c>
      <c r="B488" s="39" t="n">
        <v>705</v>
      </c>
      <c r="C488" s="40" t="n">
        <v>615540.15</v>
      </c>
      <c r="D488" s="40" t="n">
        <f aca="false">MAX(D487,C488)</f>
        <v>1345220.48</v>
      </c>
      <c r="E488" s="41" t="n">
        <f aca="false">C488/D488-1</f>
        <v>-0.542424339242888</v>
      </c>
      <c r="F488" s="42" t="n">
        <f aca="false">YEAR(A488)</f>
        <v>2015</v>
      </c>
    </row>
    <row r="489" customFormat="false" ht="15" hidden="false" customHeight="false" outlineLevel="0" collapsed="false">
      <c r="A489" s="38" t="n">
        <v>42090</v>
      </c>
      <c r="B489" s="39" t="n">
        <v>697</v>
      </c>
      <c r="C489" s="40" t="n">
        <v>640500.15</v>
      </c>
      <c r="D489" s="40" t="n">
        <f aca="false">MAX(D488,C489)</f>
        <v>1345220.48</v>
      </c>
      <c r="E489" s="41" t="n">
        <f aca="false">C489/D489-1</f>
        <v>-0.523869759996517</v>
      </c>
      <c r="F489" s="42" t="n">
        <f aca="false">YEAR(A489)</f>
        <v>2015</v>
      </c>
    </row>
    <row r="490" customFormat="false" ht="15" hidden="false" customHeight="false" outlineLevel="0" collapsed="false">
      <c r="A490" s="38" t="n">
        <v>42093</v>
      </c>
      <c r="B490" s="39" t="n">
        <v>690</v>
      </c>
      <c r="C490" s="40" t="n">
        <v>662340.15</v>
      </c>
      <c r="D490" s="40" t="n">
        <f aca="false">MAX(D489,C490)</f>
        <v>1345220.48</v>
      </c>
      <c r="E490" s="41" t="n">
        <f aca="false">C490/D490-1</f>
        <v>-0.507634503155944</v>
      </c>
      <c r="F490" s="42" t="n">
        <f aca="false">YEAR(A490)</f>
        <v>2015</v>
      </c>
    </row>
    <row r="491" customFormat="false" ht="15" hidden="false" customHeight="false" outlineLevel="0" collapsed="false">
      <c r="A491" s="38" t="n">
        <v>42094</v>
      </c>
      <c r="B491" s="39" t="n">
        <v>690</v>
      </c>
      <c r="C491" s="40" t="n">
        <v>662340.15</v>
      </c>
      <c r="D491" s="40" t="n">
        <f aca="false">MAX(D490,C491)</f>
        <v>1345220.48</v>
      </c>
      <c r="E491" s="41" t="n">
        <f aca="false">C491/D491-1</f>
        <v>-0.507634503155944</v>
      </c>
      <c r="F491" s="42" t="n">
        <f aca="false">YEAR(A491)</f>
        <v>2015</v>
      </c>
    </row>
    <row r="492" customFormat="false" ht="15" hidden="false" customHeight="false" outlineLevel="0" collapsed="false">
      <c r="A492" s="38" t="n">
        <v>42095</v>
      </c>
      <c r="B492" s="39" t="n">
        <v>694</v>
      </c>
      <c r="C492" s="40" t="n">
        <v>649860.15</v>
      </c>
      <c r="D492" s="40" t="n">
        <f aca="false">MAX(D491,C492)</f>
        <v>1345220.48</v>
      </c>
      <c r="E492" s="41" t="n">
        <f aca="false">C492/D492-1</f>
        <v>-0.516911792779129</v>
      </c>
      <c r="F492" s="42" t="n">
        <f aca="false">YEAR(A492)</f>
        <v>2015</v>
      </c>
    </row>
    <row r="493" customFormat="false" ht="15" hidden="false" customHeight="false" outlineLevel="0" collapsed="false">
      <c r="A493" s="38" t="n">
        <v>42096</v>
      </c>
      <c r="B493" s="39" t="n">
        <v>686</v>
      </c>
      <c r="C493" s="40" t="n">
        <v>674820.15</v>
      </c>
      <c r="D493" s="40" t="n">
        <f aca="false">MAX(D492,C493)</f>
        <v>1345220.48</v>
      </c>
      <c r="E493" s="41" t="n">
        <f aca="false">C493/D493-1</f>
        <v>-0.498357213532759</v>
      </c>
      <c r="F493" s="42" t="n">
        <f aca="false">YEAR(A493)</f>
        <v>2015</v>
      </c>
    </row>
    <row r="494" customFormat="false" ht="15" hidden="false" customHeight="false" outlineLevel="0" collapsed="false">
      <c r="A494" s="38" t="n">
        <v>42097</v>
      </c>
      <c r="B494" s="39" t="n">
        <v>686</v>
      </c>
      <c r="C494" s="40" t="n">
        <v>674820.15</v>
      </c>
      <c r="D494" s="40" t="n">
        <f aca="false">MAX(D493,C494)</f>
        <v>1345220.48</v>
      </c>
      <c r="E494" s="41" t="n">
        <f aca="false">C494/D494-1</f>
        <v>-0.498357213532759</v>
      </c>
      <c r="F494" s="42" t="n">
        <f aca="false">YEAR(A494)</f>
        <v>2015</v>
      </c>
    </row>
    <row r="495" customFormat="false" ht="15" hidden="false" customHeight="false" outlineLevel="0" collapsed="false">
      <c r="A495" s="38" t="n">
        <v>42101</v>
      </c>
      <c r="B495" s="39" t="n">
        <v>682</v>
      </c>
      <c r="C495" s="40" t="n">
        <v>687300.15</v>
      </c>
      <c r="D495" s="40" t="n">
        <f aca="false">MAX(D494,C495)</f>
        <v>1345220.48</v>
      </c>
      <c r="E495" s="41" t="n">
        <f aca="false">C495/D495-1</f>
        <v>-0.489079923909574</v>
      </c>
      <c r="F495" s="42" t="n">
        <f aca="false">YEAR(A495)</f>
        <v>2015</v>
      </c>
    </row>
    <row r="496" customFormat="false" ht="15" hidden="false" customHeight="false" outlineLevel="0" collapsed="false">
      <c r="A496" s="38" t="n">
        <v>42102</v>
      </c>
      <c r="B496" s="39" t="n">
        <v>681</v>
      </c>
      <c r="C496" s="40" t="n">
        <v>690420.15</v>
      </c>
      <c r="D496" s="40" t="n">
        <f aca="false">MAX(D495,C496)</f>
        <v>1345220.48</v>
      </c>
      <c r="E496" s="41" t="n">
        <f aca="false">C496/D496-1</f>
        <v>-0.486760601503777</v>
      </c>
      <c r="F496" s="42" t="n">
        <f aca="false">YEAR(A496)</f>
        <v>2015</v>
      </c>
    </row>
    <row r="497" customFormat="false" ht="15" hidden="false" customHeight="false" outlineLevel="0" collapsed="false">
      <c r="A497" s="38" t="n">
        <v>42103</v>
      </c>
      <c r="B497" s="39" t="n">
        <v>678</v>
      </c>
      <c r="C497" s="40" t="n">
        <v>699780.15</v>
      </c>
      <c r="D497" s="40" t="n">
        <f aca="false">MAX(D496,C497)</f>
        <v>1345220.48</v>
      </c>
      <c r="E497" s="41" t="n">
        <f aca="false">C497/D497-1</f>
        <v>-0.479802634286389</v>
      </c>
      <c r="F497" s="42" t="n">
        <f aca="false">YEAR(A497)</f>
        <v>2015</v>
      </c>
    </row>
    <row r="498" customFormat="false" ht="15" hidden="false" customHeight="false" outlineLevel="0" collapsed="false">
      <c r="A498" s="38" t="n">
        <v>42104</v>
      </c>
      <c r="B498" s="39" t="n">
        <v>668</v>
      </c>
      <c r="C498" s="40" t="n">
        <v>730980.15</v>
      </c>
      <c r="D498" s="40" t="n">
        <f aca="false">MAX(D497,C498)</f>
        <v>1345220.48</v>
      </c>
      <c r="E498" s="41" t="n">
        <f aca="false">C498/D498-1</f>
        <v>-0.456609410228426</v>
      </c>
      <c r="F498" s="42" t="n">
        <f aca="false">YEAR(A498)</f>
        <v>2015</v>
      </c>
    </row>
    <row r="499" customFormat="false" ht="15" hidden="false" customHeight="false" outlineLevel="0" collapsed="false">
      <c r="A499" s="38" t="n">
        <v>42107</v>
      </c>
      <c r="B499" s="39" t="n">
        <v>681</v>
      </c>
      <c r="C499" s="40" t="n">
        <v>690420.15</v>
      </c>
      <c r="D499" s="40" t="n">
        <f aca="false">MAX(D498,C499)</f>
        <v>1345220.48</v>
      </c>
      <c r="E499" s="41" t="n">
        <f aca="false">C499/D499-1</f>
        <v>-0.486760601503777</v>
      </c>
      <c r="F499" s="42" t="n">
        <f aca="false">YEAR(A499)</f>
        <v>2015</v>
      </c>
    </row>
    <row r="500" customFormat="false" ht="15" hidden="false" customHeight="false" outlineLevel="0" collapsed="false">
      <c r="A500" s="38" t="n">
        <v>42108</v>
      </c>
      <c r="B500" s="39" t="n">
        <v>680</v>
      </c>
      <c r="C500" s="40" t="n">
        <v>693540.15</v>
      </c>
      <c r="D500" s="40" t="n">
        <f aca="false">MAX(D499,C500)</f>
        <v>1345220.48</v>
      </c>
      <c r="E500" s="41" t="n">
        <f aca="false">C500/D500-1</f>
        <v>-0.484441279097981</v>
      </c>
      <c r="F500" s="42" t="n">
        <f aca="false">YEAR(A500)</f>
        <v>2015</v>
      </c>
    </row>
    <row r="501" customFormat="false" ht="15" hidden="false" customHeight="false" outlineLevel="0" collapsed="false">
      <c r="A501" s="38" t="n">
        <v>42109</v>
      </c>
      <c r="B501" s="39" t="n">
        <v>677</v>
      </c>
      <c r="C501" s="40" t="n">
        <v>702900.15</v>
      </c>
      <c r="D501" s="40" t="n">
        <f aca="false">MAX(D500,C501)</f>
        <v>1345220.48</v>
      </c>
      <c r="E501" s="41" t="n">
        <f aca="false">C501/D501-1</f>
        <v>-0.477483311880592</v>
      </c>
      <c r="F501" s="42" t="n">
        <f aca="false">YEAR(A501)</f>
        <v>2015</v>
      </c>
    </row>
    <row r="502" customFormat="false" ht="15" hidden="false" customHeight="false" outlineLevel="0" collapsed="false">
      <c r="A502" s="38" t="n">
        <v>42110</v>
      </c>
      <c r="B502" s="39" t="n">
        <v>681</v>
      </c>
      <c r="C502" s="40" t="n">
        <v>690420.15</v>
      </c>
      <c r="D502" s="40" t="n">
        <f aca="false">MAX(D501,C502)</f>
        <v>1345220.48</v>
      </c>
      <c r="E502" s="41" t="n">
        <f aca="false">C502/D502-1</f>
        <v>-0.486760601503777</v>
      </c>
      <c r="F502" s="42" t="n">
        <f aca="false">YEAR(A502)</f>
        <v>2015</v>
      </c>
    </row>
    <row r="503" customFormat="false" ht="15" hidden="false" customHeight="false" outlineLevel="0" collapsed="false">
      <c r="A503" s="38" t="n">
        <v>42111</v>
      </c>
      <c r="B503" s="39" t="n">
        <v>678</v>
      </c>
      <c r="C503" s="40" t="n">
        <v>699780.15</v>
      </c>
      <c r="D503" s="40" t="n">
        <f aca="false">MAX(D502,C503)</f>
        <v>1345220.48</v>
      </c>
      <c r="E503" s="41" t="n">
        <f aca="false">C503/D503-1</f>
        <v>-0.479802634286389</v>
      </c>
      <c r="F503" s="42" t="n">
        <f aca="false">YEAR(A503)</f>
        <v>2015</v>
      </c>
    </row>
    <row r="504" customFormat="false" ht="15" hidden="false" customHeight="false" outlineLevel="0" collapsed="false">
      <c r="A504" s="38" t="n">
        <v>42114</v>
      </c>
      <c r="B504" s="39" t="n">
        <v>659.5</v>
      </c>
      <c r="C504" s="40" t="n">
        <v>757500.15</v>
      </c>
      <c r="D504" s="40" t="n">
        <f aca="false">MAX(D503,C504)</f>
        <v>1345220.48</v>
      </c>
      <c r="E504" s="41" t="n">
        <f aca="false">C504/D504-1</f>
        <v>-0.436895169779158</v>
      </c>
      <c r="F504" s="42" t="n">
        <f aca="false">YEAR(A504)</f>
        <v>2015</v>
      </c>
    </row>
    <row r="505" customFormat="false" ht="15" hidden="false" customHeight="false" outlineLevel="0" collapsed="false">
      <c r="A505" s="38" t="n">
        <v>42115</v>
      </c>
      <c r="B505" s="39" t="n">
        <v>662</v>
      </c>
      <c r="C505" s="40" t="n">
        <v>749700.15</v>
      </c>
      <c r="D505" s="40" t="n">
        <f aca="false">MAX(D504,C505)</f>
        <v>1345220.48</v>
      </c>
      <c r="E505" s="41" t="n">
        <f aca="false">C505/D505-1</f>
        <v>-0.442693475793648</v>
      </c>
      <c r="F505" s="42" t="n">
        <f aca="false">YEAR(A505)</f>
        <v>2015</v>
      </c>
    </row>
    <row r="506" customFormat="false" ht="15" hidden="false" customHeight="false" outlineLevel="0" collapsed="false">
      <c r="A506" s="38" t="n">
        <v>42116</v>
      </c>
      <c r="B506" s="39" t="n">
        <v>668</v>
      </c>
      <c r="C506" s="40" t="n">
        <v>730980.15</v>
      </c>
      <c r="D506" s="40" t="n">
        <f aca="false">MAX(D505,C506)</f>
        <v>1345220.48</v>
      </c>
      <c r="E506" s="41" t="n">
        <f aca="false">C506/D506-1</f>
        <v>-0.456609410228426</v>
      </c>
      <c r="F506" s="42" t="n">
        <f aca="false">YEAR(A506)</f>
        <v>2015</v>
      </c>
    </row>
    <row r="507" customFormat="false" ht="15" hidden="false" customHeight="false" outlineLevel="0" collapsed="false">
      <c r="A507" s="38" t="n">
        <v>42117</v>
      </c>
      <c r="B507" s="39" t="n">
        <v>663.5</v>
      </c>
      <c r="C507" s="40" t="n">
        <v>745020.15</v>
      </c>
      <c r="D507" s="40" t="n">
        <f aca="false">MAX(D506,C507)</f>
        <v>1345220.48</v>
      </c>
      <c r="E507" s="41" t="n">
        <f aca="false">C507/D507-1</f>
        <v>-0.446172459402343</v>
      </c>
      <c r="F507" s="42" t="n">
        <f aca="false">YEAR(A507)</f>
        <v>2015</v>
      </c>
    </row>
    <row r="508" customFormat="false" ht="15" hidden="false" customHeight="false" outlineLevel="0" collapsed="false">
      <c r="A508" s="38" t="n">
        <v>42118</v>
      </c>
      <c r="B508" s="39" t="n">
        <v>676</v>
      </c>
      <c r="C508" s="40" t="n">
        <v>706020.15</v>
      </c>
      <c r="D508" s="40" t="n">
        <f aca="false">MAX(D507,C508)</f>
        <v>1345220.48</v>
      </c>
      <c r="E508" s="41" t="n">
        <f aca="false">C508/D508-1</f>
        <v>-0.475163989474796</v>
      </c>
      <c r="F508" s="42" t="n">
        <f aca="false">YEAR(A508)</f>
        <v>2015</v>
      </c>
    </row>
    <row r="509" customFormat="false" ht="15" hidden="false" customHeight="false" outlineLevel="0" collapsed="false">
      <c r="A509" s="38" t="n">
        <v>42121</v>
      </c>
      <c r="B509" s="39" t="n">
        <v>683.5</v>
      </c>
      <c r="C509" s="40" t="n">
        <v>682620.15</v>
      </c>
      <c r="D509" s="40" t="n">
        <f aca="false">MAX(D508,C509)</f>
        <v>1345220.48</v>
      </c>
      <c r="E509" s="41" t="n">
        <f aca="false">C509/D509-1</f>
        <v>-0.492558907518268</v>
      </c>
      <c r="F509" s="42" t="n">
        <f aca="false">YEAR(A509)</f>
        <v>2015</v>
      </c>
    </row>
    <row r="510" customFormat="false" ht="15" hidden="false" customHeight="false" outlineLevel="0" collapsed="false">
      <c r="A510" s="38" t="n">
        <v>42122</v>
      </c>
      <c r="B510" s="39" t="n">
        <v>680</v>
      </c>
      <c r="C510" s="40" t="n">
        <v>664002.36</v>
      </c>
      <c r="D510" s="40" t="n">
        <f aca="false">MAX(D509,C510)</f>
        <v>1345220.48</v>
      </c>
      <c r="E510" s="41" t="n">
        <f aca="false">C510/D510-1</f>
        <v>-0.506398861843079</v>
      </c>
      <c r="F510" s="42" t="n">
        <f aca="false">YEAR(A510)</f>
        <v>2015</v>
      </c>
    </row>
    <row r="511" customFormat="false" ht="15" hidden="false" customHeight="false" outlineLevel="0" collapsed="false">
      <c r="A511" s="38" t="n">
        <v>42123</v>
      </c>
      <c r="B511" s="39" t="n">
        <v>666</v>
      </c>
      <c r="C511" s="40" t="n">
        <v>606042.36</v>
      </c>
      <c r="D511" s="40" t="n">
        <f aca="false">MAX(D510,C511)</f>
        <v>1345220.48</v>
      </c>
      <c r="E511" s="41" t="n">
        <f aca="false">C511/D511-1</f>
        <v>-0.54948473576614</v>
      </c>
      <c r="F511" s="42" t="n">
        <f aca="false">YEAR(A511)</f>
        <v>2015</v>
      </c>
    </row>
    <row r="512" customFormat="false" ht="15" hidden="false" customHeight="false" outlineLevel="0" collapsed="false">
      <c r="A512" s="38" t="n">
        <v>42124</v>
      </c>
      <c r="B512" s="39" t="n">
        <v>671</v>
      </c>
      <c r="C512" s="40" t="n">
        <v>626742.36</v>
      </c>
      <c r="D512" s="40" t="n">
        <f aca="false">MAX(D511,C512)</f>
        <v>1345220.48</v>
      </c>
      <c r="E512" s="41" t="n">
        <f aca="false">C512/D512-1</f>
        <v>-0.534096923650761</v>
      </c>
      <c r="F512" s="42" t="n">
        <f aca="false">YEAR(A512)</f>
        <v>2015</v>
      </c>
    </row>
    <row r="513" customFormat="false" ht="15" hidden="false" customHeight="false" outlineLevel="0" collapsed="false">
      <c r="A513" s="38" t="n">
        <v>42128</v>
      </c>
      <c r="B513" s="39" t="n">
        <v>674</v>
      </c>
      <c r="C513" s="40" t="n">
        <v>639162.36</v>
      </c>
      <c r="D513" s="40" t="n">
        <f aca="false">MAX(D512,C513)</f>
        <v>1345220.48</v>
      </c>
      <c r="E513" s="41" t="n">
        <f aca="false">C513/D513-1</f>
        <v>-0.524864236381534</v>
      </c>
      <c r="F513" s="42" t="n">
        <f aca="false">YEAR(A513)</f>
        <v>2015</v>
      </c>
    </row>
    <row r="514" customFormat="false" ht="15" hidden="false" customHeight="false" outlineLevel="0" collapsed="false">
      <c r="A514" s="38" t="n">
        <v>42129</v>
      </c>
      <c r="B514" s="39" t="n">
        <v>686</v>
      </c>
      <c r="C514" s="40" t="n">
        <v>643022.22</v>
      </c>
      <c r="D514" s="40" t="n">
        <f aca="false">MAX(D513,C514)</f>
        <v>1345220.48</v>
      </c>
      <c r="E514" s="41" t="n">
        <f aca="false">C514/D514-1</f>
        <v>-0.521994922349086</v>
      </c>
      <c r="F514" s="42" t="n">
        <f aca="false">YEAR(A514)</f>
        <v>2015</v>
      </c>
    </row>
    <row r="515" customFormat="false" ht="15" hidden="false" customHeight="false" outlineLevel="0" collapsed="false">
      <c r="A515" s="38" t="n">
        <v>42130</v>
      </c>
      <c r="B515" s="39" t="n">
        <v>684.5</v>
      </c>
      <c r="C515" s="40" t="n">
        <v>636904.03</v>
      </c>
      <c r="D515" s="40" t="n">
        <f aca="false">MAX(D514,C515)</f>
        <v>1345220.48</v>
      </c>
      <c r="E515" s="41" t="n">
        <f aca="false">C515/D515-1</f>
        <v>-0.526543016948419</v>
      </c>
      <c r="F515" s="42" t="n">
        <f aca="false">YEAR(A515)</f>
        <v>2015</v>
      </c>
    </row>
    <row r="516" customFormat="false" ht="15" hidden="false" customHeight="false" outlineLevel="0" collapsed="false">
      <c r="A516" s="38" t="n">
        <v>42131</v>
      </c>
      <c r="B516" s="39" t="n">
        <v>680.5</v>
      </c>
      <c r="C516" s="40" t="n">
        <v>621304.03</v>
      </c>
      <c r="D516" s="40" t="n">
        <f aca="false">MAX(D515,C516)</f>
        <v>1345220.48</v>
      </c>
      <c r="E516" s="41" t="n">
        <f aca="false">C516/D516-1</f>
        <v>-0.5381396289774</v>
      </c>
      <c r="F516" s="42" t="n">
        <f aca="false">YEAR(A516)</f>
        <v>2015</v>
      </c>
    </row>
    <row r="517" customFormat="false" ht="15" hidden="false" customHeight="false" outlineLevel="0" collapsed="false">
      <c r="A517" s="38" t="n">
        <v>42132</v>
      </c>
      <c r="B517" s="39" t="n">
        <v>689.5</v>
      </c>
      <c r="C517" s="40" t="n">
        <v>656404.03</v>
      </c>
      <c r="D517" s="40" t="n">
        <f aca="false">MAX(D516,C517)</f>
        <v>1345220.48</v>
      </c>
      <c r="E517" s="41" t="n">
        <f aca="false">C517/D517-1</f>
        <v>-0.512047251912192</v>
      </c>
      <c r="F517" s="42" t="n">
        <f aca="false">YEAR(A517)</f>
        <v>2015</v>
      </c>
    </row>
    <row r="518" customFormat="false" ht="15" hidden="false" customHeight="false" outlineLevel="0" collapsed="false">
      <c r="A518" s="38" t="n">
        <v>42135</v>
      </c>
      <c r="B518" s="39" t="n">
        <v>686</v>
      </c>
      <c r="C518" s="40" t="n">
        <v>642754.03</v>
      </c>
      <c r="D518" s="40" t="n">
        <f aca="false">MAX(D517,C518)</f>
        <v>1345220.48</v>
      </c>
      <c r="E518" s="41" t="n">
        <f aca="false">C518/D518-1</f>
        <v>-0.522194287437551</v>
      </c>
      <c r="F518" s="42" t="n">
        <f aca="false">YEAR(A518)</f>
        <v>2015</v>
      </c>
    </row>
    <row r="519" customFormat="false" ht="15" hidden="false" customHeight="false" outlineLevel="0" collapsed="false">
      <c r="A519" s="38" t="n">
        <v>42136</v>
      </c>
      <c r="B519" s="39" t="n">
        <v>677.5</v>
      </c>
      <c r="C519" s="40" t="n">
        <v>609604.03</v>
      </c>
      <c r="D519" s="40" t="n">
        <f aca="false">MAX(D518,C519)</f>
        <v>1345220.48</v>
      </c>
      <c r="E519" s="41" t="n">
        <f aca="false">C519/D519-1</f>
        <v>-0.546837087999136</v>
      </c>
      <c r="F519" s="42" t="n">
        <f aca="false">YEAR(A519)</f>
        <v>2015</v>
      </c>
    </row>
    <row r="520" customFormat="false" ht="15" hidden="false" customHeight="false" outlineLevel="0" collapsed="false">
      <c r="A520" s="38" t="n">
        <v>42137</v>
      </c>
      <c r="B520" s="39" t="n">
        <v>679.5</v>
      </c>
      <c r="C520" s="40" t="n">
        <v>617404.03</v>
      </c>
      <c r="D520" s="40" t="n">
        <f aca="false">MAX(D519,C520)</f>
        <v>1345220.48</v>
      </c>
      <c r="E520" s="41" t="n">
        <f aca="false">C520/D520-1</f>
        <v>-0.541038781984645</v>
      </c>
      <c r="F520" s="42" t="n">
        <f aca="false">YEAR(A520)</f>
        <v>2015</v>
      </c>
    </row>
    <row r="521" customFormat="false" ht="15" hidden="false" customHeight="false" outlineLevel="0" collapsed="false">
      <c r="A521" s="38" t="n">
        <v>42138</v>
      </c>
      <c r="B521" s="39" t="n">
        <v>676</v>
      </c>
      <c r="C521" s="40" t="n">
        <v>603754.03</v>
      </c>
      <c r="D521" s="40" t="n">
        <f aca="false">MAX(D520,C521)</f>
        <v>1345220.48</v>
      </c>
      <c r="E521" s="41" t="n">
        <f aca="false">C521/D521-1</f>
        <v>-0.551185817510004</v>
      </c>
      <c r="F521" s="42" t="n">
        <f aca="false">YEAR(A521)</f>
        <v>2015</v>
      </c>
    </row>
    <row r="522" customFormat="false" ht="15" hidden="false" customHeight="false" outlineLevel="0" collapsed="false">
      <c r="A522" s="38" t="n">
        <v>42139</v>
      </c>
      <c r="B522" s="39" t="n">
        <v>674</v>
      </c>
      <c r="C522" s="40" t="n">
        <v>595954.03</v>
      </c>
      <c r="D522" s="40" t="n">
        <f aca="false">MAX(D521,C522)</f>
        <v>1345220.48</v>
      </c>
      <c r="E522" s="41" t="n">
        <f aca="false">C522/D522-1</f>
        <v>-0.556984123524495</v>
      </c>
      <c r="F522" s="42" t="n">
        <f aca="false">YEAR(A522)</f>
        <v>2015</v>
      </c>
    </row>
    <row r="523" customFormat="false" ht="15" hidden="false" customHeight="false" outlineLevel="0" collapsed="false">
      <c r="A523" s="38" t="n">
        <v>42142</v>
      </c>
      <c r="B523" s="39" t="n">
        <v>671.5</v>
      </c>
      <c r="C523" s="40" t="n">
        <v>586204.03</v>
      </c>
      <c r="D523" s="40" t="n">
        <f aca="false">MAX(D522,C523)</f>
        <v>1345220.48</v>
      </c>
      <c r="E523" s="41" t="n">
        <f aca="false">C523/D523-1</f>
        <v>-0.564232006042608</v>
      </c>
      <c r="F523" s="42" t="n">
        <f aca="false">YEAR(A523)</f>
        <v>2015</v>
      </c>
    </row>
    <row r="524" customFormat="false" ht="15" hidden="false" customHeight="false" outlineLevel="0" collapsed="false">
      <c r="A524" s="38" t="n">
        <v>42143</v>
      </c>
      <c r="B524" s="39" t="n">
        <v>669.5</v>
      </c>
      <c r="C524" s="40" t="n">
        <v>578404.03</v>
      </c>
      <c r="D524" s="40" t="n">
        <f aca="false">MAX(D523,C524)</f>
        <v>1345220.48</v>
      </c>
      <c r="E524" s="41" t="n">
        <f aca="false">C524/D524-1</f>
        <v>-0.570030312057099</v>
      </c>
      <c r="F524" s="42" t="n">
        <f aca="false">YEAR(A524)</f>
        <v>2015</v>
      </c>
    </row>
    <row r="525" customFormat="false" ht="15" hidden="false" customHeight="false" outlineLevel="0" collapsed="false">
      <c r="A525" s="38" t="n">
        <v>42144</v>
      </c>
      <c r="B525" s="39" t="n">
        <v>665</v>
      </c>
      <c r="C525" s="40" t="n">
        <v>560854.03</v>
      </c>
      <c r="D525" s="40" t="n">
        <f aca="false">MAX(D524,C525)</f>
        <v>1345220.48</v>
      </c>
      <c r="E525" s="41" t="n">
        <f aca="false">C525/D525-1</f>
        <v>-0.583076500589703</v>
      </c>
      <c r="F525" s="42" t="n">
        <f aca="false">YEAR(A525)</f>
        <v>2015</v>
      </c>
    </row>
    <row r="526" customFormat="false" ht="15" hidden="false" customHeight="false" outlineLevel="0" collapsed="false">
      <c r="A526" s="38" t="n">
        <v>42145</v>
      </c>
      <c r="B526" s="39" t="n">
        <v>677</v>
      </c>
      <c r="C526" s="40" t="n">
        <v>607654.03</v>
      </c>
      <c r="D526" s="40" t="n">
        <f aca="false">MAX(D525,C526)</f>
        <v>1345220.48</v>
      </c>
      <c r="E526" s="41" t="n">
        <f aca="false">C526/D526-1</f>
        <v>-0.548286664502759</v>
      </c>
      <c r="F526" s="42" t="n">
        <f aca="false">YEAR(A526)</f>
        <v>2015</v>
      </c>
    </row>
    <row r="527" customFormat="false" ht="15" hidden="false" customHeight="false" outlineLevel="0" collapsed="false">
      <c r="A527" s="38" t="n">
        <v>42146</v>
      </c>
      <c r="B527" s="39" t="n">
        <v>681.5</v>
      </c>
      <c r="C527" s="40" t="n">
        <v>625204.03</v>
      </c>
      <c r="D527" s="40" t="n">
        <f aca="false">MAX(D526,C527)</f>
        <v>1345220.48</v>
      </c>
      <c r="E527" s="41" t="n">
        <f aca="false">C527/D527-1</f>
        <v>-0.535240475970155</v>
      </c>
      <c r="F527" s="42" t="n">
        <f aca="false">YEAR(A527)</f>
        <v>2015</v>
      </c>
    </row>
    <row r="528" customFormat="false" ht="15" hidden="false" customHeight="false" outlineLevel="0" collapsed="false">
      <c r="A528" s="38" t="n">
        <v>42149</v>
      </c>
      <c r="B528" s="39" t="n">
        <v>680.5</v>
      </c>
      <c r="C528" s="40" t="n">
        <v>621304.03</v>
      </c>
      <c r="D528" s="40" t="n">
        <f aca="false">MAX(D527,C528)</f>
        <v>1345220.48</v>
      </c>
      <c r="E528" s="41" t="n">
        <f aca="false">C528/D528-1</f>
        <v>-0.5381396289774</v>
      </c>
      <c r="F528" s="42" t="n">
        <f aca="false">YEAR(A528)</f>
        <v>2015</v>
      </c>
    </row>
    <row r="529" customFormat="false" ht="15" hidden="false" customHeight="false" outlineLevel="0" collapsed="false">
      <c r="A529" s="38" t="n">
        <v>42150</v>
      </c>
      <c r="B529" s="39" t="n">
        <v>678</v>
      </c>
      <c r="C529" s="40" t="n">
        <v>611554.03</v>
      </c>
      <c r="D529" s="40" t="n">
        <f aca="false">MAX(D528,C529)</f>
        <v>1345220.48</v>
      </c>
      <c r="E529" s="41" t="n">
        <f aca="false">C529/D529-1</f>
        <v>-0.545387511495513</v>
      </c>
      <c r="F529" s="42" t="n">
        <f aca="false">YEAR(A529)</f>
        <v>2015</v>
      </c>
    </row>
    <row r="530" customFormat="false" ht="15" hidden="false" customHeight="false" outlineLevel="0" collapsed="false">
      <c r="A530" s="38" t="n">
        <v>42151</v>
      </c>
      <c r="B530" s="39" t="n">
        <v>682</v>
      </c>
      <c r="C530" s="40" t="n">
        <v>627154.03</v>
      </c>
      <c r="D530" s="40" t="n">
        <f aca="false">MAX(D529,C530)</f>
        <v>1345220.48</v>
      </c>
      <c r="E530" s="41" t="n">
        <f aca="false">C530/D530-1</f>
        <v>-0.533790899466532</v>
      </c>
      <c r="F530" s="42" t="n">
        <f aca="false">YEAR(A530)</f>
        <v>2015</v>
      </c>
    </row>
    <row r="531" customFormat="false" ht="15" hidden="false" customHeight="false" outlineLevel="0" collapsed="false">
      <c r="A531" s="38" t="n">
        <v>42152</v>
      </c>
      <c r="B531" s="39" t="n">
        <v>682.5</v>
      </c>
      <c r="C531" s="40" t="n">
        <v>629104.03</v>
      </c>
      <c r="D531" s="40" t="n">
        <f aca="false">MAX(D530,C531)</f>
        <v>1345220.48</v>
      </c>
      <c r="E531" s="41" t="n">
        <f aca="false">C531/D531-1</f>
        <v>-0.532341322962909</v>
      </c>
      <c r="F531" s="42" t="n">
        <f aca="false">YEAR(A531)</f>
        <v>2015</v>
      </c>
    </row>
    <row r="532" customFormat="false" ht="15" hidden="false" customHeight="false" outlineLevel="0" collapsed="false">
      <c r="A532" s="38" t="n">
        <v>42153</v>
      </c>
      <c r="B532" s="39" t="n">
        <v>688.5</v>
      </c>
      <c r="C532" s="40" t="n">
        <v>652504.03</v>
      </c>
      <c r="D532" s="40" t="n">
        <f aca="false">MAX(D531,C532)</f>
        <v>1345220.48</v>
      </c>
      <c r="E532" s="41" t="n">
        <f aca="false">C532/D532-1</f>
        <v>-0.514946404919437</v>
      </c>
      <c r="F532" s="42" t="n">
        <f aca="false">YEAR(A532)</f>
        <v>2015</v>
      </c>
    </row>
    <row r="533" customFormat="false" ht="15" hidden="false" customHeight="false" outlineLevel="0" collapsed="false">
      <c r="A533" s="38" t="n">
        <v>42156</v>
      </c>
      <c r="B533" s="39" t="n">
        <v>694</v>
      </c>
      <c r="C533" s="40" t="n">
        <v>673954.03</v>
      </c>
      <c r="D533" s="40" t="n">
        <f aca="false">MAX(D532,C533)</f>
        <v>1345220.48</v>
      </c>
      <c r="E533" s="41" t="n">
        <f aca="false">C533/D533-1</f>
        <v>-0.499001063379588</v>
      </c>
      <c r="F533" s="42" t="n">
        <f aca="false">YEAR(A533)</f>
        <v>2015</v>
      </c>
    </row>
    <row r="534" customFormat="false" ht="15" hidden="false" customHeight="false" outlineLevel="0" collapsed="false">
      <c r="A534" s="38" t="n">
        <v>42157</v>
      </c>
      <c r="B534" s="39" t="n">
        <v>695</v>
      </c>
      <c r="C534" s="40" t="n">
        <v>677854.03</v>
      </c>
      <c r="D534" s="40" t="n">
        <f aca="false">MAX(D533,C534)</f>
        <v>1345220.48</v>
      </c>
      <c r="E534" s="41" t="n">
        <f aca="false">C534/D534-1</f>
        <v>-0.496101910372343</v>
      </c>
      <c r="F534" s="42" t="n">
        <f aca="false">YEAR(A534)</f>
        <v>2015</v>
      </c>
    </row>
    <row r="535" customFormat="false" ht="15" hidden="false" customHeight="false" outlineLevel="0" collapsed="false">
      <c r="A535" s="38" t="n">
        <v>42158</v>
      </c>
      <c r="B535" s="39" t="n">
        <v>688.5</v>
      </c>
      <c r="C535" s="40" t="n">
        <v>652504.03</v>
      </c>
      <c r="D535" s="40" t="n">
        <f aca="false">MAX(D534,C535)</f>
        <v>1345220.48</v>
      </c>
      <c r="E535" s="41" t="n">
        <f aca="false">C535/D535-1</f>
        <v>-0.514946404919437</v>
      </c>
      <c r="F535" s="42" t="n">
        <f aca="false">YEAR(A535)</f>
        <v>2015</v>
      </c>
    </row>
    <row r="536" customFormat="false" ht="15" hidden="false" customHeight="false" outlineLevel="0" collapsed="false">
      <c r="A536" s="38" t="n">
        <v>42159</v>
      </c>
      <c r="B536" s="39" t="n">
        <v>692.5</v>
      </c>
      <c r="C536" s="40" t="n">
        <v>668104.03</v>
      </c>
      <c r="D536" s="40" t="n">
        <f aca="false">MAX(D535,C536)</f>
        <v>1345220.48</v>
      </c>
      <c r="E536" s="41" t="n">
        <f aca="false">C536/D536-1</f>
        <v>-0.503349792890456</v>
      </c>
      <c r="F536" s="42" t="n">
        <f aca="false">YEAR(A536)</f>
        <v>2015</v>
      </c>
    </row>
    <row r="537" customFormat="false" ht="15" hidden="false" customHeight="false" outlineLevel="0" collapsed="false">
      <c r="A537" s="38" t="n">
        <v>42160</v>
      </c>
      <c r="B537" s="39" t="n">
        <v>683</v>
      </c>
      <c r="C537" s="40" t="n">
        <v>631054.03</v>
      </c>
      <c r="D537" s="40" t="n">
        <f aca="false">MAX(D536,C537)</f>
        <v>1345220.48</v>
      </c>
      <c r="E537" s="41" t="n">
        <f aca="false">C537/D537-1</f>
        <v>-0.530891746459287</v>
      </c>
      <c r="F537" s="42" t="n">
        <f aca="false">YEAR(A537)</f>
        <v>2015</v>
      </c>
    </row>
    <row r="538" customFormat="false" ht="15" hidden="false" customHeight="false" outlineLevel="0" collapsed="false">
      <c r="A538" s="38" t="n">
        <v>42163</v>
      </c>
      <c r="B538" s="39" t="n">
        <v>685</v>
      </c>
      <c r="C538" s="40" t="n">
        <v>638854.03</v>
      </c>
      <c r="D538" s="40" t="n">
        <f aca="false">MAX(D537,C538)</f>
        <v>1345220.48</v>
      </c>
      <c r="E538" s="41" t="n">
        <f aca="false">C538/D538-1</f>
        <v>-0.525093440444796</v>
      </c>
      <c r="F538" s="42" t="n">
        <f aca="false">YEAR(A538)</f>
        <v>2015</v>
      </c>
    </row>
    <row r="539" customFormat="false" ht="15" hidden="false" customHeight="false" outlineLevel="0" collapsed="false">
      <c r="A539" s="38" t="n">
        <v>42164</v>
      </c>
      <c r="B539" s="39" t="n">
        <v>683.5</v>
      </c>
      <c r="C539" s="40" t="n">
        <v>633004.03</v>
      </c>
      <c r="D539" s="40" t="n">
        <f aca="false">MAX(D538,C539)</f>
        <v>1345220.48</v>
      </c>
      <c r="E539" s="41" t="n">
        <f aca="false">C539/D539-1</f>
        <v>-0.529442169955664</v>
      </c>
      <c r="F539" s="42" t="n">
        <f aca="false">YEAR(A539)</f>
        <v>2015</v>
      </c>
    </row>
    <row r="540" customFormat="false" ht="15" hidden="false" customHeight="false" outlineLevel="0" collapsed="false">
      <c r="A540" s="38" t="n">
        <v>42165</v>
      </c>
      <c r="B540" s="39" t="n">
        <v>697</v>
      </c>
      <c r="C540" s="40" t="n">
        <v>685654.03</v>
      </c>
      <c r="D540" s="40" t="n">
        <f aca="false">MAX(D539,C540)</f>
        <v>1345220.48</v>
      </c>
      <c r="E540" s="41" t="n">
        <f aca="false">C540/D540-1</f>
        <v>-0.490303604357852</v>
      </c>
      <c r="F540" s="42" t="n">
        <f aca="false">YEAR(A540)</f>
        <v>2015</v>
      </c>
    </row>
    <row r="541" customFormat="false" ht="15" hidden="false" customHeight="false" outlineLevel="0" collapsed="false">
      <c r="A541" s="38" t="n">
        <v>42166</v>
      </c>
      <c r="B541" s="39" t="n">
        <v>692.5</v>
      </c>
      <c r="C541" s="40" t="n">
        <v>668104.03</v>
      </c>
      <c r="D541" s="40" t="n">
        <f aca="false">MAX(D540,C541)</f>
        <v>1345220.48</v>
      </c>
      <c r="E541" s="41" t="n">
        <f aca="false">C541/D541-1</f>
        <v>-0.503349792890456</v>
      </c>
      <c r="F541" s="42" t="n">
        <f aca="false">YEAR(A541)</f>
        <v>2015</v>
      </c>
    </row>
    <row r="542" customFormat="false" ht="15" hidden="false" customHeight="false" outlineLevel="0" collapsed="false">
      <c r="A542" s="38" t="n">
        <v>42167</v>
      </c>
      <c r="B542" s="39" t="n">
        <v>689.5</v>
      </c>
      <c r="C542" s="40" t="n">
        <v>656404.03</v>
      </c>
      <c r="D542" s="40" t="n">
        <f aca="false">MAX(D541,C542)</f>
        <v>1345220.48</v>
      </c>
      <c r="E542" s="41" t="n">
        <f aca="false">C542/D542-1</f>
        <v>-0.512047251912192</v>
      </c>
      <c r="F542" s="42" t="n">
        <f aca="false">YEAR(A542)</f>
        <v>2015</v>
      </c>
    </row>
    <row r="543" customFormat="false" ht="15" hidden="false" customHeight="false" outlineLevel="0" collapsed="false">
      <c r="A543" s="38" t="n">
        <v>42170</v>
      </c>
      <c r="B543" s="39" t="n">
        <v>690</v>
      </c>
      <c r="C543" s="40" t="n">
        <v>658354.03</v>
      </c>
      <c r="D543" s="40" t="n">
        <f aca="false">MAX(D542,C543)</f>
        <v>1345220.48</v>
      </c>
      <c r="E543" s="41" t="n">
        <f aca="false">C543/D543-1</f>
        <v>-0.51059767540857</v>
      </c>
      <c r="F543" s="42" t="n">
        <f aca="false">YEAR(A543)</f>
        <v>2015</v>
      </c>
    </row>
    <row r="544" customFormat="false" ht="15" hidden="false" customHeight="false" outlineLevel="0" collapsed="false">
      <c r="A544" s="38" t="n">
        <v>42171</v>
      </c>
      <c r="B544" s="39" t="n">
        <v>689.5</v>
      </c>
      <c r="C544" s="40" t="n">
        <v>656404.03</v>
      </c>
      <c r="D544" s="40" t="n">
        <f aca="false">MAX(D543,C544)</f>
        <v>1345220.48</v>
      </c>
      <c r="E544" s="41" t="n">
        <f aca="false">C544/D544-1</f>
        <v>-0.512047251912192</v>
      </c>
      <c r="F544" s="42" t="n">
        <f aca="false">YEAR(A544)</f>
        <v>2015</v>
      </c>
    </row>
    <row r="545" customFormat="false" ht="15" hidden="false" customHeight="false" outlineLevel="0" collapsed="false">
      <c r="A545" s="38" t="n">
        <v>42172</v>
      </c>
      <c r="B545" s="39" t="n">
        <v>675.5</v>
      </c>
      <c r="C545" s="40" t="n">
        <v>601804.03</v>
      </c>
      <c r="D545" s="40" t="n">
        <f aca="false">MAX(D544,C545)</f>
        <v>1345220.48</v>
      </c>
      <c r="E545" s="41" t="n">
        <f aca="false">C545/D545-1</f>
        <v>-0.552635394013627</v>
      </c>
      <c r="F545" s="42" t="n">
        <f aca="false">YEAR(A545)</f>
        <v>2015</v>
      </c>
    </row>
    <row r="546" customFormat="false" ht="15" hidden="false" customHeight="false" outlineLevel="0" collapsed="false">
      <c r="A546" s="38" t="n">
        <v>42173</v>
      </c>
      <c r="B546" s="39" t="n">
        <v>672.5</v>
      </c>
      <c r="C546" s="40" t="n">
        <v>590104.03</v>
      </c>
      <c r="D546" s="40" t="n">
        <f aca="false">MAX(D545,C546)</f>
        <v>1345220.48</v>
      </c>
      <c r="E546" s="41" t="n">
        <f aca="false">C546/D546-1</f>
        <v>-0.561332853035363</v>
      </c>
      <c r="F546" s="42" t="n">
        <f aca="false">YEAR(A546)</f>
        <v>2015</v>
      </c>
    </row>
    <row r="547" customFormat="false" ht="15" hidden="false" customHeight="false" outlineLevel="0" collapsed="false">
      <c r="A547" s="38" t="n">
        <v>42174</v>
      </c>
      <c r="B547" s="39" t="n">
        <v>680</v>
      </c>
      <c r="C547" s="40" t="n">
        <v>619354.03</v>
      </c>
      <c r="D547" s="40" t="n">
        <f aca="false">MAX(D546,C547)</f>
        <v>1345220.48</v>
      </c>
      <c r="E547" s="41" t="n">
        <f aca="false">C547/D547-1</f>
        <v>-0.539589205481023</v>
      </c>
      <c r="F547" s="42" t="n">
        <f aca="false">YEAR(A547)</f>
        <v>2015</v>
      </c>
    </row>
    <row r="548" customFormat="false" ht="15" hidden="false" customHeight="false" outlineLevel="0" collapsed="false">
      <c r="A548" s="38" t="n">
        <v>42178</v>
      </c>
      <c r="B548" s="39" t="n">
        <v>677.5</v>
      </c>
      <c r="C548" s="40" t="n">
        <v>609604.03</v>
      </c>
      <c r="D548" s="40" t="n">
        <f aca="false">MAX(D547,C548)</f>
        <v>1345220.48</v>
      </c>
      <c r="E548" s="41" t="n">
        <f aca="false">C548/D548-1</f>
        <v>-0.546837087999136</v>
      </c>
      <c r="F548" s="42" t="n">
        <f aca="false">YEAR(A548)</f>
        <v>2015</v>
      </c>
    </row>
    <row r="549" customFormat="false" ht="15" hidden="false" customHeight="false" outlineLevel="0" collapsed="false">
      <c r="A549" s="38" t="n">
        <v>42179</v>
      </c>
      <c r="B549" s="39" t="n">
        <v>682</v>
      </c>
      <c r="C549" s="40" t="n">
        <v>627154.03</v>
      </c>
      <c r="D549" s="40" t="n">
        <f aca="false">MAX(D548,C549)</f>
        <v>1345220.48</v>
      </c>
      <c r="E549" s="41" t="n">
        <f aca="false">C549/D549-1</f>
        <v>-0.533790899466532</v>
      </c>
      <c r="F549" s="42" t="n">
        <f aca="false">YEAR(A549)</f>
        <v>2015</v>
      </c>
    </row>
    <row r="550" customFormat="false" ht="15" hidden="false" customHeight="false" outlineLevel="0" collapsed="false">
      <c r="A550" s="38" t="n">
        <v>42180</v>
      </c>
      <c r="B550" s="39" t="n">
        <v>675</v>
      </c>
      <c r="C550" s="40" t="n">
        <v>599854.03</v>
      </c>
      <c r="D550" s="40" t="n">
        <f aca="false">MAX(D549,C550)</f>
        <v>1345220.48</v>
      </c>
      <c r="E550" s="41" t="n">
        <f aca="false">C550/D550-1</f>
        <v>-0.554084970517249</v>
      </c>
      <c r="F550" s="42" t="n">
        <f aca="false">YEAR(A550)</f>
        <v>2015</v>
      </c>
    </row>
    <row r="551" customFormat="false" ht="15" hidden="false" customHeight="false" outlineLevel="0" collapsed="false">
      <c r="A551" s="38" t="n">
        <v>42181</v>
      </c>
      <c r="B551" s="39" t="n">
        <v>674.5</v>
      </c>
      <c r="C551" s="40" t="n">
        <v>597904.03</v>
      </c>
      <c r="D551" s="40" t="n">
        <f aca="false">MAX(D550,C551)</f>
        <v>1345220.48</v>
      </c>
      <c r="E551" s="41" t="n">
        <f aca="false">C551/D551-1</f>
        <v>-0.555534547020872</v>
      </c>
      <c r="F551" s="42" t="n">
        <f aca="false">YEAR(A551)</f>
        <v>2015</v>
      </c>
    </row>
    <row r="552" customFormat="false" ht="15" hidden="false" customHeight="false" outlineLevel="0" collapsed="false">
      <c r="A552" s="38" t="n">
        <v>42184</v>
      </c>
      <c r="B552" s="39" t="n">
        <v>674.5</v>
      </c>
      <c r="C552" s="40" t="n">
        <v>597904.03</v>
      </c>
      <c r="D552" s="40" t="n">
        <f aca="false">MAX(D551,C552)</f>
        <v>1345220.48</v>
      </c>
      <c r="E552" s="41" t="n">
        <f aca="false">C552/D552-1</f>
        <v>-0.555534547020872</v>
      </c>
      <c r="F552" s="42" t="n">
        <f aca="false">YEAR(A552)</f>
        <v>2015</v>
      </c>
    </row>
    <row r="553" customFormat="false" ht="15" hidden="false" customHeight="false" outlineLevel="0" collapsed="false">
      <c r="A553" s="38" t="n">
        <v>42185</v>
      </c>
      <c r="B553" s="39" t="n">
        <v>678</v>
      </c>
      <c r="C553" s="40" t="n">
        <v>611554.03</v>
      </c>
      <c r="D553" s="40" t="n">
        <f aca="false">MAX(D552,C553)</f>
        <v>1345220.48</v>
      </c>
      <c r="E553" s="41" t="n">
        <f aca="false">C553/D553-1</f>
        <v>-0.545387511495513</v>
      </c>
      <c r="F553" s="42" t="n">
        <f aca="false">YEAR(A553)</f>
        <v>2015</v>
      </c>
    </row>
    <row r="554" customFormat="false" ht="15" hidden="false" customHeight="false" outlineLevel="0" collapsed="false">
      <c r="A554" s="38" t="n">
        <v>42186</v>
      </c>
      <c r="B554" s="39" t="n">
        <v>683</v>
      </c>
      <c r="C554" s="40" t="n">
        <v>631054.03</v>
      </c>
      <c r="D554" s="40" t="n">
        <f aca="false">MAX(D553,C554)</f>
        <v>1345220.48</v>
      </c>
      <c r="E554" s="41" t="n">
        <f aca="false">C554/D554-1</f>
        <v>-0.530891746459287</v>
      </c>
      <c r="F554" s="42" t="n">
        <f aca="false">YEAR(A554)</f>
        <v>2015</v>
      </c>
    </row>
    <row r="555" customFormat="false" ht="15" hidden="false" customHeight="false" outlineLevel="0" collapsed="false">
      <c r="A555" s="38" t="n">
        <v>42187</v>
      </c>
      <c r="B555" s="39" t="n">
        <v>686</v>
      </c>
      <c r="C555" s="40" t="n">
        <v>642754.03</v>
      </c>
      <c r="D555" s="40" t="n">
        <f aca="false">MAX(D554,C555)</f>
        <v>1345220.48</v>
      </c>
      <c r="E555" s="41" t="n">
        <f aca="false">C555/D555-1</f>
        <v>-0.522194287437551</v>
      </c>
      <c r="F555" s="42" t="n">
        <f aca="false">YEAR(A555)</f>
        <v>2015</v>
      </c>
    </row>
    <row r="556" customFormat="false" ht="15" hidden="false" customHeight="false" outlineLevel="0" collapsed="false">
      <c r="A556" s="38" t="n">
        <v>42188</v>
      </c>
      <c r="B556" s="39" t="n">
        <v>674.5</v>
      </c>
      <c r="C556" s="40" t="n">
        <v>597904.03</v>
      </c>
      <c r="D556" s="40" t="n">
        <f aca="false">MAX(D555,C556)</f>
        <v>1345220.48</v>
      </c>
      <c r="E556" s="41" t="n">
        <f aca="false">C556/D556-1</f>
        <v>-0.555534547020872</v>
      </c>
      <c r="F556" s="42" t="n">
        <f aca="false">YEAR(A556)</f>
        <v>2015</v>
      </c>
    </row>
    <row r="557" customFormat="false" ht="15" hidden="false" customHeight="false" outlineLevel="0" collapsed="false">
      <c r="A557" s="38" t="n">
        <v>42191</v>
      </c>
      <c r="B557" s="39" t="n">
        <v>653.5</v>
      </c>
      <c r="C557" s="40" t="n">
        <v>516004.03</v>
      </c>
      <c r="D557" s="40" t="n">
        <f aca="false">MAX(D556,C557)</f>
        <v>1345220.48</v>
      </c>
      <c r="E557" s="41" t="n">
        <f aca="false">C557/D557-1</f>
        <v>-0.616416760173024</v>
      </c>
      <c r="F557" s="42" t="n">
        <f aca="false">YEAR(A557)</f>
        <v>2015</v>
      </c>
    </row>
    <row r="558" customFormat="false" ht="15" hidden="false" customHeight="false" outlineLevel="0" collapsed="false">
      <c r="A558" s="38" t="n">
        <v>42192</v>
      </c>
      <c r="B558" s="39" t="n">
        <v>640</v>
      </c>
      <c r="C558" s="40" t="n">
        <v>509899.1</v>
      </c>
      <c r="D558" s="40" t="n">
        <f aca="false">MAX(D557,C558)</f>
        <v>1345220.48</v>
      </c>
      <c r="E558" s="41" t="n">
        <f aca="false">C558/D558-1</f>
        <v>-0.620954997652132</v>
      </c>
      <c r="F558" s="42" t="n">
        <f aca="false">YEAR(A558)</f>
        <v>2015</v>
      </c>
    </row>
    <row r="559" customFormat="false" ht="15" hidden="false" customHeight="false" outlineLevel="0" collapsed="false">
      <c r="A559" s="38" t="n">
        <v>42193</v>
      </c>
      <c r="B559" s="39" t="n">
        <v>622.5</v>
      </c>
      <c r="C559" s="40" t="n">
        <v>509899.1</v>
      </c>
      <c r="D559" s="40" t="n">
        <f aca="false">MAX(D558,C559)</f>
        <v>1345220.48</v>
      </c>
      <c r="E559" s="41" t="n">
        <f aca="false">C559/D559-1</f>
        <v>-0.620954997652132</v>
      </c>
      <c r="F559" s="42" t="n">
        <f aca="false">YEAR(A559)</f>
        <v>2015</v>
      </c>
    </row>
    <row r="560" customFormat="false" ht="15" hidden="false" customHeight="false" outlineLevel="0" collapsed="false">
      <c r="A560" s="38" t="n">
        <v>42194</v>
      </c>
      <c r="B560" s="39" t="n">
        <v>643.5</v>
      </c>
      <c r="C560" s="40" t="n">
        <v>509899.1</v>
      </c>
      <c r="D560" s="40" t="n">
        <f aca="false">MAX(D559,C560)</f>
        <v>1345220.48</v>
      </c>
      <c r="E560" s="41" t="n">
        <f aca="false">C560/D560-1</f>
        <v>-0.620954997652132</v>
      </c>
      <c r="F560" s="42" t="n">
        <f aca="false">YEAR(A560)</f>
        <v>2015</v>
      </c>
    </row>
    <row r="561" customFormat="false" ht="15" hidden="false" customHeight="false" outlineLevel="0" collapsed="false">
      <c r="A561" s="38" t="n">
        <v>42195</v>
      </c>
      <c r="B561" s="39" t="n">
        <v>631.5</v>
      </c>
      <c r="C561" s="40" t="n">
        <v>509899.1</v>
      </c>
      <c r="D561" s="40" t="n">
        <f aca="false">MAX(D560,C561)</f>
        <v>1345220.48</v>
      </c>
      <c r="E561" s="41" t="n">
        <f aca="false">C561/D561-1</f>
        <v>-0.620954997652132</v>
      </c>
      <c r="F561" s="42" t="n">
        <f aca="false">YEAR(A561)</f>
        <v>2015</v>
      </c>
    </row>
    <row r="562" customFormat="false" ht="15" hidden="false" customHeight="false" outlineLevel="0" collapsed="false">
      <c r="A562" s="38" t="n">
        <v>42198</v>
      </c>
      <c r="B562" s="39" t="n">
        <v>629</v>
      </c>
      <c r="C562" s="40" t="n">
        <v>509899.1</v>
      </c>
      <c r="D562" s="40" t="n">
        <f aca="false">MAX(D561,C562)</f>
        <v>1345220.48</v>
      </c>
      <c r="E562" s="41" t="n">
        <f aca="false">C562/D562-1</f>
        <v>-0.620954997652132</v>
      </c>
      <c r="F562" s="42" t="n">
        <f aca="false">YEAR(A562)</f>
        <v>2015</v>
      </c>
    </row>
    <row r="563" customFormat="false" ht="15" hidden="false" customHeight="false" outlineLevel="0" collapsed="false">
      <c r="A563" s="38" t="n">
        <v>42199</v>
      </c>
      <c r="B563" s="39" t="n">
        <v>616</v>
      </c>
      <c r="C563" s="40" t="n">
        <v>509899.1</v>
      </c>
      <c r="D563" s="40" t="n">
        <f aca="false">MAX(D562,C563)</f>
        <v>1345220.48</v>
      </c>
      <c r="E563" s="41" t="n">
        <f aca="false">C563/D563-1</f>
        <v>-0.620954997652132</v>
      </c>
      <c r="F563" s="42" t="n">
        <f aca="false">YEAR(A563)</f>
        <v>2015</v>
      </c>
    </row>
    <row r="564" customFormat="false" ht="15" hidden="false" customHeight="false" outlineLevel="0" collapsed="false">
      <c r="A564" s="38" t="n">
        <v>42200</v>
      </c>
      <c r="B564" s="39" t="n">
        <v>626</v>
      </c>
      <c r="C564" s="40" t="n">
        <v>509899.1</v>
      </c>
      <c r="D564" s="40" t="n">
        <f aca="false">MAX(D563,C564)</f>
        <v>1345220.48</v>
      </c>
      <c r="E564" s="41" t="n">
        <f aca="false">C564/D564-1</f>
        <v>-0.620954997652132</v>
      </c>
      <c r="F564" s="42" t="n">
        <f aca="false">YEAR(A564)</f>
        <v>2015</v>
      </c>
    </row>
    <row r="565" customFormat="false" ht="15" hidden="false" customHeight="false" outlineLevel="0" collapsed="false">
      <c r="A565" s="38" t="n">
        <v>42201</v>
      </c>
      <c r="B565" s="39" t="n">
        <v>623</v>
      </c>
      <c r="C565" s="40" t="n">
        <v>509899.1</v>
      </c>
      <c r="D565" s="40" t="n">
        <f aca="false">MAX(D564,C565)</f>
        <v>1345220.48</v>
      </c>
      <c r="E565" s="41" t="n">
        <f aca="false">C565/D565-1</f>
        <v>-0.620954997652132</v>
      </c>
      <c r="F565" s="42" t="n">
        <f aca="false">YEAR(A565)</f>
        <v>2015</v>
      </c>
    </row>
    <row r="566" customFormat="false" ht="15" hidden="false" customHeight="false" outlineLevel="0" collapsed="false">
      <c r="A566" s="38" t="n">
        <v>42202</v>
      </c>
      <c r="B566" s="39" t="n">
        <v>623</v>
      </c>
      <c r="C566" s="40" t="n">
        <v>509899.1</v>
      </c>
      <c r="D566" s="40" t="n">
        <f aca="false">MAX(D565,C566)</f>
        <v>1345220.48</v>
      </c>
      <c r="E566" s="41" t="n">
        <f aca="false">C566/D566-1</f>
        <v>-0.620954997652132</v>
      </c>
      <c r="F566" s="42" t="n">
        <f aca="false">YEAR(A566)</f>
        <v>2015</v>
      </c>
    </row>
    <row r="567" customFormat="false" ht="15" hidden="false" customHeight="false" outlineLevel="0" collapsed="false">
      <c r="A567" s="38" t="n">
        <v>42205</v>
      </c>
      <c r="B567" s="39" t="n">
        <v>630.5</v>
      </c>
      <c r="C567" s="40" t="n">
        <v>509899.1</v>
      </c>
      <c r="D567" s="40" t="n">
        <f aca="false">MAX(D566,C567)</f>
        <v>1345220.48</v>
      </c>
      <c r="E567" s="41" t="n">
        <f aca="false">C567/D567-1</f>
        <v>-0.620954997652132</v>
      </c>
      <c r="F567" s="42" t="n">
        <f aca="false">YEAR(A567)</f>
        <v>2015</v>
      </c>
    </row>
    <row r="568" customFormat="false" ht="15" hidden="false" customHeight="false" outlineLevel="0" collapsed="false">
      <c r="A568" s="38" t="n">
        <v>42206</v>
      </c>
      <c r="B568" s="39" t="n">
        <v>621.5</v>
      </c>
      <c r="C568" s="40" t="n">
        <v>509899.1</v>
      </c>
      <c r="D568" s="40" t="n">
        <f aca="false">MAX(D567,C568)</f>
        <v>1345220.48</v>
      </c>
      <c r="E568" s="41" t="n">
        <f aca="false">C568/D568-1</f>
        <v>-0.620954997652132</v>
      </c>
      <c r="F568" s="42" t="n">
        <f aca="false">YEAR(A568)</f>
        <v>2015</v>
      </c>
    </row>
    <row r="569" customFormat="false" ht="15" hidden="false" customHeight="false" outlineLevel="0" collapsed="false">
      <c r="A569" s="38" t="n">
        <v>42207</v>
      </c>
      <c r="B569" s="39" t="n">
        <v>613</v>
      </c>
      <c r="C569" s="40" t="n">
        <v>509899.1</v>
      </c>
      <c r="D569" s="40" t="n">
        <f aca="false">MAX(D568,C569)</f>
        <v>1345220.48</v>
      </c>
      <c r="E569" s="41" t="n">
        <f aca="false">C569/D569-1</f>
        <v>-0.620954997652132</v>
      </c>
      <c r="F569" s="42" t="n">
        <f aca="false">YEAR(A569)</f>
        <v>2015</v>
      </c>
    </row>
    <row r="570" customFormat="false" ht="15" hidden="false" customHeight="false" outlineLevel="0" collapsed="false">
      <c r="A570" s="38" t="n">
        <v>42208</v>
      </c>
      <c r="B570" s="39" t="n">
        <v>615.5</v>
      </c>
      <c r="C570" s="40" t="n">
        <v>509899.1</v>
      </c>
      <c r="D570" s="40" t="n">
        <f aca="false">MAX(D569,C570)</f>
        <v>1345220.48</v>
      </c>
      <c r="E570" s="41" t="n">
        <f aca="false">C570/D570-1</f>
        <v>-0.620954997652132</v>
      </c>
      <c r="F570" s="42" t="n">
        <f aca="false">YEAR(A570)</f>
        <v>2015</v>
      </c>
    </row>
    <row r="571" customFormat="false" ht="15" hidden="false" customHeight="false" outlineLevel="0" collapsed="false">
      <c r="A571" s="38" t="n">
        <v>42209</v>
      </c>
      <c r="B571" s="39" t="n">
        <v>613</v>
      </c>
      <c r="C571" s="40" t="n">
        <v>509899.1</v>
      </c>
      <c r="D571" s="40" t="n">
        <f aca="false">MAX(D570,C571)</f>
        <v>1345220.48</v>
      </c>
      <c r="E571" s="41" t="n">
        <f aca="false">C571/D571-1</f>
        <v>-0.620954997652132</v>
      </c>
      <c r="F571" s="42" t="n">
        <f aca="false">YEAR(A571)</f>
        <v>2015</v>
      </c>
    </row>
    <row r="572" customFormat="false" ht="15" hidden="false" customHeight="false" outlineLevel="0" collapsed="false">
      <c r="A572" s="38" t="n">
        <v>42212</v>
      </c>
      <c r="B572" s="39" t="n">
        <v>613</v>
      </c>
      <c r="C572" s="40" t="n">
        <v>509899.1</v>
      </c>
      <c r="D572" s="40" t="n">
        <f aca="false">MAX(D571,C572)</f>
        <v>1345220.48</v>
      </c>
      <c r="E572" s="41" t="n">
        <f aca="false">C572/D572-1</f>
        <v>-0.620954997652132</v>
      </c>
      <c r="F572" s="42" t="n">
        <f aca="false">YEAR(A572)</f>
        <v>2015</v>
      </c>
    </row>
    <row r="573" customFormat="false" ht="15" hidden="false" customHeight="false" outlineLevel="0" collapsed="false">
      <c r="A573" s="38" t="n">
        <v>42213</v>
      </c>
      <c r="B573" s="39" t="n">
        <v>611</v>
      </c>
      <c r="C573" s="40" t="n">
        <v>509899.1</v>
      </c>
      <c r="D573" s="40" t="n">
        <f aca="false">MAX(D572,C573)</f>
        <v>1345220.48</v>
      </c>
      <c r="E573" s="41" t="n">
        <f aca="false">C573/D573-1</f>
        <v>-0.620954997652132</v>
      </c>
      <c r="F573" s="42" t="n">
        <f aca="false">YEAR(A573)</f>
        <v>2015</v>
      </c>
    </row>
    <row r="574" customFormat="false" ht="15" hidden="false" customHeight="false" outlineLevel="0" collapsed="false">
      <c r="A574" s="38" t="n">
        <v>42214</v>
      </c>
      <c r="B574" s="39" t="n">
        <v>622.5</v>
      </c>
      <c r="C574" s="40" t="n">
        <v>509899.1</v>
      </c>
      <c r="D574" s="40" t="n">
        <f aca="false">MAX(D573,C574)</f>
        <v>1345220.48</v>
      </c>
      <c r="E574" s="41" t="n">
        <f aca="false">C574/D574-1</f>
        <v>-0.620954997652132</v>
      </c>
      <c r="F574" s="42" t="n">
        <f aca="false">YEAR(A574)</f>
        <v>2015</v>
      </c>
    </row>
    <row r="575" customFormat="false" ht="15" hidden="false" customHeight="false" outlineLevel="0" collapsed="false">
      <c r="A575" s="38" t="n">
        <v>42215</v>
      </c>
      <c r="B575" s="39" t="n">
        <v>610.5</v>
      </c>
      <c r="C575" s="40" t="n">
        <v>509899.1</v>
      </c>
      <c r="D575" s="40" t="n">
        <f aca="false">MAX(D574,C575)</f>
        <v>1345220.48</v>
      </c>
      <c r="E575" s="41" t="n">
        <f aca="false">C575/D575-1</f>
        <v>-0.620954997652132</v>
      </c>
      <c r="F575" s="42" t="n">
        <f aca="false">YEAR(A575)</f>
        <v>2015</v>
      </c>
    </row>
    <row r="576" customFormat="false" ht="15" hidden="false" customHeight="false" outlineLevel="0" collapsed="false">
      <c r="A576" s="38" t="n">
        <v>42216</v>
      </c>
      <c r="B576" s="39" t="n">
        <v>614.5</v>
      </c>
      <c r="C576" s="40" t="n">
        <v>509899.1</v>
      </c>
      <c r="D576" s="40" t="n">
        <f aca="false">MAX(D575,C576)</f>
        <v>1345220.48</v>
      </c>
      <c r="E576" s="41" t="n">
        <f aca="false">C576/D576-1</f>
        <v>-0.620954997652132</v>
      </c>
      <c r="F576" s="42" t="n">
        <f aca="false">YEAR(A576)</f>
        <v>2015</v>
      </c>
    </row>
    <row r="577" customFormat="false" ht="15" hidden="false" customHeight="false" outlineLevel="0" collapsed="false">
      <c r="A577" s="38" t="n">
        <v>42219</v>
      </c>
      <c r="B577" s="39" t="n">
        <v>609.5</v>
      </c>
      <c r="C577" s="40" t="n">
        <v>509899.1</v>
      </c>
      <c r="D577" s="40" t="n">
        <f aca="false">MAX(D576,C577)</f>
        <v>1345220.48</v>
      </c>
      <c r="E577" s="41" t="n">
        <f aca="false">C577/D577-1</f>
        <v>-0.620954997652132</v>
      </c>
      <c r="F577" s="42" t="n">
        <f aca="false">YEAR(A577)</f>
        <v>2015</v>
      </c>
    </row>
    <row r="578" customFormat="false" ht="15" hidden="false" customHeight="false" outlineLevel="0" collapsed="false">
      <c r="A578" s="38" t="n">
        <v>42220</v>
      </c>
      <c r="B578" s="39" t="n">
        <v>614</v>
      </c>
      <c r="C578" s="40" t="n">
        <v>509899.1</v>
      </c>
      <c r="D578" s="40" t="n">
        <f aca="false">MAX(D577,C578)</f>
        <v>1345220.48</v>
      </c>
      <c r="E578" s="41" t="n">
        <f aca="false">C578/D578-1</f>
        <v>-0.620954997652132</v>
      </c>
      <c r="F578" s="42" t="n">
        <f aca="false">YEAR(A578)</f>
        <v>2015</v>
      </c>
    </row>
    <row r="579" customFormat="false" ht="15" hidden="false" customHeight="false" outlineLevel="0" collapsed="false">
      <c r="A579" s="38" t="n">
        <v>42221</v>
      </c>
      <c r="B579" s="39" t="n">
        <v>614</v>
      </c>
      <c r="C579" s="40" t="n">
        <v>511398.37</v>
      </c>
      <c r="D579" s="40" t="n">
        <f aca="false">MAX(D578,C579)</f>
        <v>1345220.48</v>
      </c>
      <c r="E579" s="41" t="n">
        <f aca="false">C579/D579-1</f>
        <v>-0.619840481465165</v>
      </c>
      <c r="F579" s="42" t="n">
        <f aca="false">YEAR(A579)</f>
        <v>2015</v>
      </c>
    </row>
    <row r="580" customFormat="false" ht="15" hidden="false" customHeight="false" outlineLevel="0" collapsed="false">
      <c r="A580" s="38" t="n">
        <v>42222</v>
      </c>
      <c r="B580" s="39" t="n">
        <v>609.5</v>
      </c>
      <c r="C580" s="40" t="n">
        <v>526788.37</v>
      </c>
      <c r="D580" s="40" t="n">
        <f aca="false">MAX(D579,C580)</f>
        <v>1345220.48</v>
      </c>
      <c r="E580" s="41" t="n">
        <f aca="false">C580/D580-1</f>
        <v>-0.608399977675035</v>
      </c>
      <c r="F580" s="42" t="n">
        <f aca="false">YEAR(A580)</f>
        <v>2015</v>
      </c>
    </row>
    <row r="581" customFormat="false" ht="15" hidden="false" customHeight="false" outlineLevel="0" collapsed="false">
      <c r="A581" s="38" t="n">
        <v>42223</v>
      </c>
      <c r="B581" s="39" t="n">
        <v>606</v>
      </c>
      <c r="C581" s="40" t="n">
        <v>538758.37</v>
      </c>
      <c r="D581" s="40" t="n">
        <f aca="false">MAX(D580,C581)</f>
        <v>1345220.48</v>
      </c>
      <c r="E581" s="41" t="n">
        <f aca="false">C581/D581-1</f>
        <v>-0.59950180806049</v>
      </c>
      <c r="F581" s="42" t="n">
        <f aca="false">YEAR(A581)</f>
        <v>2015</v>
      </c>
    </row>
    <row r="582" customFormat="false" ht="15" hidden="false" customHeight="false" outlineLevel="0" collapsed="false">
      <c r="A582" s="38" t="n">
        <v>42226</v>
      </c>
      <c r="B582" s="39" t="n">
        <v>601</v>
      </c>
      <c r="C582" s="40" t="n">
        <v>555858.37</v>
      </c>
      <c r="D582" s="40" t="n">
        <f aca="false">MAX(D581,C582)</f>
        <v>1345220.48</v>
      </c>
      <c r="E582" s="41" t="n">
        <f aca="false">C582/D582-1</f>
        <v>-0.586790137182568</v>
      </c>
      <c r="F582" s="42" t="n">
        <f aca="false">YEAR(A582)</f>
        <v>2015</v>
      </c>
    </row>
    <row r="583" customFormat="false" ht="15" hidden="false" customHeight="false" outlineLevel="0" collapsed="false">
      <c r="A583" s="38" t="n">
        <v>42227</v>
      </c>
      <c r="B583" s="39" t="n">
        <v>609.5</v>
      </c>
      <c r="C583" s="40" t="n">
        <v>526788.37</v>
      </c>
      <c r="D583" s="40" t="n">
        <f aca="false">MAX(D582,C583)</f>
        <v>1345220.48</v>
      </c>
      <c r="E583" s="41" t="n">
        <f aca="false">C583/D583-1</f>
        <v>-0.608399977675035</v>
      </c>
      <c r="F583" s="42" t="n">
        <f aca="false">YEAR(A583)</f>
        <v>2015</v>
      </c>
    </row>
    <row r="584" customFormat="false" ht="15" hidden="false" customHeight="false" outlineLevel="0" collapsed="false">
      <c r="A584" s="38" t="n">
        <v>42228</v>
      </c>
      <c r="B584" s="39" t="n">
        <v>620.5</v>
      </c>
      <c r="C584" s="40" t="n">
        <v>489168.37</v>
      </c>
      <c r="D584" s="40" t="n">
        <f aca="false">MAX(D583,C584)</f>
        <v>1345220.48</v>
      </c>
      <c r="E584" s="41" t="n">
        <f aca="false">C584/D584-1</f>
        <v>-0.636365653606463</v>
      </c>
      <c r="F584" s="42" t="n">
        <f aca="false">YEAR(A584)</f>
        <v>2015</v>
      </c>
    </row>
    <row r="585" customFormat="false" ht="15" hidden="false" customHeight="false" outlineLevel="0" collapsed="false">
      <c r="A585" s="38" t="n">
        <v>42229</v>
      </c>
      <c r="B585" s="39" t="n">
        <v>623.5</v>
      </c>
      <c r="C585" s="40" t="n">
        <v>478908.37</v>
      </c>
      <c r="D585" s="40" t="n">
        <f aca="false">MAX(D584,C585)</f>
        <v>1345220.48</v>
      </c>
      <c r="E585" s="41" t="n">
        <f aca="false">C585/D585-1</f>
        <v>-0.643992656133216</v>
      </c>
      <c r="F585" s="42" t="n">
        <f aca="false">YEAR(A585)</f>
        <v>2015</v>
      </c>
    </row>
    <row r="586" customFormat="false" ht="15" hidden="false" customHeight="false" outlineLevel="0" collapsed="false">
      <c r="A586" s="38" t="n">
        <v>42230</v>
      </c>
      <c r="B586" s="39" t="n">
        <v>622.5</v>
      </c>
      <c r="C586" s="40" t="n">
        <v>482328.37</v>
      </c>
      <c r="D586" s="40" t="n">
        <f aca="false">MAX(D585,C586)</f>
        <v>1345220.48</v>
      </c>
      <c r="E586" s="41" t="n">
        <f aca="false">C586/D586-1</f>
        <v>-0.641450321957632</v>
      </c>
      <c r="F586" s="42" t="n">
        <f aca="false">YEAR(A586)</f>
        <v>2015</v>
      </c>
    </row>
    <row r="587" customFormat="false" ht="15" hidden="false" customHeight="false" outlineLevel="0" collapsed="false">
      <c r="A587" s="38" t="n">
        <v>42233</v>
      </c>
      <c r="B587" s="39" t="n">
        <v>613</v>
      </c>
      <c r="C587" s="40" t="n">
        <v>514818.37</v>
      </c>
      <c r="D587" s="40" t="n">
        <f aca="false">MAX(D586,C587)</f>
        <v>1345220.48</v>
      </c>
      <c r="E587" s="41" t="n">
        <f aca="false">C587/D587-1</f>
        <v>-0.61729814728958</v>
      </c>
      <c r="F587" s="42" t="n">
        <f aca="false">YEAR(A587)</f>
        <v>2015</v>
      </c>
    </row>
    <row r="588" customFormat="false" ht="15" hidden="false" customHeight="false" outlineLevel="0" collapsed="false">
      <c r="A588" s="38" t="n">
        <v>42234</v>
      </c>
      <c r="B588" s="39" t="n">
        <v>608.5</v>
      </c>
      <c r="C588" s="40" t="n">
        <v>530208.37</v>
      </c>
      <c r="D588" s="40" t="n">
        <f aca="false">MAX(D587,C588)</f>
        <v>1345220.48</v>
      </c>
      <c r="E588" s="41" t="n">
        <f aca="false">C588/D588-1</f>
        <v>-0.605857643499451</v>
      </c>
      <c r="F588" s="42" t="n">
        <f aca="false">YEAR(A588)</f>
        <v>2015</v>
      </c>
    </row>
    <row r="589" customFormat="false" ht="15" hidden="false" customHeight="false" outlineLevel="0" collapsed="false">
      <c r="A589" s="38" t="n">
        <v>42235</v>
      </c>
      <c r="B589" s="39" t="n">
        <v>609.5</v>
      </c>
      <c r="C589" s="40" t="n">
        <v>526788.37</v>
      </c>
      <c r="D589" s="40" t="n">
        <f aca="false">MAX(D588,C589)</f>
        <v>1345220.48</v>
      </c>
      <c r="E589" s="41" t="n">
        <f aca="false">C589/D589-1</f>
        <v>-0.608399977675035</v>
      </c>
      <c r="F589" s="42" t="n">
        <f aca="false">YEAR(A589)</f>
        <v>2015</v>
      </c>
    </row>
    <row r="590" customFormat="false" ht="15" hidden="false" customHeight="false" outlineLevel="0" collapsed="false">
      <c r="A590" s="38" t="n">
        <v>42236</v>
      </c>
      <c r="B590" s="39" t="n">
        <v>600.5</v>
      </c>
      <c r="C590" s="40" t="n">
        <v>557568.37</v>
      </c>
      <c r="D590" s="40" t="n">
        <f aca="false">MAX(D589,C590)</f>
        <v>1345220.48</v>
      </c>
      <c r="E590" s="41" t="n">
        <f aca="false">C590/D590-1</f>
        <v>-0.585518970094776</v>
      </c>
      <c r="F590" s="42" t="n">
        <f aca="false">YEAR(A590)</f>
        <v>2015</v>
      </c>
    </row>
    <row r="591" customFormat="false" ht="15" hidden="false" customHeight="false" outlineLevel="0" collapsed="false">
      <c r="A591" s="38" t="n">
        <v>42237</v>
      </c>
      <c r="B591" s="39" t="n">
        <v>602.5</v>
      </c>
      <c r="C591" s="40" t="n">
        <v>550728.37</v>
      </c>
      <c r="D591" s="40" t="n">
        <f aca="false">MAX(D590,C591)</f>
        <v>1345220.48</v>
      </c>
      <c r="E591" s="41" t="n">
        <f aca="false">C591/D591-1</f>
        <v>-0.590603638445945</v>
      </c>
      <c r="F591" s="42" t="n">
        <f aca="false">YEAR(A591)</f>
        <v>2015</v>
      </c>
    </row>
    <row r="592" customFormat="false" ht="15" hidden="false" customHeight="false" outlineLevel="0" collapsed="false">
      <c r="A592" s="38" t="n">
        <v>42240</v>
      </c>
      <c r="B592" s="39" t="n">
        <v>579</v>
      </c>
      <c r="C592" s="40" t="n">
        <v>631098.37</v>
      </c>
      <c r="D592" s="40" t="n">
        <f aca="false">MAX(D591,C592)</f>
        <v>1345220.48</v>
      </c>
      <c r="E592" s="41" t="n">
        <f aca="false">C592/D592-1</f>
        <v>-0.530858785319712</v>
      </c>
      <c r="F592" s="42" t="n">
        <f aca="false">YEAR(A592)</f>
        <v>2015</v>
      </c>
    </row>
    <row r="593" customFormat="false" ht="15" hidden="false" customHeight="false" outlineLevel="0" collapsed="false">
      <c r="A593" s="38" t="n">
        <v>42241</v>
      </c>
      <c r="B593" s="39" t="n">
        <v>575</v>
      </c>
      <c r="C593" s="40" t="n">
        <v>644778.37</v>
      </c>
      <c r="D593" s="40" t="n">
        <f aca="false">MAX(D592,C593)</f>
        <v>1345220.48</v>
      </c>
      <c r="E593" s="41" t="n">
        <f aca="false">C593/D593-1</f>
        <v>-0.520689448617375</v>
      </c>
      <c r="F593" s="42" t="n">
        <f aca="false">YEAR(A593)</f>
        <v>2015</v>
      </c>
    </row>
    <row r="594" customFormat="false" ht="15" hidden="false" customHeight="false" outlineLevel="0" collapsed="false">
      <c r="A594" s="38" t="n">
        <v>42242</v>
      </c>
      <c r="B594" s="39" t="n">
        <v>563.5</v>
      </c>
      <c r="C594" s="40" t="n">
        <v>684108.37</v>
      </c>
      <c r="D594" s="40" t="n">
        <f aca="false">MAX(D593,C594)</f>
        <v>1345220.48</v>
      </c>
      <c r="E594" s="41" t="n">
        <f aca="false">C594/D594-1</f>
        <v>-0.491452605598154</v>
      </c>
      <c r="F594" s="42" t="n">
        <f aca="false">YEAR(A594)</f>
        <v>2015</v>
      </c>
    </row>
    <row r="595" customFormat="false" ht="15" hidden="false" customHeight="false" outlineLevel="0" collapsed="false">
      <c r="A595" s="38" t="n">
        <v>42243</v>
      </c>
      <c r="B595" s="39" t="n">
        <v>571</v>
      </c>
      <c r="C595" s="40" t="n">
        <v>658458.37</v>
      </c>
      <c r="D595" s="40" t="n">
        <f aca="false">MAX(D594,C595)</f>
        <v>1345220.48</v>
      </c>
      <c r="E595" s="41" t="n">
        <f aca="false">C595/D595-1</f>
        <v>-0.510520111915037</v>
      </c>
      <c r="F595" s="42" t="n">
        <f aca="false">YEAR(A595)</f>
        <v>2015</v>
      </c>
    </row>
    <row r="596" customFormat="false" ht="15" hidden="false" customHeight="false" outlineLevel="0" collapsed="false">
      <c r="A596" s="38" t="n">
        <v>42244</v>
      </c>
      <c r="B596" s="39" t="n">
        <v>572.5</v>
      </c>
      <c r="C596" s="40" t="n">
        <v>653328.37</v>
      </c>
      <c r="D596" s="40" t="n">
        <f aca="false">MAX(D595,C596)</f>
        <v>1345220.48</v>
      </c>
      <c r="E596" s="41" t="n">
        <f aca="false">C596/D596-1</f>
        <v>-0.514333613178414</v>
      </c>
      <c r="F596" s="42" t="n">
        <f aca="false">YEAR(A596)</f>
        <v>2015</v>
      </c>
    </row>
    <row r="597" customFormat="false" ht="15" hidden="false" customHeight="false" outlineLevel="0" collapsed="false">
      <c r="A597" s="38" t="n">
        <v>42247</v>
      </c>
      <c r="B597" s="39" t="n">
        <v>567.5</v>
      </c>
      <c r="C597" s="40" t="n">
        <v>670428.37</v>
      </c>
      <c r="D597" s="40" t="n">
        <f aca="false">MAX(D596,C597)</f>
        <v>1345220.48</v>
      </c>
      <c r="E597" s="41" t="n">
        <f aca="false">C597/D597-1</f>
        <v>-0.501621942300492</v>
      </c>
      <c r="F597" s="42" t="n">
        <f aca="false">YEAR(A597)</f>
        <v>2015</v>
      </c>
    </row>
    <row r="598" customFormat="false" ht="15" hidden="false" customHeight="false" outlineLevel="0" collapsed="false">
      <c r="A598" s="38" t="n">
        <v>42248</v>
      </c>
      <c r="B598" s="39" t="n">
        <v>573</v>
      </c>
      <c r="C598" s="40" t="n">
        <v>651618.37</v>
      </c>
      <c r="D598" s="40" t="n">
        <f aca="false">MAX(D597,C598)</f>
        <v>1345220.48</v>
      </c>
      <c r="E598" s="41" t="n">
        <f aca="false">C598/D598-1</f>
        <v>-0.515604780266206</v>
      </c>
      <c r="F598" s="42" t="n">
        <f aca="false">YEAR(A598)</f>
        <v>2015</v>
      </c>
    </row>
    <row r="599" customFormat="false" ht="15" hidden="false" customHeight="false" outlineLevel="0" collapsed="false">
      <c r="A599" s="38" t="n">
        <v>42249</v>
      </c>
      <c r="B599" s="39" t="n">
        <v>575</v>
      </c>
      <c r="C599" s="40" t="n">
        <v>644778.37</v>
      </c>
      <c r="D599" s="40" t="n">
        <f aca="false">MAX(D598,C599)</f>
        <v>1345220.48</v>
      </c>
      <c r="E599" s="41" t="n">
        <f aca="false">C599/D599-1</f>
        <v>-0.520689448617375</v>
      </c>
      <c r="F599" s="42" t="n">
        <f aca="false">YEAR(A599)</f>
        <v>2015</v>
      </c>
    </row>
    <row r="600" customFormat="false" ht="15" hidden="false" customHeight="false" outlineLevel="0" collapsed="false">
      <c r="A600" s="38" t="n">
        <v>42254</v>
      </c>
      <c r="B600" s="39" t="n">
        <v>577</v>
      </c>
      <c r="C600" s="40" t="n">
        <v>637938.37</v>
      </c>
      <c r="D600" s="40" t="n">
        <f aca="false">MAX(D599,C600)</f>
        <v>1345220.48</v>
      </c>
      <c r="E600" s="41" t="n">
        <f aca="false">C600/D600-1</f>
        <v>-0.525774116968543</v>
      </c>
      <c r="F600" s="42" t="n">
        <f aca="false">YEAR(A600)</f>
        <v>2015</v>
      </c>
    </row>
    <row r="601" customFormat="false" ht="15" hidden="false" customHeight="false" outlineLevel="0" collapsed="false">
      <c r="A601" s="38" t="n">
        <v>42255</v>
      </c>
      <c r="B601" s="39" t="n">
        <v>585</v>
      </c>
      <c r="C601" s="40" t="n">
        <v>610578.37</v>
      </c>
      <c r="D601" s="40" t="n">
        <f aca="false">MAX(D600,C601)</f>
        <v>1345220.48</v>
      </c>
      <c r="E601" s="41" t="n">
        <f aca="false">C601/D601-1</f>
        <v>-0.546112790373218</v>
      </c>
      <c r="F601" s="42" t="n">
        <f aca="false">YEAR(A601)</f>
        <v>2015</v>
      </c>
    </row>
    <row r="602" customFormat="false" ht="15" hidden="false" customHeight="false" outlineLevel="0" collapsed="false">
      <c r="A602" s="38" t="n">
        <v>42256</v>
      </c>
      <c r="B602" s="39" t="n">
        <v>589.5</v>
      </c>
      <c r="C602" s="40" t="n">
        <v>595188.37</v>
      </c>
      <c r="D602" s="40" t="n">
        <f aca="false">MAX(D601,C602)</f>
        <v>1345220.48</v>
      </c>
      <c r="E602" s="41" t="n">
        <f aca="false">C602/D602-1</f>
        <v>-0.557553294163348</v>
      </c>
      <c r="F602" s="42" t="n">
        <f aca="false">YEAR(A602)</f>
        <v>2015</v>
      </c>
    </row>
    <row r="603" customFormat="false" ht="15" hidden="false" customHeight="false" outlineLevel="0" collapsed="false">
      <c r="A603" s="38" t="n">
        <v>42257</v>
      </c>
      <c r="B603" s="39" t="n">
        <v>590</v>
      </c>
      <c r="C603" s="40" t="n">
        <v>593478.37</v>
      </c>
      <c r="D603" s="40" t="n">
        <f aca="false">MAX(D602,C603)</f>
        <v>1345220.48</v>
      </c>
      <c r="E603" s="41" t="n">
        <f aca="false">C603/D603-1</f>
        <v>-0.55882446125114</v>
      </c>
      <c r="F603" s="42" t="n">
        <f aca="false">YEAR(A603)</f>
        <v>2015</v>
      </c>
    </row>
    <row r="604" customFormat="false" ht="15" hidden="false" customHeight="false" outlineLevel="0" collapsed="false">
      <c r="A604" s="38" t="n">
        <v>42258</v>
      </c>
      <c r="B604" s="39" t="n">
        <v>584</v>
      </c>
      <c r="C604" s="40" t="n">
        <v>613998.37</v>
      </c>
      <c r="D604" s="40" t="n">
        <f aca="false">MAX(D603,C604)</f>
        <v>1345220.48</v>
      </c>
      <c r="E604" s="41" t="n">
        <f aca="false">C604/D604-1</f>
        <v>-0.543570456197634</v>
      </c>
      <c r="F604" s="42" t="n">
        <f aca="false">YEAR(A604)</f>
        <v>2015</v>
      </c>
    </row>
    <row r="605" customFormat="false" ht="15" hidden="false" customHeight="false" outlineLevel="0" collapsed="false">
      <c r="A605" s="38" t="n">
        <v>42261</v>
      </c>
      <c r="B605" s="39" t="n">
        <v>573</v>
      </c>
      <c r="C605" s="40" t="n">
        <v>651618.37</v>
      </c>
      <c r="D605" s="40" t="n">
        <f aca="false">MAX(D604,C605)</f>
        <v>1345220.48</v>
      </c>
      <c r="E605" s="41" t="n">
        <f aca="false">C605/D605-1</f>
        <v>-0.515604780266206</v>
      </c>
      <c r="F605" s="42" t="n">
        <f aca="false">YEAR(A605)</f>
        <v>2015</v>
      </c>
    </row>
    <row r="606" customFormat="false" ht="15" hidden="false" customHeight="false" outlineLevel="0" collapsed="false">
      <c r="A606" s="38" t="n">
        <v>42262</v>
      </c>
      <c r="B606" s="39" t="n">
        <v>573</v>
      </c>
      <c r="C606" s="40" t="n">
        <v>651618.37</v>
      </c>
      <c r="D606" s="40" t="n">
        <f aca="false">MAX(D605,C606)</f>
        <v>1345220.48</v>
      </c>
      <c r="E606" s="41" t="n">
        <f aca="false">C606/D606-1</f>
        <v>-0.515604780266206</v>
      </c>
      <c r="F606" s="42" t="n">
        <f aca="false">YEAR(A606)</f>
        <v>2015</v>
      </c>
    </row>
    <row r="607" customFormat="false" ht="15" hidden="false" customHeight="false" outlineLevel="0" collapsed="false">
      <c r="A607" s="38" t="n">
        <v>42263</v>
      </c>
      <c r="B607" s="39" t="n">
        <v>587</v>
      </c>
      <c r="C607" s="40" t="n">
        <v>603738.37</v>
      </c>
      <c r="D607" s="40" t="n">
        <f aca="false">MAX(D606,C607)</f>
        <v>1345220.48</v>
      </c>
      <c r="E607" s="41" t="n">
        <f aca="false">C607/D607-1</f>
        <v>-0.551197458724387</v>
      </c>
      <c r="F607" s="42" t="n">
        <f aca="false">YEAR(A607)</f>
        <v>2015</v>
      </c>
    </row>
    <row r="608" customFormat="false" ht="15" hidden="false" customHeight="false" outlineLevel="0" collapsed="false">
      <c r="A608" s="38" t="n">
        <v>42264</v>
      </c>
      <c r="B608" s="39" t="n">
        <v>584</v>
      </c>
      <c r="C608" s="40" t="n">
        <v>613998.37</v>
      </c>
      <c r="D608" s="40" t="n">
        <f aca="false">MAX(D607,C608)</f>
        <v>1345220.48</v>
      </c>
      <c r="E608" s="41" t="n">
        <f aca="false">C608/D608-1</f>
        <v>-0.543570456197634</v>
      </c>
      <c r="F608" s="42" t="n">
        <f aca="false">YEAR(A608)</f>
        <v>2015</v>
      </c>
    </row>
    <row r="609" customFormat="false" ht="15" hidden="false" customHeight="false" outlineLevel="0" collapsed="false">
      <c r="A609" s="38" t="n">
        <v>42265</v>
      </c>
      <c r="B609" s="39" t="n">
        <v>586</v>
      </c>
      <c r="C609" s="40" t="n">
        <v>607158.37</v>
      </c>
      <c r="D609" s="40" t="n">
        <f aca="false">MAX(D608,C609)</f>
        <v>1345220.48</v>
      </c>
      <c r="E609" s="41" t="n">
        <f aca="false">C609/D609-1</f>
        <v>-0.548655124548803</v>
      </c>
      <c r="F609" s="42" t="n">
        <f aca="false">YEAR(A609)</f>
        <v>2015</v>
      </c>
    </row>
    <row r="610" customFormat="false" ht="15" hidden="false" customHeight="false" outlineLevel="0" collapsed="false">
      <c r="A610" s="38" t="n">
        <v>42268</v>
      </c>
      <c r="B610" s="39" t="n">
        <v>597</v>
      </c>
      <c r="C610" s="40" t="n">
        <v>569538.37</v>
      </c>
      <c r="D610" s="40" t="n">
        <f aca="false">MAX(D609,C610)</f>
        <v>1345220.48</v>
      </c>
      <c r="E610" s="41" t="n">
        <f aca="false">C610/D610-1</f>
        <v>-0.576620800480231</v>
      </c>
      <c r="F610" s="42" t="n">
        <f aca="false">YEAR(A610)</f>
        <v>2015</v>
      </c>
    </row>
    <row r="611" customFormat="false" ht="15" hidden="false" customHeight="false" outlineLevel="0" collapsed="false">
      <c r="A611" s="38" t="n">
        <v>42269</v>
      </c>
      <c r="B611" s="39" t="n">
        <v>591.5</v>
      </c>
      <c r="C611" s="40" t="n">
        <v>588348.37</v>
      </c>
      <c r="D611" s="40" t="n">
        <f aca="false">MAX(D610,C611)</f>
        <v>1345220.48</v>
      </c>
      <c r="E611" s="41" t="n">
        <f aca="false">C611/D611-1</f>
        <v>-0.562637962514517</v>
      </c>
      <c r="F611" s="42" t="n">
        <f aca="false">YEAR(A611)</f>
        <v>2015</v>
      </c>
    </row>
    <row r="612" customFormat="false" ht="15" hidden="false" customHeight="false" outlineLevel="0" collapsed="false">
      <c r="A612" s="38" t="n">
        <v>42270</v>
      </c>
      <c r="B612" s="39" t="n">
        <v>583.5</v>
      </c>
      <c r="C612" s="40" t="n">
        <v>615708.37</v>
      </c>
      <c r="D612" s="40" t="n">
        <f aca="false">MAX(D611,C612)</f>
        <v>1345220.48</v>
      </c>
      <c r="E612" s="41" t="n">
        <f aca="false">C612/D612-1</f>
        <v>-0.542299289109842</v>
      </c>
      <c r="F612" s="42" t="n">
        <f aca="false">YEAR(A612)</f>
        <v>2015</v>
      </c>
    </row>
    <row r="613" customFormat="false" ht="15" hidden="false" customHeight="false" outlineLevel="0" collapsed="false">
      <c r="A613" s="38" t="n">
        <v>42271</v>
      </c>
      <c r="B613" s="39" t="n">
        <v>582</v>
      </c>
      <c r="C613" s="40" t="n">
        <v>620838.37</v>
      </c>
      <c r="D613" s="40" t="n">
        <f aca="false">MAX(D612,C613)</f>
        <v>1345220.48</v>
      </c>
      <c r="E613" s="41" t="n">
        <f aca="false">C613/D613-1</f>
        <v>-0.538485787846465</v>
      </c>
      <c r="F613" s="42" t="n">
        <f aca="false">YEAR(A613)</f>
        <v>2015</v>
      </c>
    </row>
    <row r="614" customFormat="false" ht="15" hidden="false" customHeight="false" outlineLevel="0" collapsed="false">
      <c r="A614" s="38" t="n">
        <v>42272</v>
      </c>
      <c r="B614" s="39" t="n">
        <v>584</v>
      </c>
      <c r="C614" s="40" t="n">
        <v>613998.37</v>
      </c>
      <c r="D614" s="40" t="n">
        <f aca="false">MAX(D613,C614)</f>
        <v>1345220.48</v>
      </c>
      <c r="E614" s="41" t="n">
        <f aca="false">C614/D614-1</f>
        <v>-0.543570456197634</v>
      </c>
      <c r="F614" s="42" t="n">
        <f aca="false">YEAR(A614)</f>
        <v>2015</v>
      </c>
    </row>
    <row r="615" customFormat="false" ht="15" hidden="false" customHeight="false" outlineLevel="0" collapsed="false">
      <c r="A615" s="38" t="n">
        <v>42275</v>
      </c>
      <c r="B615" s="39" t="n">
        <v>573.5</v>
      </c>
      <c r="C615" s="40" t="n">
        <v>649908.37</v>
      </c>
      <c r="D615" s="40" t="n">
        <f aca="false">MAX(D614,C615)</f>
        <v>1345220.48</v>
      </c>
      <c r="E615" s="41" t="n">
        <f aca="false">C615/D615-1</f>
        <v>-0.516875947353998</v>
      </c>
      <c r="F615" s="42" t="n">
        <f aca="false">YEAR(A615)</f>
        <v>2015</v>
      </c>
    </row>
    <row r="616" customFormat="false" ht="15" hidden="false" customHeight="false" outlineLevel="0" collapsed="false">
      <c r="A616" s="38" t="n">
        <v>42276</v>
      </c>
      <c r="B616" s="39" t="n">
        <v>570.5</v>
      </c>
      <c r="C616" s="40" t="n">
        <v>660168.37</v>
      </c>
      <c r="D616" s="40" t="n">
        <f aca="false">MAX(D615,C616)</f>
        <v>1345220.48</v>
      </c>
      <c r="E616" s="41" t="n">
        <f aca="false">C616/D616-1</f>
        <v>-0.509248944827245</v>
      </c>
      <c r="F616" s="42" t="n">
        <f aca="false">YEAR(A616)</f>
        <v>2015</v>
      </c>
    </row>
    <row r="617" customFormat="false" ht="15" hidden="false" customHeight="false" outlineLevel="0" collapsed="false">
      <c r="A617" s="38" t="n">
        <v>42277</v>
      </c>
      <c r="B617" s="39" t="n">
        <v>571</v>
      </c>
      <c r="C617" s="40" t="n">
        <v>658458.37</v>
      </c>
      <c r="D617" s="40" t="n">
        <f aca="false">MAX(D616,C617)</f>
        <v>1345220.48</v>
      </c>
      <c r="E617" s="41" t="n">
        <f aca="false">C617/D617-1</f>
        <v>-0.510520111915037</v>
      </c>
      <c r="F617" s="42" t="n">
        <f aca="false">YEAR(A617)</f>
        <v>2015</v>
      </c>
    </row>
    <row r="618" customFormat="false" ht="15" hidden="false" customHeight="false" outlineLevel="0" collapsed="false">
      <c r="A618" s="38" t="n">
        <v>42285</v>
      </c>
      <c r="B618" s="39" t="n">
        <v>570</v>
      </c>
      <c r="C618" s="40" t="n">
        <v>661878.37</v>
      </c>
      <c r="D618" s="40" t="n">
        <f aca="false">MAX(D617,C618)</f>
        <v>1345220.48</v>
      </c>
      <c r="E618" s="41" t="n">
        <f aca="false">C618/D618-1</f>
        <v>-0.507977777739453</v>
      </c>
      <c r="F618" s="42" t="n">
        <f aca="false">YEAR(A618)</f>
        <v>2015</v>
      </c>
    </row>
    <row r="619" customFormat="false" ht="15" hidden="false" customHeight="false" outlineLevel="0" collapsed="false">
      <c r="A619" s="38" t="n">
        <v>42286</v>
      </c>
      <c r="B619" s="39" t="n">
        <v>581</v>
      </c>
      <c r="C619" s="40" t="n">
        <v>624258.37</v>
      </c>
      <c r="D619" s="40" t="n">
        <f aca="false">MAX(D618,C619)</f>
        <v>1345220.48</v>
      </c>
      <c r="E619" s="41" t="n">
        <f aca="false">C619/D619-1</f>
        <v>-0.535943453670881</v>
      </c>
      <c r="F619" s="42" t="n">
        <f aca="false">YEAR(A619)</f>
        <v>2015</v>
      </c>
    </row>
    <row r="620" customFormat="false" ht="15" hidden="false" customHeight="false" outlineLevel="0" collapsed="false">
      <c r="A620" s="38" t="n">
        <v>42289</v>
      </c>
      <c r="B620" s="39" t="n">
        <v>566.5</v>
      </c>
      <c r="C620" s="40" t="n">
        <v>673848.37</v>
      </c>
      <c r="D620" s="40" t="n">
        <f aca="false">MAX(D619,C620)</f>
        <v>1345220.48</v>
      </c>
      <c r="E620" s="41" t="n">
        <f aca="false">C620/D620-1</f>
        <v>-0.499079608124908</v>
      </c>
      <c r="F620" s="42" t="n">
        <f aca="false">YEAR(A620)</f>
        <v>2015</v>
      </c>
    </row>
    <row r="621" customFormat="false" ht="15" hidden="false" customHeight="false" outlineLevel="0" collapsed="false">
      <c r="A621" s="38" t="n">
        <v>42290</v>
      </c>
      <c r="B621" s="39" t="n">
        <v>566.5</v>
      </c>
      <c r="C621" s="40" t="n">
        <v>673848.37</v>
      </c>
      <c r="D621" s="40" t="n">
        <f aca="false">MAX(D620,C621)</f>
        <v>1345220.48</v>
      </c>
      <c r="E621" s="41" t="n">
        <f aca="false">C621/D621-1</f>
        <v>-0.499079608124908</v>
      </c>
      <c r="F621" s="42" t="n">
        <f aca="false">YEAR(A621)</f>
        <v>2015</v>
      </c>
    </row>
    <row r="622" customFormat="false" ht="15" hidden="false" customHeight="false" outlineLevel="0" collapsed="false">
      <c r="A622" s="38" t="n">
        <v>42291</v>
      </c>
      <c r="B622" s="39" t="n">
        <v>564</v>
      </c>
      <c r="C622" s="40" t="n">
        <v>682398.37</v>
      </c>
      <c r="D622" s="40" t="n">
        <f aca="false">MAX(D621,C622)</f>
        <v>1345220.48</v>
      </c>
      <c r="E622" s="41" t="n">
        <f aca="false">C622/D622-1</f>
        <v>-0.492723772685947</v>
      </c>
      <c r="F622" s="42" t="n">
        <f aca="false">YEAR(A622)</f>
        <v>2015</v>
      </c>
    </row>
    <row r="623" customFormat="false" ht="15" hidden="false" customHeight="false" outlineLevel="0" collapsed="false">
      <c r="A623" s="38" t="n">
        <v>42292</v>
      </c>
      <c r="B623" s="39" t="n">
        <v>563</v>
      </c>
      <c r="C623" s="40" t="n">
        <v>685818.37</v>
      </c>
      <c r="D623" s="40" t="n">
        <f aca="false">MAX(D622,C623)</f>
        <v>1345220.48</v>
      </c>
      <c r="E623" s="41" t="n">
        <f aca="false">C623/D623-1</f>
        <v>-0.490181438510362</v>
      </c>
      <c r="F623" s="42" t="n">
        <f aca="false">YEAR(A623)</f>
        <v>2015</v>
      </c>
    </row>
    <row r="624" customFormat="false" ht="15" hidden="false" customHeight="false" outlineLevel="0" collapsed="false">
      <c r="A624" s="38" t="n">
        <v>42293</v>
      </c>
      <c r="B624" s="39" t="n">
        <v>564.5</v>
      </c>
      <c r="C624" s="40" t="n">
        <v>680688.37</v>
      </c>
      <c r="D624" s="40" t="n">
        <f aca="false">MAX(D623,C624)</f>
        <v>1345220.48</v>
      </c>
      <c r="E624" s="41" t="n">
        <f aca="false">C624/D624-1</f>
        <v>-0.493994939773739</v>
      </c>
      <c r="F624" s="42" t="n">
        <f aca="false">YEAR(A624)</f>
        <v>2015</v>
      </c>
    </row>
    <row r="625" customFormat="false" ht="15" hidden="false" customHeight="false" outlineLevel="0" collapsed="false">
      <c r="A625" s="38" t="n">
        <v>42296</v>
      </c>
      <c r="B625" s="39" t="n">
        <v>564.5</v>
      </c>
      <c r="C625" s="40" t="n">
        <v>680688.37</v>
      </c>
      <c r="D625" s="40" t="n">
        <f aca="false">MAX(D624,C625)</f>
        <v>1345220.48</v>
      </c>
      <c r="E625" s="41" t="n">
        <f aca="false">C625/D625-1</f>
        <v>-0.493994939773739</v>
      </c>
      <c r="F625" s="42" t="n">
        <f aca="false">YEAR(A625)</f>
        <v>2015</v>
      </c>
    </row>
    <row r="626" customFormat="false" ht="15" hidden="false" customHeight="false" outlineLevel="0" collapsed="false">
      <c r="A626" s="38" t="n">
        <v>42297</v>
      </c>
      <c r="B626" s="39" t="n">
        <v>568.5</v>
      </c>
      <c r="C626" s="40" t="n">
        <v>667008.37</v>
      </c>
      <c r="D626" s="40" t="n">
        <f aca="false">MAX(D625,C626)</f>
        <v>1345220.48</v>
      </c>
      <c r="E626" s="41" t="n">
        <f aca="false">C626/D626-1</f>
        <v>-0.504164276476076</v>
      </c>
      <c r="F626" s="42" t="n">
        <f aca="false">YEAR(A626)</f>
        <v>2015</v>
      </c>
    </row>
    <row r="627" customFormat="false" ht="15" hidden="false" customHeight="false" outlineLevel="0" collapsed="false">
      <c r="A627" s="38" t="n">
        <v>42298</v>
      </c>
      <c r="B627" s="39" t="n">
        <v>566.5</v>
      </c>
      <c r="C627" s="40" t="n">
        <v>673848.37</v>
      </c>
      <c r="D627" s="40" t="n">
        <f aca="false">MAX(D626,C627)</f>
        <v>1345220.48</v>
      </c>
      <c r="E627" s="41" t="n">
        <f aca="false">C627/D627-1</f>
        <v>-0.499079608124908</v>
      </c>
      <c r="F627" s="42" t="n">
        <f aca="false">YEAR(A627)</f>
        <v>2015</v>
      </c>
    </row>
    <row r="628" customFormat="false" ht="15" hidden="false" customHeight="false" outlineLevel="0" collapsed="false">
      <c r="A628" s="38" t="n">
        <v>42299</v>
      </c>
      <c r="B628" s="39" t="n">
        <v>570</v>
      </c>
      <c r="C628" s="40" t="n">
        <v>661878.37</v>
      </c>
      <c r="D628" s="40" t="n">
        <f aca="false">MAX(D627,C628)</f>
        <v>1345220.48</v>
      </c>
      <c r="E628" s="41" t="n">
        <f aca="false">C628/D628-1</f>
        <v>-0.507977777739453</v>
      </c>
      <c r="F628" s="42" t="n">
        <f aca="false">YEAR(A628)</f>
        <v>2015</v>
      </c>
    </row>
    <row r="629" customFormat="false" ht="15" hidden="false" customHeight="false" outlineLevel="0" collapsed="false">
      <c r="A629" s="38" t="n">
        <v>42300</v>
      </c>
      <c r="B629" s="39" t="n">
        <v>569</v>
      </c>
      <c r="C629" s="40" t="n">
        <v>665298.37</v>
      </c>
      <c r="D629" s="40" t="n">
        <f aca="false">MAX(D628,C629)</f>
        <v>1345220.48</v>
      </c>
      <c r="E629" s="41" t="n">
        <f aca="false">C629/D629-1</f>
        <v>-0.505435443563868</v>
      </c>
      <c r="F629" s="42" t="n">
        <f aca="false">YEAR(A629)</f>
        <v>2015</v>
      </c>
    </row>
    <row r="630" customFormat="false" ht="15" hidden="false" customHeight="false" outlineLevel="0" collapsed="false">
      <c r="A630" s="38" t="n">
        <v>42303</v>
      </c>
      <c r="B630" s="39" t="n">
        <v>563</v>
      </c>
      <c r="C630" s="40" t="n">
        <v>685818.37</v>
      </c>
      <c r="D630" s="40" t="n">
        <f aca="false">MAX(D629,C630)</f>
        <v>1345220.48</v>
      </c>
      <c r="E630" s="41" t="n">
        <f aca="false">C630/D630-1</f>
        <v>-0.490181438510362</v>
      </c>
      <c r="F630" s="42" t="n">
        <f aca="false">YEAR(A630)</f>
        <v>2015</v>
      </c>
    </row>
    <row r="631" customFormat="false" ht="15" hidden="false" customHeight="false" outlineLevel="0" collapsed="false">
      <c r="A631" s="38" t="n">
        <v>42304</v>
      </c>
      <c r="B631" s="39" t="n">
        <v>562</v>
      </c>
      <c r="C631" s="40" t="n">
        <v>689238.37</v>
      </c>
      <c r="D631" s="40" t="n">
        <f aca="false">MAX(D630,C631)</f>
        <v>1345220.48</v>
      </c>
      <c r="E631" s="41" t="n">
        <f aca="false">C631/D631-1</f>
        <v>-0.487639104334778</v>
      </c>
      <c r="F631" s="42" t="n">
        <f aca="false">YEAR(A631)</f>
        <v>2015</v>
      </c>
    </row>
    <row r="632" customFormat="false" ht="15" hidden="false" customHeight="false" outlineLevel="0" collapsed="false">
      <c r="A632" s="38" t="n">
        <v>42305</v>
      </c>
      <c r="B632" s="39" t="n">
        <v>554</v>
      </c>
      <c r="C632" s="40" t="n">
        <v>716598.37</v>
      </c>
      <c r="D632" s="40" t="n">
        <f aca="false">MAX(D631,C632)</f>
        <v>1345220.48</v>
      </c>
      <c r="E632" s="41" t="n">
        <f aca="false">C632/D632-1</f>
        <v>-0.467300430930103</v>
      </c>
      <c r="F632" s="42" t="n">
        <f aca="false">YEAR(A632)</f>
        <v>2015</v>
      </c>
    </row>
    <row r="633" customFormat="false" ht="15" hidden="false" customHeight="false" outlineLevel="0" collapsed="false">
      <c r="A633" s="38" t="n">
        <v>42306</v>
      </c>
      <c r="B633" s="39" t="n">
        <v>553</v>
      </c>
      <c r="C633" s="40" t="n">
        <v>720018.37</v>
      </c>
      <c r="D633" s="40" t="n">
        <f aca="false">MAX(D632,C633)</f>
        <v>1345220.48</v>
      </c>
      <c r="E633" s="41" t="n">
        <f aca="false">C633/D633-1</f>
        <v>-0.464758096754519</v>
      </c>
      <c r="F633" s="42" t="n">
        <f aca="false">YEAR(A633)</f>
        <v>2015</v>
      </c>
    </row>
    <row r="634" customFormat="false" ht="15" hidden="false" customHeight="false" outlineLevel="0" collapsed="false">
      <c r="A634" s="38" t="n">
        <v>42307</v>
      </c>
      <c r="B634" s="39" t="n">
        <v>553</v>
      </c>
      <c r="C634" s="40" t="n">
        <v>720018.37</v>
      </c>
      <c r="D634" s="40" t="n">
        <f aca="false">MAX(D633,C634)</f>
        <v>1345220.48</v>
      </c>
      <c r="E634" s="41" t="n">
        <f aca="false">C634/D634-1</f>
        <v>-0.464758096754519</v>
      </c>
      <c r="F634" s="42" t="n">
        <f aca="false">YEAR(A634)</f>
        <v>2015</v>
      </c>
    </row>
    <row r="635" customFormat="false" ht="15" hidden="false" customHeight="false" outlineLevel="0" collapsed="false">
      <c r="A635" s="38" t="n">
        <v>42310</v>
      </c>
      <c r="B635" s="39" t="n">
        <v>553</v>
      </c>
      <c r="C635" s="40" t="n">
        <v>720018.37</v>
      </c>
      <c r="D635" s="40" t="n">
        <f aca="false">MAX(D634,C635)</f>
        <v>1345220.48</v>
      </c>
      <c r="E635" s="41" t="n">
        <f aca="false">C635/D635-1</f>
        <v>-0.464758096754519</v>
      </c>
      <c r="F635" s="42" t="n">
        <f aca="false">YEAR(A635)</f>
        <v>2015</v>
      </c>
    </row>
    <row r="636" customFormat="false" ht="15" hidden="false" customHeight="false" outlineLevel="0" collapsed="false">
      <c r="A636" s="38" t="n">
        <v>42311</v>
      </c>
      <c r="B636" s="39" t="n">
        <v>554.5</v>
      </c>
      <c r="C636" s="40" t="n">
        <v>714888.37</v>
      </c>
      <c r="D636" s="40" t="n">
        <f aca="false">MAX(D635,C636)</f>
        <v>1345220.48</v>
      </c>
      <c r="E636" s="41" t="n">
        <f aca="false">C636/D636-1</f>
        <v>-0.468571598017895</v>
      </c>
      <c r="F636" s="42" t="n">
        <f aca="false">YEAR(A636)</f>
        <v>2015</v>
      </c>
    </row>
    <row r="637" customFormat="false" ht="15" hidden="false" customHeight="false" outlineLevel="0" collapsed="false">
      <c r="A637" s="38" t="n">
        <v>42312</v>
      </c>
      <c r="B637" s="39" t="n">
        <v>558.5</v>
      </c>
      <c r="C637" s="40" t="n">
        <v>701208.37</v>
      </c>
      <c r="D637" s="40" t="n">
        <f aca="false">MAX(D636,C637)</f>
        <v>1345220.48</v>
      </c>
      <c r="E637" s="41" t="n">
        <f aca="false">C637/D637-1</f>
        <v>-0.478740934720233</v>
      </c>
      <c r="F637" s="42" t="n">
        <f aca="false">YEAR(A637)</f>
        <v>2015</v>
      </c>
    </row>
    <row r="638" customFormat="false" ht="15" hidden="false" customHeight="false" outlineLevel="0" collapsed="false">
      <c r="A638" s="38" t="n">
        <v>42313</v>
      </c>
      <c r="B638" s="39" t="n">
        <v>559.5</v>
      </c>
      <c r="C638" s="40" t="n">
        <v>697788.37</v>
      </c>
      <c r="D638" s="40" t="n">
        <f aca="false">MAX(D637,C638)</f>
        <v>1345220.48</v>
      </c>
      <c r="E638" s="41" t="n">
        <f aca="false">C638/D638-1</f>
        <v>-0.481283268895817</v>
      </c>
      <c r="F638" s="42" t="n">
        <f aca="false">YEAR(A638)</f>
        <v>2015</v>
      </c>
    </row>
    <row r="639" customFormat="false" ht="15" hidden="false" customHeight="false" outlineLevel="0" collapsed="false">
      <c r="A639" s="38" t="n">
        <v>42314</v>
      </c>
      <c r="B639" s="39" t="n">
        <v>559</v>
      </c>
      <c r="C639" s="40" t="n">
        <v>699498.37</v>
      </c>
      <c r="D639" s="40" t="n">
        <f aca="false">MAX(D638,C639)</f>
        <v>1345220.48</v>
      </c>
      <c r="E639" s="41" t="n">
        <f aca="false">C639/D639-1</f>
        <v>-0.480012101808025</v>
      </c>
      <c r="F639" s="42" t="n">
        <f aca="false">YEAR(A639)</f>
        <v>2015</v>
      </c>
    </row>
    <row r="640" customFormat="false" ht="15" hidden="false" customHeight="false" outlineLevel="0" collapsed="false">
      <c r="A640" s="38" t="n">
        <v>42317</v>
      </c>
      <c r="B640" s="39" t="n">
        <v>555</v>
      </c>
      <c r="C640" s="40" t="n">
        <v>713178.37</v>
      </c>
      <c r="D640" s="40" t="n">
        <f aca="false">MAX(D639,C640)</f>
        <v>1345220.48</v>
      </c>
      <c r="E640" s="41" t="n">
        <f aca="false">C640/D640-1</f>
        <v>-0.469842765105687</v>
      </c>
      <c r="F640" s="42" t="n">
        <f aca="false">YEAR(A640)</f>
        <v>2015</v>
      </c>
    </row>
    <row r="641" customFormat="false" ht="15" hidden="false" customHeight="false" outlineLevel="0" collapsed="false">
      <c r="A641" s="38" t="n">
        <v>42318</v>
      </c>
      <c r="B641" s="39" t="n">
        <v>557.5</v>
      </c>
      <c r="C641" s="40" t="n">
        <v>704628.37</v>
      </c>
      <c r="D641" s="40" t="n">
        <f aca="false">MAX(D640,C641)</f>
        <v>1345220.48</v>
      </c>
      <c r="E641" s="41" t="n">
        <f aca="false">C641/D641-1</f>
        <v>-0.476198600544648</v>
      </c>
      <c r="F641" s="42" t="n">
        <f aca="false">YEAR(A641)</f>
        <v>2015</v>
      </c>
    </row>
    <row r="642" customFormat="false" ht="15" hidden="false" customHeight="false" outlineLevel="0" collapsed="false">
      <c r="A642" s="38" t="n">
        <v>42319</v>
      </c>
      <c r="B642" s="39" t="n">
        <v>556.5</v>
      </c>
      <c r="C642" s="40" t="n">
        <v>708048.37</v>
      </c>
      <c r="D642" s="40" t="n">
        <f aca="false">MAX(D641,C642)</f>
        <v>1345220.48</v>
      </c>
      <c r="E642" s="41" t="n">
        <f aca="false">C642/D642-1</f>
        <v>-0.473656266369064</v>
      </c>
      <c r="F642" s="42" t="n">
        <f aca="false">YEAR(A642)</f>
        <v>2015</v>
      </c>
    </row>
    <row r="643" customFormat="false" ht="15" hidden="false" customHeight="false" outlineLevel="0" collapsed="false">
      <c r="A643" s="38" t="n">
        <v>42320</v>
      </c>
      <c r="B643" s="39" t="n">
        <v>555.5</v>
      </c>
      <c r="C643" s="40" t="n">
        <v>711468.37</v>
      </c>
      <c r="D643" s="40" t="n">
        <f aca="false">MAX(D642,C643)</f>
        <v>1345220.48</v>
      </c>
      <c r="E643" s="41" t="n">
        <f aca="false">C643/D643-1</f>
        <v>-0.47111393219348</v>
      </c>
      <c r="F643" s="42" t="n">
        <f aca="false">YEAR(A643)</f>
        <v>2015</v>
      </c>
    </row>
    <row r="644" customFormat="false" ht="15" hidden="false" customHeight="false" outlineLevel="0" collapsed="false">
      <c r="A644" s="38" t="n">
        <v>42321</v>
      </c>
      <c r="B644" s="39" t="n">
        <v>560.5</v>
      </c>
      <c r="C644" s="40" t="n">
        <v>694368.37</v>
      </c>
      <c r="D644" s="40" t="n">
        <f aca="false">MAX(D643,C644)</f>
        <v>1345220.48</v>
      </c>
      <c r="E644" s="41" t="n">
        <f aca="false">C644/D644-1</f>
        <v>-0.483825603071401</v>
      </c>
      <c r="F644" s="42" t="n">
        <f aca="false">YEAR(A644)</f>
        <v>2015</v>
      </c>
    </row>
    <row r="645" customFormat="false" ht="15" hidden="false" customHeight="false" outlineLevel="0" collapsed="false">
      <c r="A645" s="38" t="n">
        <v>42324</v>
      </c>
      <c r="B645" s="39" t="n">
        <v>558.5</v>
      </c>
      <c r="C645" s="40" t="n">
        <v>701208.37</v>
      </c>
      <c r="D645" s="40" t="n">
        <f aca="false">MAX(D644,C645)</f>
        <v>1345220.48</v>
      </c>
      <c r="E645" s="41" t="n">
        <f aca="false">C645/D645-1</f>
        <v>-0.478740934720233</v>
      </c>
      <c r="F645" s="42" t="n">
        <f aca="false">YEAR(A645)</f>
        <v>2015</v>
      </c>
    </row>
    <row r="646" customFormat="false" ht="15" hidden="false" customHeight="false" outlineLevel="0" collapsed="false">
      <c r="A646" s="38" t="n">
        <v>42325</v>
      </c>
      <c r="B646" s="39" t="n">
        <v>561.5</v>
      </c>
      <c r="C646" s="40" t="n">
        <v>690948.37</v>
      </c>
      <c r="D646" s="40" t="n">
        <f aca="false">MAX(D645,C646)</f>
        <v>1345220.48</v>
      </c>
      <c r="E646" s="41" t="n">
        <f aca="false">C646/D646-1</f>
        <v>-0.486367937246986</v>
      </c>
      <c r="F646" s="42" t="n">
        <f aca="false">YEAR(A646)</f>
        <v>2015</v>
      </c>
    </row>
    <row r="647" customFormat="false" ht="15" hidden="false" customHeight="false" outlineLevel="0" collapsed="false">
      <c r="A647" s="38" t="n">
        <v>42326</v>
      </c>
      <c r="B647" s="39" t="n">
        <v>554.5</v>
      </c>
      <c r="C647" s="40" t="n">
        <v>714888.37</v>
      </c>
      <c r="D647" s="40" t="n">
        <f aca="false">MAX(D646,C647)</f>
        <v>1345220.48</v>
      </c>
      <c r="E647" s="41" t="n">
        <f aca="false">C647/D647-1</f>
        <v>-0.468571598017895</v>
      </c>
      <c r="F647" s="42" t="n">
        <f aca="false">YEAR(A647)</f>
        <v>2015</v>
      </c>
    </row>
    <row r="648" customFormat="false" ht="15" hidden="false" customHeight="false" outlineLevel="0" collapsed="false">
      <c r="A648" s="38" t="n">
        <v>42327</v>
      </c>
      <c r="B648" s="39" t="n">
        <v>530</v>
      </c>
      <c r="C648" s="40" t="n">
        <v>798678.37</v>
      </c>
      <c r="D648" s="40" t="n">
        <f aca="false">MAX(D647,C648)</f>
        <v>1345220.48</v>
      </c>
      <c r="E648" s="41" t="n">
        <f aca="false">C648/D648-1</f>
        <v>-0.406284410716078</v>
      </c>
      <c r="F648" s="42" t="n">
        <f aca="false">YEAR(A648)</f>
        <v>2015</v>
      </c>
    </row>
    <row r="649" customFormat="false" ht="15" hidden="false" customHeight="false" outlineLevel="0" collapsed="false">
      <c r="A649" s="38" t="n">
        <v>42328</v>
      </c>
      <c r="B649" s="39" t="n">
        <v>523</v>
      </c>
      <c r="C649" s="40" t="n">
        <v>822618.37</v>
      </c>
      <c r="D649" s="40" t="n">
        <f aca="false">MAX(D648,C649)</f>
        <v>1345220.48</v>
      </c>
      <c r="E649" s="41" t="n">
        <f aca="false">C649/D649-1</f>
        <v>-0.388488071486988</v>
      </c>
      <c r="F649" s="42" t="n">
        <f aca="false">YEAR(A649)</f>
        <v>2015</v>
      </c>
    </row>
    <row r="650" customFormat="false" ht="15" hidden="false" customHeight="false" outlineLevel="0" collapsed="false">
      <c r="A650" s="38" t="n">
        <v>42331</v>
      </c>
      <c r="B650" s="39" t="n">
        <v>517</v>
      </c>
      <c r="C650" s="40" t="n">
        <v>843138.37</v>
      </c>
      <c r="D650" s="40" t="n">
        <f aca="false">MAX(D649,C650)</f>
        <v>1345220.48</v>
      </c>
      <c r="E650" s="41" t="n">
        <f aca="false">C650/D650-1</f>
        <v>-0.373234066433482</v>
      </c>
      <c r="F650" s="42" t="n">
        <f aca="false">YEAR(A650)</f>
        <v>2015</v>
      </c>
    </row>
    <row r="651" customFormat="false" ht="15" hidden="false" customHeight="false" outlineLevel="0" collapsed="false">
      <c r="A651" s="38" t="n">
        <v>42332</v>
      </c>
      <c r="B651" s="39" t="n">
        <v>525</v>
      </c>
      <c r="C651" s="40" t="n">
        <v>815778.37</v>
      </c>
      <c r="D651" s="40" t="n">
        <f aca="false">MAX(D650,C651)</f>
        <v>1345220.48</v>
      </c>
      <c r="E651" s="41" t="n">
        <f aca="false">C651/D651-1</f>
        <v>-0.393572739838156</v>
      </c>
      <c r="F651" s="42" t="n">
        <f aca="false">YEAR(A651)</f>
        <v>2015</v>
      </c>
    </row>
    <row r="652" customFormat="false" ht="15" hidden="false" customHeight="false" outlineLevel="0" collapsed="false">
      <c r="A652" s="38" t="n">
        <v>42333</v>
      </c>
      <c r="B652" s="39" t="n">
        <v>534</v>
      </c>
      <c r="C652" s="40" t="n">
        <v>784998.37</v>
      </c>
      <c r="D652" s="40" t="n">
        <f aca="false">MAX(D651,C652)</f>
        <v>1345220.48</v>
      </c>
      <c r="E652" s="41" t="n">
        <f aca="false">C652/D652-1</f>
        <v>-0.416453747418416</v>
      </c>
      <c r="F652" s="42" t="n">
        <f aca="false">YEAR(A652)</f>
        <v>2015</v>
      </c>
    </row>
    <row r="653" customFormat="false" ht="15" hidden="false" customHeight="false" outlineLevel="0" collapsed="false">
      <c r="A653" s="38" t="n">
        <v>42334</v>
      </c>
      <c r="B653" s="39" t="n">
        <v>540.5</v>
      </c>
      <c r="C653" s="40" t="n">
        <v>762768.37</v>
      </c>
      <c r="D653" s="40" t="n">
        <f aca="false">MAX(D652,C653)</f>
        <v>1345220.48</v>
      </c>
      <c r="E653" s="41" t="n">
        <f aca="false">C653/D653-1</f>
        <v>-0.432978919559714</v>
      </c>
      <c r="F653" s="42" t="n">
        <f aca="false">YEAR(A653)</f>
        <v>2015</v>
      </c>
    </row>
    <row r="654" customFormat="false" ht="15" hidden="false" customHeight="false" outlineLevel="0" collapsed="false">
      <c r="A654" s="38" t="n">
        <v>42335</v>
      </c>
      <c r="B654" s="39" t="n">
        <v>538</v>
      </c>
      <c r="C654" s="40" t="n">
        <v>771318.37</v>
      </c>
      <c r="D654" s="40" t="n">
        <f aca="false">MAX(D653,C654)</f>
        <v>1345220.48</v>
      </c>
      <c r="E654" s="41" t="n">
        <f aca="false">C654/D654-1</f>
        <v>-0.426623084120753</v>
      </c>
      <c r="F654" s="42" t="n">
        <f aca="false">YEAR(A654)</f>
        <v>2015</v>
      </c>
    </row>
    <row r="655" customFormat="false" ht="15" hidden="false" customHeight="false" outlineLevel="0" collapsed="false">
      <c r="A655" s="38" t="n">
        <v>42338</v>
      </c>
      <c r="B655" s="39" t="n">
        <v>534</v>
      </c>
      <c r="C655" s="40" t="n">
        <v>784998.37</v>
      </c>
      <c r="D655" s="40" t="n">
        <f aca="false">MAX(D654,C655)</f>
        <v>1345220.48</v>
      </c>
      <c r="E655" s="41" t="n">
        <f aca="false">C655/D655-1</f>
        <v>-0.416453747418416</v>
      </c>
      <c r="F655" s="42" t="n">
        <f aca="false">YEAR(A655)</f>
        <v>2015</v>
      </c>
    </row>
    <row r="656" customFormat="false" ht="15" hidden="false" customHeight="false" outlineLevel="0" collapsed="false">
      <c r="A656" s="38" t="n">
        <v>42339</v>
      </c>
      <c r="B656" s="39" t="n">
        <v>538</v>
      </c>
      <c r="C656" s="40" t="n">
        <v>771318.37</v>
      </c>
      <c r="D656" s="40" t="n">
        <f aca="false">MAX(D655,C656)</f>
        <v>1345220.48</v>
      </c>
      <c r="E656" s="41" t="n">
        <f aca="false">C656/D656-1</f>
        <v>-0.426623084120753</v>
      </c>
      <c r="F656" s="42" t="n">
        <f aca="false">YEAR(A656)</f>
        <v>2015</v>
      </c>
    </row>
    <row r="657" customFormat="false" ht="15" hidden="false" customHeight="false" outlineLevel="0" collapsed="false">
      <c r="A657" s="38" t="n">
        <v>42340</v>
      </c>
      <c r="B657" s="39" t="n">
        <v>540.5</v>
      </c>
      <c r="C657" s="40" t="n">
        <v>762768.37</v>
      </c>
      <c r="D657" s="40" t="n">
        <f aca="false">MAX(D656,C657)</f>
        <v>1345220.48</v>
      </c>
      <c r="E657" s="41" t="n">
        <f aca="false">C657/D657-1</f>
        <v>-0.432978919559714</v>
      </c>
      <c r="F657" s="42" t="n">
        <f aca="false">YEAR(A657)</f>
        <v>2015</v>
      </c>
    </row>
    <row r="658" customFormat="false" ht="15" hidden="false" customHeight="false" outlineLevel="0" collapsed="false">
      <c r="A658" s="38" t="n">
        <v>42341</v>
      </c>
      <c r="B658" s="39" t="n">
        <v>535.5</v>
      </c>
      <c r="C658" s="40" t="n">
        <v>779868.37</v>
      </c>
      <c r="D658" s="40" t="n">
        <f aca="false">MAX(D657,C658)</f>
        <v>1345220.48</v>
      </c>
      <c r="E658" s="41" t="n">
        <f aca="false">C658/D658-1</f>
        <v>-0.420267248681792</v>
      </c>
      <c r="F658" s="42" t="n">
        <f aca="false">YEAR(A658)</f>
        <v>2015</v>
      </c>
    </row>
    <row r="659" customFormat="false" ht="15" hidden="false" customHeight="false" outlineLevel="0" collapsed="false">
      <c r="A659" s="38" t="n">
        <v>42342</v>
      </c>
      <c r="B659" s="39" t="n">
        <v>534.5</v>
      </c>
      <c r="C659" s="40" t="n">
        <v>783288.37</v>
      </c>
      <c r="D659" s="40" t="n">
        <f aca="false">MAX(D658,C659)</f>
        <v>1345220.48</v>
      </c>
      <c r="E659" s="41" t="n">
        <f aca="false">C659/D659-1</f>
        <v>-0.417724914506208</v>
      </c>
      <c r="F659" s="42" t="n">
        <f aca="false">YEAR(A659)</f>
        <v>2015</v>
      </c>
    </row>
    <row r="660" customFormat="false" ht="15" hidden="false" customHeight="false" outlineLevel="0" collapsed="false">
      <c r="A660" s="38" t="n">
        <v>42345</v>
      </c>
      <c r="B660" s="39" t="n">
        <v>541</v>
      </c>
      <c r="C660" s="40" t="n">
        <v>761058.37</v>
      </c>
      <c r="D660" s="40" t="n">
        <f aca="false">MAX(D659,C660)</f>
        <v>1345220.48</v>
      </c>
      <c r="E660" s="41" t="n">
        <f aca="false">C660/D660-1</f>
        <v>-0.434250086647506</v>
      </c>
      <c r="F660" s="42" t="n">
        <f aca="false">YEAR(A660)</f>
        <v>2015</v>
      </c>
    </row>
    <row r="661" customFormat="false" ht="15" hidden="false" customHeight="false" outlineLevel="0" collapsed="false">
      <c r="A661" s="38" t="n">
        <v>42346</v>
      </c>
      <c r="B661" s="39" t="n">
        <v>536</v>
      </c>
      <c r="C661" s="40" t="n">
        <v>778158.37</v>
      </c>
      <c r="D661" s="40" t="n">
        <f aca="false">MAX(D660,C661)</f>
        <v>1345220.48</v>
      </c>
      <c r="E661" s="41" t="n">
        <f aca="false">C661/D661-1</f>
        <v>-0.421538415769585</v>
      </c>
      <c r="F661" s="42" t="n">
        <f aca="false">YEAR(A661)</f>
        <v>2015</v>
      </c>
    </row>
    <row r="662" customFormat="false" ht="15" hidden="false" customHeight="false" outlineLevel="0" collapsed="false">
      <c r="A662" s="38" t="n">
        <v>42347</v>
      </c>
      <c r="B662" s="39" t="n">
        <v>522</v>
      </c>
      <c r="C662" s="40" t="n">
        <v>826038.37</v>
      </c>
      <c r="D662" s="40" t="n">
        <f aca="false">MAX(D661,C662)</f>
        <v>1345220.48</v>
      </c>
      <c r="E662" s="41" t="n">
        <f aca="false">C662/D662-1</f>
        <v>-0.385945737311403</v>
      </c>
      <c r="F662" s="42" t="n">
        <f aca="false">YEAR(A662)</f>
        <v>2015</v>
      </c>
    </row>
    <row r="663" customFormat="false" ht="15" hidden="false" customHeight="false" outlineLevel="0" collapsed="false">
      <c r="A663" s="38" t="n">
        <v>42348</v>
      </c>
      <c r="B663" s="39" t="n">
        <v>525.5</v>
      </c>
      <c r="C663" s="40" t="n">
        <v>814068.37</v>
      </c>
      <c r="D663" s="40" t="n">
        <f aca="false">MAX(D662,C663)</f>
        <v>1345220.48</v>
      </c>
      <c r="E663" s="41" t="n">
        <f aca="false">C663/D663-1</f>
        <v>-0.394843906925949</v>
      </c>
      <c r="F663" s="42" t="n">
        <f aca="false">YEAR(A663)</f>
        <v>2015</v>
      </c>
    </row>
    <row r="664" customFormat="false" ht="15" hidden="false" customHeight="false" outlineLevel="0" collapsed="false">
      <c r="A664" s="38" t="n">
        <v>42349</v>
      </c>
      <c r="B664" s="39" t="n">
        <v>528</v>
      </c>
      <c r="C664" s="40" t="n">
        <v>805518.37</v>
      </c>
      <c r="D664" s="40" t="n">
        <f aca="false">MAX(D663,C664)</f>
        <v>1345220.48</v>
      </c>
      <c r="E664" s="41" t="n">
        <f aca="false">C664/D664-1</f>
        <v>-0.40119974236491</v>
      </c>
      <c r="F664" s="42" t="n">
        <f aca="false">YEAR(A664)</f>
        <v>2015</v>
      </c>
    </row>
    <row r="665" customFormat="false" ht="15" hidden="false" customHeight="false" outlineLevel="0" collapsed="false">
      <c r="A665" s="38" t="n">
        <v>42352</v>
      </c>
      <c r="B665" s="39" t="n">
        <v>532.5</v>
      </c>
      <c r="C665" s="40" t="n">
        <v>790128.37</v>
      </c>
      <c r="D665" s="40" t="n">
        <f aca="false">MAX(D664,C665)</f>
        <v>1345220.48</v>
      </c>
      <c r="E665" s="41" t="n">
        <f aca="false">C665/D665-1</f>
        <v>-0.412640246155039</v>
      </c>
      <c r="F665" s="42" t="n">
        <f aca="false">YEAR(A665)</f>
        <v>2015</v>
      </c>
    </row>
    <row r="666" customFormat="false" ht="15" hidden="false" customHeight="false" outlineLevel="0" collapsed="false">
      <c r="A666" s="38" t="n">
        <v>42353</v>
      </c>
      <c r="B666" s="39" t="n">
        <v>529.5</v>
      </c>
      <c r="C666" s="40" t="n">
        <v>800388.37</v>
      </c>
      <c r="D666" s="40" t="n">
        <f aca="false">MAX(D665,C666)</f>
        <v>1345220.48</v>
      </c>
      <c r="E666" s="41" t="n">
        <f aca="false">C666/D666-1</f>
        <v>-0.405013243628286</v>
      </c>
      <c r="F666" s="42" t="n">
        <f aca="false">YEAR(A666)</f>
        <v>2015</v>
      </c>
    </row>
    <row r="667" customFormat="false" ht="15" hidden="false" customHeight="false" outlineLevel="0" collapsed="false">
      <c r="A667" s="38" t="n">
        <v>42354</v>
      </c>
      <c r="B667" s="39" t="n">
        <v>530.5</v>
      </c>
      <c r="C667" s="40" t="n">
        <v>796968.37</v>
      </c>
      <c r="D667" s="40" t="n">
        <f aca="false">MAX(D666,C667)</f>
        <v>1345220.48</v>
      </c>
      <c r="E667" s="41" t="n">
        <f aca="false">C667/D667-1</f>
        <v>-0.407555577803871</v>
      </c>
      <c r="F667" s="42" t="n">
        <f aca="false">YEAR(A667)</f>
        <v>2015</v>
      </c>
    </row>
    <row r="668" customFormat="false" ht="15" hidden="false" customHeight="false" outlineLevel="0" collapsed="false">
      <c r="A668" s="38" t="n">
        <v>42355</v>
      </c>
      <c r="B668" s="39" t="n">
        <v>532</v>
      </c>
      <c r="C668" s="40" t="n">
        <v>791838.37</v>
      </c>
      <c r="D668" s="40" t="n">
        <f aca="false">MAX(D667,C668)</f>
        <v>1345220.48</v>
      </c>
      <c r="E668" s="41" t="n">
        <f aca="false">C668/D668-1</f>
        <v>-0.411369079067247</v>
      </c>
      <c r="F668" s="42" t="n">
        <f aca="false">YEAR(A668)</f>
        <v>2015</v>
      </c>
    </row>
    <row r="669" customFormat="false" ht="15" hidden="false" customHeight="false" outlineLevel="0" collapsed="false">
      <c r="A669" s="38" t="n">
        <v>42356</v>
      </c>
      <c r="B669" s="39" t="n">
        <v>545</v>
      </c>
      <c r="C669" s="40" t="n">
        <v>789945.68</v>
      </c>
      <c r="D669" s="40" t="n">
        <f aca="false">MAX(D668,C669)</f>
        <v>1345220.48</v>
      </c>
      <c r="E669" s="41" t="n">
        <f aca="false">C669/D669-1</f>
        <v>-0.412776052889114</v>
      </c>
      <c r="F669" s="42" t="n">
        <f aca="false">YEAR(A669)</f>
        <v>2015</v>
      </c>
    </row>
    <row r="670" customFormat="false" ht="15" hidden="false" customHeight="false" outlineLevel="0" collapsed="false">
      <c r="A670" s="38" t="n">
        <v>42359</v>
      </c>
      <c r="B670" s="39" t="n">
        <v>553</v>
      </c>
      <c r="C670" s="40" t="n">
        <v>834617.38</v>
      </c>
      <c r="D670" s="40" t="n">
        <f aca="false">MAX(D669,C670)</f>
        <v>1345220.48</v>
      </c>
      <c r="E670" s="41" t="n">
        <f aca="false">C670/D670-1</f>
        <v>-0.379568336634304</v>
      </c>
      <c r="F670" s="42" t="n">
        <f aca="false">YEAR(A670)</f>
        <v>2015</v>
      </c>
    </row>
    <row r="671" customFormat="false" ht="15" hidden="false" customHeight="false" outlineLevel="0" collapsed="false">
      <c r="A671" s="38" t="n">
        <v>42360</v>
      </c>
      <c r="B671" s="39" t="n">
        <v>552.5</v>
      </c>
      <c r="C671" s="40" t="n">
        <v>831617.38</v>
      </c>
      <c r="D671" s="40" t="n">
        <f aca="false">MAX(D670,C671)</f>
        <v>1345220.48</v>
      </c>
      <c r="E671" s="41" t="n">
        <f aca="false">C671/D671-1</f>
        <v>-0.381798454332185</v>
      </c>
      <c r="F671" s="42" t="n">
        <f aca="false">YEAR(A671)</f>
        <v>2015</v>
      </c>
    </row>
    <row r="672" customFormat="false" ht="15" hidden="false" customHeight="false" outlineLevel="0" collapsed="false">
      <c r="A672" s="38" t="n">
        <v>42361</v>
      </c>
      <c r="B672" s="39" t="n">
        <v>550</v>
      </c>
      <c r="C672" s="40" t="n">
        <v>816617.38</v>
      </c>
      <c r="D672" s="40" t="n">
        <f aca="false">MAX(D671,C672)</f>
        <v>1345220.48</v>
      </c>
      <c r="E672" s="41" t="n">
        <f aca="false">C672/D672-1</f>
        <v>-0.39294904282159</v>
      </c>
      <c r="F672" s="42" t="n">
        <f aca="false">YEAR(A672)</f>
        <v>2015</v>
      </c>
    </row>
    <row r="673" customFormat="false" ht="15" hidden="false" customHeight="false" outlineLevel="0" collapsed="false">
      <c r="A673" s="38" t="n">
        <v>42362</v>
      </c>
      <c r="B673" s="39" t="n">
        <v>551.5</v>
      </c>
      <c r="C673" s="40" t="n">
        <v>825617.38</v>
      </c>
      <c r="D673" s="40" t="n">
        <f aca="false">MAX(D672,C673)</f>
        <v>1345220.48</v>
      </c>
      <c r="E673" s="41" t="n">
        <f aca="false">C673/D673-1</f>
        <v>-0.386258689727947</v>
      </c>
      <c r="F673" s="42" t="n">
        <f aca="false">YEAR(A673)</f>
        <v>2015</v>
      </c>
    </row>
    <row r="674" customFormat="false" ht="15" hidden="false" customHeight="false" outlineLevel="0" collapsed="false">
      <c r="A674" s="38" t="n">
        <v>42363</v>
      </c>
      <c r="B674" s="39" t="n">
        <v>549</v>
      </c>
      <c r="C674" s="40" t="n">
        <v>810617.38</v>
      </c>
      <c r="D674" s="40" t="n">
        <f aca="false">MAX(D673,C674)</f>
        <v>1345220.48</v>
      </c>
      <c r="E674" s="41" t="n">
        <f aca="false">C674/D674-1</f>
        <v>-0.397409278217352</v>
      </c>
      <c r="F674" s="42" t="n">
        <f aca="false">YEAR(A674)</f>
        <v>2015</v>
      </c>
    </row>
    <row r="675" customFormat="false" ht="15" hidden="false" customHeight="false" outlineLevel="0" collapsed="false">
      <c r="A675" s="38" t="n">
        <v>42366</v>
      </c>
      <c r="B675" s="39" t="n">
        <v>547.5</v>
      </c>
      <c r="C675" s="40" t="n">
        <v>801617.38</v>
      </c>
      <c r="D675" s="40" t="n">
        <f aca="false">MAX(D674,C675)</f>
        <v>1345220.48</v>
      </c>
      <c r="E675" s="41" t="n">
        <f aca="false">C675/D675-1</f>
        <v>-0.404099631310995</v>
      </c>
      <c r="F675" s="42" t="n">
        <f aca="false">YEAR(A675)</f>
        <v>2015</v>
      </c>
    </row>
    <row r="676" customFormat="false" ht="15" hidden="false" customHeight="false" outlineLevel="0" collapsed="false">
      <c r="A676" s="38" t="n">
        <v>42367</v>
      </c>
      <c r="B676" s="39" t="n">
        <v>559</v>
      </c>
      <c r="C676" s="40" t="n">
        <v>870617.38</v>
      </c>
      <c r="D676" s="40" t="n">
        <f aca="false">MAX(D675,C676)</f>
        <v>1345220.48</v>
      </c>
      <c r="E676" s="41" t="n">
        <f aca="false">C676/D676-1</f>
        <v>-0.352806924259732</v>
      </c>
      <c r="F676" s="42" t="n">
        <f aca="false">YEAR(A676)</f>
        <v>2015</v>
      </c>
    </row>
    <row r="677" customFormat="false" ht="15" hidden="false" customHeight="false" outlineLevel="0" collapsed="false">
      <c r="A677" s="38" t="n">
        <v>42368</v>
      </c>
      <c r="B677" s="39" t="n">
        <v>561</v>
      </c>
      <c r="C677" s="40" t="n">
        <v>882617.38</v>
      </c>
      <c r="D677" s="40" t="n">
        <f aca="false">MAX(D676,C677)</f>
        <v>1345220.48</v>
      </c>
      <c r="E677" s="41" t="n">
        <f aca="false">C677/D677-1</f>
        <v>-0.343886453468208</v>
      </c>
      <c r="F677" s="42" t="n">
        <f aca="false">YEAR(A677)</f>
        <v>2015</v>
      </c>
    </row>
    <row r="678" customFormat="false" ht="15" hidden="false" customHeight="false" outlineLevel="0" collapsed="false">
      <c r="A678" s="38" t="n">
        <v>42369</v>
      </c>
      <c r="B678" s="39" t="n">
        <v>566</v>
      </c>
      <c r="C678" s="40" t="n">
        <v>912617.38</v>
      </c>
      <c r="D678" s="40" t="n">
        <f aca="false">MAX(D677,C678)</f>
        <v>1345220.48</v>
      </c>
      <c r="E678" s="41" t="n">
        <f aca="false">C678/D678-1</f>
        <v>-0.321585276489398</v>
      </c>
      <c r="F678" s="42" t="n">
        <f aca="false">YEAR(A678)</f>
        <v>2015</v>
      </c>
    </row>
    <row r="679" customFormat="false" ht="15" hidden="false" customHeight="false" outlineLevel="0" collapsed="false">
      <c r="A679" s="38" t="n">
        <v>42373</v>
      </c>
      <c r="B679" s="39" t="n">
        <v>556.5</v>
      </c>
      <c r="C679" s="40" t="n">
        <v>855617.38</v>
      </c>
      <c r="D679" s="40" t="n">
        <f aca="false">MAX(D678,C679)</f>
        <v>1345220.48</v>
      </c>
      <c r="E679" s="41" t="n">
        <f aca="false">C679/D679-1</f>
        <v>-0.363957512749137</v>
      </c>
      <c r="F679" s="42" t="n">
        <f aca="false">YEAR(A679)</f>
        <v>2016</v>
      </c>
    </row>
    <row r="680" customFormat="false" ht="15" hidden="false" customHeight="false" outlineLevel="0" collapsed="false">
      <c r="A680" s="38" t="n">
        <v>42374</v>
      </c>
      <c r="B680" s="39" t="n">
        <v>562</v>
      </c>
      <c r="C680" s="40" t="n">
        <v>888617.38</v>
      </c>
      <c r="D680" s="40" t="n">
        <f aca="false">MAX(D679,C680)</f>
        <v>1345220.48</v>
      </c>
      <c r="E680" s="41" t="n">
        <f aca="false">C680/D680-1</f>
        <v>-0.339426218072446</v>
      </c>
      <c r="F680" s="42" t="n">
        <f aca="false">YEAR(A680)</f>
        <v>2016</v>
      </c>
    </row>
    <row r="681" customFormat="false" ht="15" hidden="false" customHeight="false" outlineLevel="0" collapsed="false">
      <c r="A681" s="38" t="n">
        <v>42375</v>
      </c>
      <c r="B681" s="39" t="n">
        <v>551.5</v>
      </c>
      <c r="C681" s="40" t="n">
        <v>825617.38</v>
      </c>
      <c r="D681" s="40" t="n">
        <f aca="false">MAX(D680,C681)</f>
        <v>1345220.48</v>
      </c>
      <c r="E681" s="41" t="n">
        <f aca="false">C681/D681-1</f>
        <v>-0.386258689727947</v>
      </c>
      <c r="F681" s="42" t="n">
        <f aca="false">YEAR(A681)</f>
        <v>2016</v>
      </c>
    </row>
    <row r="682" customFormat="false" ht="15" hidden="false" customHeight="false" outlineLevel="0" collapsed="false">
      <c r="A682" s="38" t="n">
        <v>42376</v>
      </c>
      <c r="B682" s="39" t="n">
        <v>551</v>
      </c>
      <c r="C682" s="40" t="n">
        <v>822617.38</v>
      </c>
      <c r="D682" s="40" t="n">
        <f aca="false">MAX(D681,C682)</f>
        <v>1345220.48</v>
      </c>
      <c r="E682" s="41" t="n">
        <f aca="false">C682/D682-1</f>
        <v>-0.388488807425828</v>
      </c>
      <c r="F682" s="42" t="n">
        <f aca="false">YEAR(A682)</f>
        <v>2016</v>
      </c>
    </row>
    <row r="683" customFormat="false" ht="15" hidden="false" customHeight="false" outlineLevel="0" collapsed="false">
      <c r="A683" s="38" t="n">
        <v>42377</v>
      </c>
      <c r="B683" s="39" t="n">
        <v>551.5</v>
      </c>
      <c r="C683" s="40" t="n">
        <v>825617.38</v>
      </c>
      <c r="D683" s="40" t="n">
        <f aca="false">MAX(D682,C683)</f>
        <v>1345220.48</v>
      </c>
      <c r="E683" s="41" t="n">
        <f aca="false">C683/D683-1</f>
        <v>-0.386258689727947</v>
      </c>
      <c r="F683" s="42" t="n">
        <f aca="false">YEAR(A683)</f>
        <v>2016</v>
      </c>
    </row>
    <row r="684" customFormat="false" ht="15" hidden="false" customHeight="false" outlineLevel="0" collapsed="false">
      <c r="A684" s="38" t="n">
        <v>42380</v>
      </c>
      <c r="B684" s="39" t="n">
        <v>551</v>
      </c>
      <c r="C684" s="40" t="n">
        <v>822617.38</v>
      </c>
      <c r="D684" s="40" t="n">
        <f aca="false">MAX(D683,C684)</f>
        <v>1345220.48</v>
      </c>
      <c r="E684" s="41" t="n">
        <f aca="false">C684/D684-1</f>
        <v>-0.388488807425828</v>
      </c>
      <c r="F684" s="42" t="n">
        <f aca="false">YEAR(A684)</f>
        <v>2016</v>
      </c>
    </row>
    <row r="685" customFormat="false" ht="15" hidden="false" customHeight="false" outlineLevel="0" collapsed="false">
      <c r="A685" s="38" t="n">
        <v>42381</v>
      </c>
      <c r="B685" s="39" t="n">
        <v>537.5</v>
      </c>
      <c r="C685" s="40" t="n">
        <v>741617.38</v>
      </c>
      <c r="D685" s="40" t="n">
        <f aca="false">MAX(D684,C685)</f>
        <v>1345220.48</v>
      </c>
      <c r="E685" s="41" t="n">
        <f aca="false">C685/D685-1</f>
        <v>-0.448701985268616</v>
      </c>
      <c r="F685" s="42" t="n">
        <f aca="false">YEAR(A685)</f>
        <v>2016</v>
      </c>
    </row>
    <row r="686" customFormat="false" ht="15" hidden="false" customHeight="false" outlineLevel="0" collapsed="false">
      <c r="A686" s="38" t="n">
        <v>42382</v>
      </c>
      <c r="B686" s="39" t="n">
        <v>532</v>
      </c>
      <c r="C686" s="40" t="n">
        <v>708617.38</v>
      </c>
      <c r="D686" s="40" t="n">
        <f aca="false">MAX(D685,C686)</f>
        <v>1345220.48</v>
      </c>
      <c r="E686" s="41" t="n">
        <f aca="false">C686/D686-1</f>
        <v>-0.473233279945307</v>
      </c>
      <c r="F686" s="42" t="n">
        <f aca="false">YEAR(A686)</f>
        <v>2016</v>
      </c>
    </row>
    <row r="687" customFormat="false" ht="15" hidden="false" customHeight="false" outlineLevel="0" collapsed="false">
      <c r="A687" s="38" t="n">
        <v>42383</v>
      </c>
      <c r="B687" s="39" t="n">
        <v>534</v>
      </c>
      <c r="C687" s="40" t="n">
        <v>705297.48</v>
      </c>
      <c r="D687" s="40" t="n">
        <f aca="false">MAX(D686,C687)</f>
        <v>1345220.48</v>
      </c>
      <c r="E687" s="41" t="n">
        <f aca="false">C687/D687-1</f>
        <v>-0.475701202527039</v>
      </c>
      <c r="F687" s="42" t="n">
        <f aca="false">YEAR(A687)</f>
        <v>2016</v>
      </c>
    </row>
    <row r="688" customFormat="false" ht="15" hidden="false" customHeight="false" outlineLevel="0" collapsed="false">
      <c r="A688" s="38" t="n">
        <v>42384</v>
      </c>
      <c r="B688" s="39" t="n">
        <v>525.5</v>
      </c>
      <c r="C688" s="40" t="n">
        <v>705297.48</v>
      </c>
      <c r="D688" s="40" t="n">
        <f aca="false">MAX(D687,C688)</f>
        <v>1345220.48</v>
      </c>
      <c r="E688" s="41" t="n">
        <f aca="false">C688/D688-1</f>
        <v>-0.475701202527039</v>
      </c>
      <c r="F688" s="42" t="n">
        <f aca="false">YEAR(A688)</f>
        <v>2016</v>
      </c>
    </row>
    <row r="689" customFormat="false" ht="15" hidden="false" customHeight="false" outlineLevel="0" collapsed="false">
      <c r="A689" s="38" t="n">
        <v>42387</v>
      </c>
      <c r="B689" s="39" t="n">
        <v>540</v>
      </c>
      <c r="C689" s="40" t="n">
        <v>705297.48</v>
      </c>
      <c r="D689" s="40" t="n">
        <f aca="false">MAX(D688,C689)</f>
        <v>1345220.48</v>
      </c>
      <c r="E689" s="41" t="n">
        <f aca="false">C689/D689-1</f>
        <v>-0.475701202527039</v>
      </c>
      <c r="F689" s="42" t="n">
        <f aca="false">YEAR(A689)</f>
        <v>2016</v>
      </c>
    </row>
    <row r="690" customFormat="false" ht="15" hidden="false" customHeight="false" outlineLevel="0" collapsed="false">
      <c r="A690" s="38" t="n">
        <v>42388</v>
      </c>
      <c r="B690" s="39" t="n">
        <v>541</v>
      </c>
      <c r="C690" s="40" t="n">
        <v>705297.48</v>
      </c>
      <c r="D690" s="40" t="n">
        <f aca="false">MAX(D689,C690)</f>
        <v>1345220.48</v>
      </c>
      <c r="E690" s="41" t="n">
        <f aca="false">C690/D690-1</f>
        <v>-0.475701202527039</v>
      </c>
      <c r="F690" s="42" t="n">
        <f aca="false">YEAR(A690)</f>
        <v>2016</v>
      </c>
    </row>
    <row r="691" customFormat="false" ht="15" hidden="false" customHeight="false" outlineLevel="0" collapsed="false">
      <c r="A691" s="38" t="n">
        <v>42389</v>
      </c>
      <c r="B691" s="39" t="n">
        <v>535.5</v>
      </c>
      <c r="C691" s="40" t="n">
        <v>705297.48</v>
      </c>
      <c r="D691" s="40" t="n">
        <f aca="false">MAX(D690,C691)</f>
        <v>1345220.48</v>
      </c>
      <c r="E691" s="41" t="n">
        <f aca="false">C691/D691-1</f>
        <v>-0.475701202527039</v>
      </c>
      <c r="F691" s="42" t="n">
        <f aca="false">YEAR(A691)</f>
        <v>2016</v>
      </c>
    </row>
    <row r="692" customFormat="false" ht="15" hidden="false" customHeight="false" outlineLevel="0" collapsed="false">
      <c r="A692" s="38" t="n">
        <v>42390</v>
      </c>
      <c r="B692" s="39" t="n">
        <v>529.5</v>
      </c>
      <c r="C692" s="40" t="n">
        <v>705297.48</v>
      </c>
      <c r="D692" s="40" t="n">
        <f aca="false">MAX(D691,C692)</f>
        <v>1345220.48</v>
      </c>
      <c r="E692" s="41" t="n">
        <f aca="false">C692/D692-1</f>
        <v>-0.475701202527039</v>
      </c>
      <c r="F692" s="42" t="n">
        <f aca="false">YEAR(A692)</f>
        <v>2016</v>
      </c>
    </row>
    <row r="693" customFormat="false" ht="15" hidden="false" customHeight="false" outlineLevel="0" collapsed="false">
      <c r="A693" s="38" t="n">
        <v>42391</v>
      </c>
      <c r="B693" s="39" t="n">
        <v>544</v>
      </c>
      <c r="C693" s="40" t="n">
        <v>705297.48</v>
      </c>
      <c r="D693" s="40" t="n">
        <f aca="false">MAX(D692,C693)</f>
        <v>1345220.48</v>
      </c>
      <c r="E693" s="41" t="n">
        <f aca="false">C693/D693-1</f>
        <v>-0.475701202527039</v>
      </c>
      <c r="F693" s="42" t="n">
        <f aca="false">YEAR(A693)</f>
        <v>2016</v>
      </c>
    </row>
    <row r="694" customFormat="false" ht="15" hidden="false" customHeight="false" outlineLevel="0" collapsed="false">
      <c r="A694" s="38" t="n">
        <v>42394</v>
      </c>
      <c r="B694" s="39" t="n">
        <v>543</v>
      </c>
      <c r="C694" s="40" t="n">
        <v>705297.48</v>
      </c>
      <c r="D694" s="40" t="n">
        <f aca="false">MAX(D693,C694)</f>
        <v>1345220.48</v>
      </c>
      <c r="E694" s="41" t="n">
        <f aca="false">C694/D694-1</f>
        <v>-0.475701202527039</v>
      </c>
      <c r="F694" s="42" t="n">
        <f aca="false">YEAR(A694)</f>
        <v>2016</v>
      </c>
    </row>
    <row r="695" customFormat="false" ht="15" hidden="false" customHeight="false" outlineLevel="0" collapsed="false">
      <c r="A695" s="38" t="n">
        <v>42395</v>
      </c>
      <c r="B695" s="39" t="n">
        <v>549.5</v>
      </c>
      <c r="C695" s="40" t="n">
        <v>705297.48</v>
      </c>
      <c r="D695" s="40" t="n">
        <f aca="false">MAX(D694,C695)</f>
        <v>1345220.48</v>
      </c>
      <c r="E695" s="41" t="n">
        <f aca="false">C695/D695-1</f>
        <v>-0.475701202527039</v>
      </c>
      <c r="F695" s="42" t="n">
        <f aca="false">YEAR(A695)</f>
        <v>2016</v>
      </c>
    </row>
    <row r="696" customFormat="false" ht="15" hidden="false" customHeight="false" outlineLevel="0" collapsed="false">
      <c r="A696" s="38" t="n">
        <v>42396</v>
      </c>
      <c r="B696" s="39" t="n">
        <v>558.5</v>
      </c>
      <c r="C696" s="40" t="n">
        <v>705297.48</v>
      </c>
      <c r="D696" s="40" t="n">
        <f aca="false">MAX(D695,C696)</f>
        <v>1345220.48</v>
      </c>
      <c r="E696" s="41" t="n">
        <f aca="false">C696/D696-1</f>
        <v>-0.475701202527039</v>
      </c>
      <c r="F696" s="42" t="n">
        <f aca="false">YEAR(A696)</f>
        <v>2016</v>
      </c>
    </row>
    <row r="697" customFormat="false" ht="15" hidden="false" customHeight="false" outlineLevel="0" collapsed="false">
      <c r="A697" s="38" t="n">
        <v>42397</v>
      </c>
      <c r="B697" s="39" t="n">
        <v>550.5</v>
      </c>
      <c r="C697" s="40" t="n">
        <v>705297.48</v>
      </c>
      <c r="D697" s="40" t="n">
        <f aca="false">MAX(D696,C697)</f>
        <v>1345220.48</v>
      </c>
      <c r="E697" s="41" t="n">
        <f aca="false">C697/D697-1</f>
        <v>-0.475701202527039</v>
      </c>
      <c r="F697" s="42" t="n">
        <f aca="false">YEAR(A697)</f>
        <v>2016</v>
      </c>
    </row>
    <row r="698" customFormat="false" ht="15" hidden="false" customHeight="false" outlineLevel="0" collapsed="false">
      <c r="A698" s="38" t="n">
        <v>42398</v>
      </c>
      <c r="B698" s="39" t="n">
        <v>553</v>
      </c>
      <c r="C698" s="40" t="n">
        <v>705297.48</v>
      </c>
      <c r="D698" s="40" t="n">
        <f aca="false">MAX(D697,C698)</f>
        <v>1345220.48</v>
      </c>
      <c r="E698" s="41" t="n">
        <f aca="false">C698/D698-1</f>
        <v>-0.475701202527039</v>
      </c>
      <c r="F698" s="42" t="n">
        <f aca="false">YEAR(A698)</f>
        <v>2016</v>
      </c>
    </row>
    <row r="699" customFormat="false" ht="15" hidden="false" customHeight="false" outlineLevel="0" collapsed="false">
      <c r="A699" s="38" t="n">
        <v>42401</v>
      </c>
      <c r="B699" s="39" t="n">
        <v>556</v>
      </c>
      <c r="C699" s="40" t="n">
        <v>705297.48</v>
      </c>
      <c r="D699" s="40" t="n">
        <f aca="false">MAX(D698,C699)</f>
        <v>1345220.48</v>
      </c>
      <c r="E699" s="41" t="n">
        <f aca="false">C699/D699-1</f>
        <v>-0.475701202527039</v>
      </c>
      <c r="F699" s="42" t="n">
        <f aca="false">YEAR(A699)</f>
        <v>2016</v>
      </c>
    </row>
    <row r="700" customFormat="false" ht="15" hidden="false" customHeight="false" outlineLevel="0" collapsed="false">
      <c r="A700" s="38" t="n">
        <v>42402</v>
      </c>
      <c r="B700" s="39" t="n">
        <v>556.5</v>
      </c>
      <c r="C700" s="40" t="n">
        <v>705297.48</v>
      </c>
      <c r="D700" s="40" t="n">
        <f aca="false">MAX(D699,C700)</f>
        <v>1345220.48</v>
      </c>
      <c r="E700" s="41" t="n">
        <f aca="false">C700/D700-1</f>
        <v>-0.475701202527039</v>
      </c>
      <c r="F700" s="42" t="n">
        <f aca="false">YEAR(A700)</f>
        <v>2016</v>
      </c>
    </row>
    <row r="701" customFormat="false" ht="15" hidden="false" customHeight="false" outlineLevel="0" collapsed="false">
      <c r="A701" s="38" t="n">
        <v>42403</v>
      </c>
      <c r="B701" s="39" t="n">
        <v>557</v>
      </c>
      <c r="C701" s="40" t="n">
        <v>705297.48</v>
      </c>
      <c r="D701" s="40" t="n">
        <f aca="false">MAX(D700,C701)</f>
        <v>1345220.48</v>
      </c>
      <c r="E701" s="41" t="n">
        <f aca="false">C701/D701-1</f>
        <v>-0.475701202527039</v>
      </c>
      <c r="F701" s="42" t="n">
        <f aca="false">YEAR(A701)</f>
        <v>2016</v>
      </c>
    </row>
    <row r="702" customFormat="false" ht="15" hidden="false" customHeight="false" outlineLevel="0" collapsed="false">
      <c r="A702" s="38" t="n">
        <v>42404</v>
      </c>
      <c r="B702" s="39" t="n">
        <v>562</v>
      </c>
      <c r="C702" s="40" t="n">
        <v>705297.48</v>
      </c>
      <c r="D702" s="40" t="n">
        <f aca="false">MAX(D701,C702)</f>
        <v>1345220.48</v>
      </c>
      <c r="E702" s="41" t="n">
        <f aca="false">C702/D702-1</f>
        <v>-0.475701202527039</v>
      </c>
      <c r="F702" s="42" t="n">
        <f aca="false">YEAR(A702)</f>
        <v>2016</v>
      </c>
    </row>
    <row r="703" customFormat="false" ht="15" hidden="false" customHeight="false" outlineLevel="0" collapsed="false">
      <c r="A703" s="38" t="n">
        <v>42405</v>
      </c>
      <c r="B703" s="39" t="n">
        <v>556</v>
      </c>
      <c r="C703" s="40" t="n">
        <v>705297.48</v>
      </c>
      <c r="D703" s="40" t="n">
        <f aca="false">MAX(D702,C703)</f>
        <v>1345220.48</v>
      </c>
      <c r="E703" s="41" t="n">
        <f aca="false">C703/D703-1</f>
        <v>-0.475701202527039</v>
      </c>
      <c r="F703" s="42" t="n">
        <f aca="false">YEAR(A703)</f>
        <v>2016</v>
      </c>
    </row>
    <row r="704" customFormat="false" ht="15" hidden="false" customHeight="false" outlineLevel="0" collapsed="false">
      <c r="A704" s="38" t="n">
        <v>42415</v>
      </c>
      <c r="B704" s="39" t="n">
        <v>556.5</v>
      </c>
      <c r="C704" s="40" t="n">
        <v>705297.48</v>
      </c>
      <c r="D704" s="40" t="n">
        <f aca="false">MAX(D703,C704)</f>
        <v>1345220.48</v>
      </c>
      <c r="E704" s="41" t="n">
        <f aca="false">C704/D704-1</f>
        <v>-0.475701202527039</v>
      </c>
      <c r="F704" s="42" t="n">
        <f aca="false">YEAR(A704)</f>
        <v>2016</v>
      </c>
    </row>
    <row r="705" customFormat="false" ht="15" hidden="false" customHeight="false" outlineLevel="0" collapsed="false">
      <c r="A705" s="38" t="n">
        <v>42416</v>
      </c>
      <c r="B705" s="39" t="n">
        <v>564</v>
      </c>
      <c r="C705" s="40" t="n">
        <v>705297.48</v>
      </c>
      <c r="D705" s="40" t="n">
        <f aca="false">MAX(D704,C705)</f>
        <v>1345220.48</v>
      </c>
      <c r="E705" s="41" t="n">
        <f aca="false">C705/D705-1</f>
        <v>-0.475701202527039</v>
      </c>
      <c r="F705" s="42" t="n">
        <f aca="false">YEAR(A705)</f>
        <v>2016</v>
      </c>
    </row>
    <row r="706" customFormat="false" ht="15" hidden="false" customHeight="false" outlineLevel="0" collapsed="false">
      <c r="A706" s="38" t="n">
        <v>42417</v>
      </c>
      <c r="B706" s="39" t="n">
        <v>560.5</v>
      </c>
      <c r="C706" s="40" t="n">
        <v>681785.08</v>
      </c>
      <c r="D706" s="40" t="n">
        <f aca="false">MAX(D705,C706)</f>
        <v>1345220.48</v>
      </c>
      <c r="E706" s="41" t="n">
        <f aca="false">C706/D706-1</f>
        <v>-0.493179675646924</v>
      </c>
      <c r="F706" s="42" t="n">
        <f aca="false">YEAR(A706)</f>
        <v>2016</v>
      </c>
    </row>
    <row r="707" customFormat="false" ht="15" hidden="false" customHeight="false" outlineLevel="0" collapsed="false">
      <c r="A707" s="38" t="n">
        <v>42418</v>
      </c>
      <c r="B707" s="39" t="n">
        <v>565.5</v>
      </c>
      <c r="C707" s="40" t="n">
        <v>707585.08</v>
      </c>
      <c r="D707" s="40" t="n">
        <f aca="false">MAX(D706,C707)</f>
        <v>1345220.48</v>
      </c>
      <c r="E707" s="41" t="n">
        <f aca="false">C707/D707-1</f>
        <v>-0.474000663445148</v>
      </c>
      <c r="F707" s="42" t="n">
        <f aca="false">YEAR(A707)</f>
        <v>2016</v>
      </c>
    </row>
    <row r="708" customFormat="false" ht="15" hidden="false" customHeight="false" outlineLevel="0" collapsed="false">
      <c r="A708" s="38" t="n">
        <v>42419</v>
      </c>
      <c r="B708" s="39" t="n">
        <v>568.5</v>
      </c>
      <c r="C708" s="40" t="n">
        <v>723065.08</v>
      </c>
      <c r="D708" s="40" t="n">
        <f aca="false">MAX(D707,C708)</f>
        <v>1345220.48</v>
      </c>
      <c r="E708" s="41" t="n">
        <f aca="false">C708/D708-1</f>
        <v>-0.462493256124082</v>
      </c>
      <c r="F708" s="42" t="n">
        <f aca="false">YEAR(A708)</f>
        <v>2016</v>
      </c>
    </row>
    <row r="709" customFormat="false" ht="15" hidden="false" customHeight="false" outlineLevel="0" collapsed="false">
      <c r="A709" s="38" t="n">
        <v>42422</v>
      </c>
      <c r="B709" s="39" t="n">
        <v>591.5</v>
      </c>
      <c r="C709" s="40" t="n">
        <v>841745.08</v>
      </c>
      <c r="D709" s="40" t="n">
        <f aca="false">MAX(D708,C709)</f>
        <v>1345220.48</v>
      </c>
      <c r="E709" s="41" t="n">
        <f aca="false">C709/D709-1</f>
        <v>-0.374269799995909</v>
      </c>
      <c r="F709" s="42" t="n">
        <f aca="false">YEAR(A709)</f>
        <v>2016</v>
      </c>
    </row>
    <row r="710" customFormat="false" ht="15" hidden="false" customHeight="false" outlineLevel="0" collapsed="false">
      <c r="A710" s="38" t="n">
        <v>42423</v>
      </c>
      <c r="B710" s="39" t="n">
        <v>597.5</v>
      </c>
      <c r="C710" s="40" t="n">
        <v>872705.08</v>
      </c>
      <c r="D710" s="40" t="n">
        <f aca="false">MAX(D709,C710)</f>
        <v>1345220.48</v>
      </c>
      <c r="E710" s="41" t="n">
        <f aca="false">C710/D710-1</f>
        <v>-0.351254985353776</v>
      </c>
      <c r="F710" s="42" t="n">
        <f aca="false">YEAR(A710)</f>
        <v>2016</v>
      </c>
    </row>
    <row r="711" customFormat="false" ht="15" hidden="false" customHeight="false" outlineLevel="0" collapsed="false">
      <c r="A711" s="38" t="n">
        <v>42424</v>
      </c>
      <c r="B711" s="39" t="n">
        <v>609</v>
      </c>
      <c r="C711" s="40" t="n">
        <v>932045.08</v>
      </c>
      <c r="D711" s="40" t="n">
        <f aca="false">MAX(D710,C711)</f>
        <v>1345220.48</v>
      </c>
      <c r="E711" s="41" t="n">
        <f aca="false">C711/D711-1</f>
        <v>-0.30714325728969</v>
      </c>
      <c r="F711" s="42" t="n">
        <f aca="false">YEAR(A711)</f>
        <v>2016</v>
      </c>
    </row>
    <row r="712" customFormat="false" ht="15" hidden="false" customHeight="false" outlineLevel="0" collapsed="false">
      <c r="A712" s="38" t="n">
        <v>42425</v>
      </c>
      <c r="B712" s="39" t="n">
        <v>604.5</v>
      </c>
      <c r="C712" s="40" t="n">
        <v>908825.08</v>
      </c>
      <c r="D712" s="40" t="n">
        <f aca="false">MAX(D711,C712)</f>
        <v>1345220.48</v>
      </c>
      <c r="E712" s="41" t="n">
        <f aca="false">C712/D712-1</f>
        <v>-0.324404368271289</v>
      </c>
      <c r="F712" s="42" t="n">
        <f aca="false">YEAR(A712)</f>
        <v>2016</v>
      </c>
    </row>
    <row r="713" customFormat="false" ht="15" hidden="false" customHeight="false" outlineLevel="0" collapsed="false">
      <c r="A713" s="38" t="n">
        <v>42426</v>
      </c>
      <c r="B713" s="39" t="n">
        <v>604</v>
      </c>
      <c r="C713" s="40" t="n">
        <v>906245.08</v>
      </c>
      <c r="D713" s="40" t="n">
        <f aca="false">MAX(D712,C713)</f>
        <v>1345220.48</v>
      </c>
      <c r="E713" s="41" t="n">
        <f aca="false">C713/D713-1</f>
        <v>-0.326322269491467</v>
      </c>
      <c r="F713" s="42" t="n">
        <f aca="false">YEAR(A713)</f>
        <v>2016</v>
      </c>
    </row>
    <row r="714" customFormat="false" ht="15" hidden="false" customHeight="false" outlineLevel="0" collapsed="false">
      <c r="A714" s="38" t="n">
        <v>42429</v>
      </c>
      <c r="B714" s="39" t="n">
        <v>609</v>
      </c>
      <c r="C714" s="40" t="n">
        <v>932045.08</v>
      </c>
      <c r="D714" s="40" t="n">
        <f aca="false">MAX(D713,C714)</f>
        <v>1345220.48</v>
      </c>
      <c r="E714" s="41" t="n">
        <f aca="false">C714/D714-1</f>
        <v>-0.30714325728969</v>
      </c>
      <c r="F714" s="42" t="n">
        <f aca="false">YEAR(A714)</f>
        <v>2016</v>
      </c>
    </row>
    <row r="715" customFormat="false" ht="15" hidden="false" customHeight="false" outlineLevel="0" collapsed="false">
      <c r="A715" s="38" t="n">
        <v>42430</v>
      </c>
      <c r="B715" s="39" t="n">
        <v>610</v>
      </c>
      <c r="C715" s="40" t="n">
        <v>937205.08</v>
      </c>
      <c r="D715" s="40" t="n">
        <f aca="false">MAX(D714,C715)</f>
        <v>1345220.48</v>
      </c>
      <c r="E715" s="41" t="n">
        <f aca="false">C715/D715-1</f>
        <v>-0.303307454849334</v>
      </c>
      <c r="F715" s="42" t="n">
        <f aca="false">YEAR(A715)</f>
        <v>2016</v>
      </c>
    </row>
    <row r="716" customFormat="false" ht="15" hidden="false" customHeight="false" outlineLevel="0" collapsed="false">
      <c r="A716" s="38" t="n">
        <v>42431</v>
      </c>
      <c r="B716" s="39" t="n">
        <v>606.5</v>
      </c>
      <c r="C716" s="40" t="n">
        <v>919145.08</v>
      </c>
      <c r="D716" s="40" t="n">
        <f aca="false">MAX(D715,C716)</f>
        <v>1345220.48</v>
      </c>
      <c r="E716" s="41" t="n">
        <f aca="false">C716/D716-1</f>
        <v>-0.316732763390578</v>
      </c>
      <c r="F716" s="42" t="n">
        <f aca="false">YEAR(A716)</f>
        <v>2016</v>
      </c>
    </row>
    <row r="717" customFormat="false" ht="15" hidden="false" customHeight="false" outlineLevel="0" collapsed="false">
      <c r="A717" s="38" t="n">
        <v>42432</v>
      </c>
      <c r="B717" s="39" t="n">
        <v>602</v>
      </c>
      <c r="C717" s="40" t="n">
        <v>895925.08</v>
      </c>
      <c r="D717" s="40" t="n">
        <f aca="false">MAX(D716,C717)</f>
        <v>1345220.48</v>
      </c>
      <c r="E717" s="41" t="n">
        <f aca="false">C717/D717-1</f>
        <v>-0.333993874372177</v>
      </c>
      <c r="F717" s="42" t="n">
        <f aca="false">YEAR(A717)</f>
        <v>2016</v>
      </c>
    </row>
    <row r="718" customFormat="false" ht="15" hidden="false" customHeight="false" outlineLevel="0" collapsed="false">
      <c r="A718" s="38" t="n">
        <v>42433</v>
      </c>
      <c r="B718" s="39" t="n">
        <v>591.5</v>
      </c>
      <c r="C718" s="40" t="n">
        <v>841745.08</v>
      </c>
      <c r="D718" s="40" t="n">
        <f aca="false">MAX(D717,C718)</f>
        <v>1345220.48</v>
      </c>
      <c r="E718" s="41" t="n">
        <f aca="false">C718/D718-1</f>
        <v>-0.374269799995909</v>
      </c>
      <c r="F718" s="42" t="n">
        <f aca="false">YEAR(A718)</f>
        <v>2016</v>
      </c>
    </row>
    <row r="719" customFormat="false" ht="15" hidden="false" customHeight="false" outlineLevel="0" collapsed="false">
      <c r="A719" s="38" t="n">
        <v>42436</v>
      </c>
      <c r="B719" s="39" t="n">
        <v>616.5</v>
      </c>
      <c r="C719" s="40" t="n">
        <v>970745.08</v>
      </c>
      <c r="D719" s="40" t="n">
        <f aca="false">MAX(D718,C719)</f>
        <v>1345220.48</v>
      </c>
      <c r="E719" s="41" t="n">
        <f aca="false">C719/D719-1</f>
        <v>-0.278374738987025</v>
      </c>
      <c r="F719" s="42" t="n">
        <f aca="false">YEAR(A719)</f>
        <v>2016</v>
      </c>
    </row>
    <row r="720" customFormat="false" ht="15" hidden="false" customHeight="false" outlineLevel="0" collapsed="false">
      <c r="A720" s="38" t="n">
        <v>42437</v>
      </c>
      <c r="B720" s="39" t="n">
        <v>624</v>
      </c>
      <c r="C720" s="40" t="n">
        <v>1009445.08</v>
      </c>
      <c r="D720" s="40" t="n">
        <f aca="false">MAX(D719,C720)</f>
        <v>1345220.48</v>
      </c>
      <c r="E720" s="41" t="n">
        <f aca="false">C720/D720-1</f>
        <v>-0.24960622068436</v>
      </c>
      <c r="F720" s="42" t="n">
        <f aca="false">YEAR(A720)</f>
        <v>2016</v>
      </c>
    </row>
    <row r="721" customFormat="false" ht="15" hidden="false" customHeight="false" outlineLevel="0" collapsed="false">
      <c r="A721" s="38" t="n">
        <v>42438</v>
      </c>
      <c r="B721" s="39" t="n">
        <v>601.5</v>
      </c>
      <c r="C721" s="40" t="n">
        <v>893345.08</v>
      </c>
      <c r="D721" s="40" t="n">
        <f aca="false">MAX(D720,C721)</f>
        <v>1345220.48</v>
      </c>
      <c r="E721" s="41" t="n">
        <f aca="false">C721/D721-1</f>
        <v>-0.335911775592355</v>
      </c>
      <c r="F721" s="42" t="n">
        <f aca="false">YEAR(A721)</f>
        <v>2016</v>
      </c>
    </row>
    <row r="722" customFormat="false" ht="15" hidden="false" customHeight="false" outlineLevel="0" collapsed="false">
      <c r="A722" s="38" t="n">
        <v>42439</v>
      </c>
      <c r="B722" s="39" t="n">
        <v>597.5</v>
      </c>
      <c r="C722" s="40" t="n">
        <v>872705.08</v>
      </c>
      <c r="D722" s="40" t="n">
        <f aca="false">MAX(D721,C722)</f>
        <v>1345220.48</v>
      </c>
      <c r="E722" s="41" t="n">
        <f aca="false">C722/D722-1</f>
        <v>-0.351254985353776</v>
      </c>
      <c r="F722" s="42" t="n">
        <f aca="false">YEAR(A722)</f>
        <v>2016</v>
      </c>
    </row>
    <row r="723" customFormat="false" ht="15" hidden="false" customHeight="false" outlineLevel="0" collapsed="false">
      <c r="A723" s="38" t="n">
        <v>42440</v>
      </c>
      <c r="B723" s="39" t="n">
        <v>606.5</v>
      </c>
      <c r="C723" s="40" t="n">
        <v>919145.08</v>
      </c>
      <c r="D723" s="40" t="n">
        <f aca="false">MAX(D722,C723)</f>
        <v>1345220.48</v>
      </c>
      <c r="E723" s="41" t="n">
        <f aca="false">C723/D723-1</f>
        <v>-0.316732763390578</v>
      </c>
      <c r="F723" s="42" t="n">
        <f aca="false">YEAR(A723)</f>
        <v>2016</v>
      </c>
    </row>
    <row r="724" customFormat="false" ht="15" hidden="false" customHeight="false" outlineLevel="0" collapsed="false">
      <c r="A724" s="38" t="n">
        <v>42443</v>
      </c>
      <c r="B724" s="39" t="n">
        <v>607.5</v>
      </c>
      <c r="C724" s="40" t="n">
        <v>924305.08</v>
      </c>
      <c r="D724" s="40" t="n">
        <f aca="false">MAX(D723,C724)</f>
        <v>1345220.48</v>
      </c>
      <c r="E724" s="41" t="n">
        <f aca="false">C724/D724-1</f>
        <v>-0.312896960950223</v>
      </c>
      <c r="F724" s="42" t="n">
        <f aca="false">YEAR(A724)</f>
        <v>2016</v>
      </c>
    </row>
    <row r="725" customFormat="false" ht="15" hidden="false" customHeight="false" outlineLevel="0" collapsed="false">
      <c r="A725" s="38" t="n">
        <v>42444</v>
      </c>
      <c r="B725" s="39" t="n">
        <v>606</v>
      </c>
      <c r="C725" s="40" t="n">
        <v>916565.08</v>
      </c>
      <c r="D725" s="40" t="n">
        <f aca="false">MAX(D724,C725)</f>
        <v>1345220.48</v>
      </c>
      <c r="E725" s="41" t="n">
        <f aca="false">C725/D725-1</f>
        <v>-0.318650664610756</v>
      </c>
      <c r="F725" s="42" t="n">
        <f aca="false">YEAR(A725)</f>
        <v>2016</v>
      </c>
    </row>
    <row r="726" customFormat="false" ht="15" hidden="false" customHeight="false" outlineLevel="0" collapsed="false">
      <c r="A726" s="38" t="n">
        <v>42445</v>
      </c>
      <c r="B726" s="39" t="n">
        <v>609</v>
      </c>
      <c r="C726" s="40" t="n">
        <v>932045.08</v>
      </c>
      <c r="D726" s="40" t="n">
        <f aca="false">MAX(D725,C726)</f>
        <v>1345220.48</v>
      </c>
      <c r="E726" s="41" t="n">
        <f aca="false">C726/D726-1</f>
        <v>-0.30714325728969</v>
      </c>
      <c r="F726" s="42" t="n">
        <f aca="false">YEAR(A726)</f>
        <v>2016</v>
      </c>
    </row>
    <row r="727" customFormat="false" ht="15" hidden="false" customHeight="false" outlineLevel="0" collapsed="false">
      <c r="A727" s="38" t="n">
        <v>42446</v>
      </c>
      <c r="B727" s="39" t="n">
        <v>617</v>
      </c>
      <c r="C727" s="40" t="n">
        <v>973325.08</v>
      </c>
      <c r="D727" s="40" t="n">
        <f aca="false">MAX(D726,C727)</f>
        <v>1345220.48</v>
      </c>
      <c r="E727" s="41" t="n">
        <f aca="false">C727/D727-1</f>
        <v>-0.276456837766847</v>
      </c>
      <c r="F727" s="42" t="n">
        <f aca="false">YEAR(A727)</f>
        <v>2016</v>
      </c>
    </row>
    <row r="728" customFormat="false" ht="15" hidden="false" customHeight="false" outlineLevel="0" collapsed="false">
      <c r="A728" s="38" t="n">
        <v>42447</v>
      </c>
      <c r="B728" s="39" t="n">
        <v>628.5</v>
      </c>
      <c r="C728" s="40" t="n">
        <v>1032665.08</v>
      </c>
      <c r="D728" s="40" t="n">
        <f aca="false">MAX(D727,C728)</f>
        <v>1345220.48</v>
      </c>
      <c r="E728" s="41" t="n">
        <f aca="false">C728/D728-1</f>
        <v>-0.23234510970276</v>
      </c>
      <c r="F728" s="42" t="n">
        <f aca="false">YEAR(A728)</f>
        <v>2016</v>
      </c>
    </row>
    <row r="729" customFormat="false" ht="15" hidden="false" customHeight="false" outlineLevel="0" collapsed="false">
      <c r="A729" s="38" t="n">
        <v>42450</v>
      </c>
      <c r="B729" s="39" t="n">
        <v>620.5</v>
      </c>
      <c r="C729" s="40" t="n">
        <v>991385.08</v>
      </c>
      <c r="D729" s="40" t="n">
        <f aca="false">MAX(D728,C729)</f>
        <v>1345220.48</v>
      </c>
      <c r="E729" s="41" t="n">
        <f aca="false">C729/D729-1</f>
        <v>-0.263031529225603</v>
      </c>
      <c r="F729" s="42" t="n">
        <f aca="false">YEAR(A729)</f>
        <v>2016</v>
      </c>
    </row>
    <row r="730" customFormat="false" ht="15" hidden="false" customHeight="false" outlineLevel="0" collapsed="false">
      <c r="A730" s="38" t="n">
        <v>42451</v>
      </c>
      <c r="B730" s="39" t="n">
        <v>622.5</v>
      </c>
      <c r="C730" s="40" t="n">
        <v>1001705.08</v>
      </c>
      <c r="D730" s="40" t="n">
        <f aca="false">MAX(D729,C730)</f>
        <v>1345220.48</v>
      </c>
      <c r="E730" s="41" t="n">
        <f aca="false">C730/D730-1</f>
        <v>-0.255359924344893</v>
      </c>
      <c r="F730" s="42" t="n">
        <f aca="false">YEAR(A730)</f>
        <v>2016</v>
      </c>
    </row>
    <row r="731" customFormat="false" ht="15" hidden="false" customHeight="false" outlineLevel="0" collapsed="false">
      <c r="A731" s="38" t="n">
        <v>42452</v>
      </c>
      <c r="B731" s="39" t="n">
        <v>619.5</v>
      </c>
      <c r="C731" s="40" t="n">
        <v>986225.08</v>
      </c>
      <c r="D731" s="40" t="n">
        <f aca="false">MAX(D730,C731)</f>
        <v>1345220.48</v>
      </c>
      <c r="E731" s="41" t="n">
        <f aca="false">C731/D731-1</f>
        <v>-0.266867331665959</v>
      </c>
      <c r="F731" s="42" t="n">
        <f aca="false">YEAR(A731)</f>
        <v>2016</v>
      </c>
    </row>
    <row r="732" customFormat="false" ht="15" hidden="false" customHeight="false" outlineLevel="0" collapsed="false">
      <c r="A732" s="38" t="n">
        <v>42453</v>
      </c>
      <c r="B732" s="39" t="n">
        <v>606.5</v>
      </c>
      <c r="C732" s="40" t="n">
        <v>919145.08</v>
      </c>
      <c r="D732" s="40" t="n">
        <f aca="false">MAX(D731,C732)</f>
        <v>1345220.48</v>
      </c>
      <c r="E732" s="41" t="n">
        <f aca="false">C732/D732-1</f>
        <v>-0.316732763390578</v>
      </c>
      <c r="F732" s="42" t="n">
        <f aca="false">YEAR(A732)</f>
        <v>2016</v>
      </c>
    </row>
    <row r="733" customFormat="false" ht="15" hidden="false" customHeight="false" outlineLevel="0" collapsed="false">
      <c r="A733" s="38" t="n">
        <v>42454</v>
      </c>
      <c r="B733" s="39" t="n">
        <v>614</v>
      </c>
      <c r="C733" s="40" t="n">
        <v>957845.08</v>
      </c>
      <c r="D733" s="40" t="n">
        <f aca="false">MAX(D732,C733)</f>
        <v>1345220.48</v>
      </c>
      <c r="E733" s="41" t="n">
        <f aca="false">C733/D733-1</f>
        <v>-0.287964245087913</v>
      </c>
      <c r="F733" s="42" t="n">
        <f aca="false">YEAR(A733)</f>
        <v>2016</v>
      </c>
    </row>
    <row r="734" customFormat="false" ht="15" hidden="false" customHeight="false" outlineLevel="0" collapsed="false">
      <c r="A734" s="38" t="n">
        <v>42457</v>
      </c>
      <c r="B734" s="39" t="n">
        <v>612.5</v>
      </c>
      <c r="C734" s="40" t="n">
        <v>950105.08</v>
      </c>
      <c r="D734" s="40" t="n">
        <f aca="false">MAX(D733,C734)</f>
        <v>1345220.48</v>
      </c>
      <c r="E734" s="41" t="n">
        <f aca="false">C734/D734-1</f>
        <v>-0.293717948748446</v>
      </c>
      <c r="F734" s="42" t="n">
        <f aca="false">YEAR(A734)</f>
        <v>2016</v>
      </c>
    </row>
    <row r="735" customFormat="false" ht="15" hidden="false" customHeight="false" outlineLevel="0" collapsed="false">
      <c r="A735" s="38" t="n">
        <v>42458</v>
      </c>
      <c r="B735" s="39" t="n">
        <v>614.5</v>
      </c>
      <c r="C735" s="40" t="n">
        <v>960425.08</v>
      </c>
      <c r="D735" s="40" t="n">
        <f aca="false">MAX(D734,C735)</f>
        <v>1345220.48</v>
      </c>
      <c r="E735" s="41" t="n">
        <f aca="false">C735/D735-1</f>
        <v>-0.286046343867735</v>
      </c>
      <c r="F735" s="42" t="n">
        <f aca="false">YEAR(A735)</f>
        <v>2016</v>
      </c>
    </row>
    <row r="736" customFormat="false" ht="15" hidden="false" customHeight="false" outlineLevel="0" collapsed="false">
      <c r="A736" s="38" t="n">
        <v>42459</v>
      </c>
      <c r="B736" s="39" t="n">
        <v>614</v>
      </c>
      <c r="C736" s="40" t="n">
        <v>957845.08</v>
      </c>
      <c r="D736" s="40" t="n">
        <f aca="false">MAX(D735,C736)</f>
        <v>1345220.48</v>
      </c>
      <c r="E736" s="41" t="n">
        <f aca="false">C736/D736-1</f>
        <v>-0.287964245087913</v>
      </c>
      <c r="F736" s="42" t="n">
        <f aca="false">YEAR(A736)</f>
        <v>2016</v>
      </c>
    </row>
    <row r="737" customFormat="false" ht="15" hidden="false" customHeight="false" outlineLevel="0" collapsed="false">
      <c r="A737" s="38" t="n">
        <v>42460</v>
      </c>
      <c r="B737" s="39" t="n">
        <v>634</v>
      </c>
      <c r="C737" s="40" t="n">
        <v>1061045.08</v>
      </c>
      <c r="D737" s="40" t="n">
        <f aca="false">MAX(D736,C737)</f>
        <v>1345220.48</v>
      </c>
      <c r="E737" s="41" t="n">
        <f aca="false">C737/D737-1</f>
        <v>-0.211248196280806</v>
      </c>
      <c r="F737" s="42" t="n">
        <f aca="false">YEAR(A737)</f>
        <v>2016</v>
      </c>
    </row>
    <row r="738" customFormat="false" ht="15" hidden="false" customHeight="false" outlineLevel="0" collapsed="false">
      <c r="A738" s="38" t="n">
        <v>42461</v>
      </c>
      <c r="B738" s="39" t="n">
        <v>647</v>
      </c>
      <c r="C738" s="40" t="n">
        <v>1128125.08</v>
      </c>
      <c r="D738" s="40" t="n">
        <f aca="false">MAX(D737,C738)</f>
        <v>1345220.48</v>
      </c>
      <c r="E738" s="41" t="n">
        <f aca="false">C738/D738-1</f>
        <v>-0.161382764556186</v>
      </c>
      <c r="F738" s="42" t="n">
        <f aca="false">YEAR(A738)</f>
        <v>2016</v>
      </c>
    </row>
    <row r="739" customFormat="false" ht="15" hidden="false" customHeight="false" outlineLevel="0" collapsed="false">
      <c r="A739" s="38" t="n">
        <v>42465</v>
      </c>
      <c r="B739" s="39" t="n">
        <v>647</v>
      </c>
      <c r="C739" s="40" t="n">
        <v>1128125.08</v>
      </c>
      <c r="D739" s="40" t="n">
        <f aca="false">MAX(D738,C739)</f>
        <v>1345220.48</v>
      </c>
      <c r="E739" s="41" t="n">
        <f aca="false">C739/D739-1</f>
        <v>-0.161382764556186</v>
      </c>
      <c r="F739" s="42" t="n">
        <f aca="false">YEAR(A739)</f>
        <v>2016</v>
      </c>
    </row>
    <row r="740" customFormat="false" ht="15" hidden="false" customHeight="false" outlineLevel="0" collapsed="false">
      <c r="A740" s="38" t="n">
        <v>42466</v>
      </c>
      <c r="B740" s="39" t="n">
        <v>644.5</v>
      </c>
      <c r="C740" s="40" t="n">
        <v>1115225.08</v>
      </c>
      <c r="D740" s="40" t="n">
        <f aca="false">MAX(D739,C740)</f>
        <v>1345220.48</v>
      </c>
      <c r="E740" s="41" t="n">
        <f aca="false">C740/D740-1</f>
        <v>-0.170972270657075</v>
      </c>
      <c r="F740" s="42" t="n">
        <f aca="false">YEAR(A740)</f>
        <v>2016</v>
      </c>
    </row>
    <row r="741" customFormat="false" ht="15" hidden="false" customHeight="false" outlineLevel="0" collapsed="false">
      <c r="A741" s="38" t="n">
        <v>42467</v>
      </c>
      <c r="B741" s="39" t="n">
        <v>645.5</v>
      </c>
      <c r="C741" s="40" t="n">
        <v>1120385.08</v>
      </c>
      <c r="D741" s="40" t="n">
        <f aca="false">MAX(D740,C741)</f>
        <v>1345220.48</v>
      </c>
      <c r="E741" s="41" t="n">
        <f aca="false">C741/D741-1</f>
        <v>-0.167136468216719</v>
      </c>
      <c r="F741" s="42" t="n">
        <f aca="false">YEAR(A741)</f>
        <v>2016</v>
      </c>
    </row>
    <row r="742" customFormat="false" ht="15" hidden="false" customHeight="false" outlineLevel="0" collapsed="false">
      <c r="A742" s="38" t="n">
        <v>42468</v>
      </c>
      <c r="B742" s="39" t="n">
        <v>648</v>
      </c>
      <c r="C742" s="40" t="n">
        <v>1133285.08</v>
      </c>
      <c r="D742" s="40" t="n">
        <f aca="false">MAX(D741,C742)</f>
        <v>1345220.48</v>
      </c>
      <c r="E742" s="41" t="n">
        <f aca="false">C742/D742-1</f>
        <v>-0.157546962115831</v>
      </c>
      <c r="F742" s="42" t="n">
        <f aca="false">YEAR(A742)</f>
        <v>2016</v>
      </c>
    </row>
    <row r="743" customFormat="false" ht="15" hidden="false" customHeight="false" outlineLevel="0" collapsed="false">
      <c r="A743" s="38" t="n">
        <v>42471</v>
      </c>
      <c r="B743" s="39" t="n">
        <v>665.5</v>
      </c>
      <c r="C743" s="40" t="n">
        <v>1223585.08</v>
      </c>
      <c r="D743" s="40" t="n">
        <f aca="false">MAX(D742,C743)</f>
        <v>1345220.48</v>
      </c>
      <c r="E743" s="41" t="n">
        <f aca="false">C743/D743-1</f>
        <v>-0.0904204194096122</v>
      </c>
      <c r="F743" s="42" t="n">
        <f aca="false">YEAR(A743)</f>
        <v>2016</v>
      </c>
    </row>
    <row r="744" customFormat="false" ht="15" hidden="false" customHeight="false" outlineLevel="0" collapsed="false">
      <c r="A744" s="38" t="n">
        <v>42472</v>
      </c>
      <c r="B744" s="39" t="n">
        <v>686.5</v>
      </c>
      <c r="C744" s="40" t="n">
        <v>1331945.08</v>
      </c>
      <c r="D744" s="40" t="n">
        <f aca="false">MAX(D743,C744)</f>
        <v>1345220.48</v>
      </c>
      <c r="E744" s="41" t="n">
        <f aca="false">C744/D744-1</f>
        <v>-0.00986856816214987</v>
      </c>
      <c r="F744" s="42" t="n">
        <f aca="false">YEAR(A744)</f>
        <v>2016</v>
      </c>
    </row>
    <row r="745" customFormat="false" ht="15" hidden="false" customHeight="false" outlineLevel="0" collapsed="false">
      <c r="A745" s="38" t="n">
        <v>42473</v>
      </c>
      <c r="B745" s="39" t="n">
        <v>701.5</v>
      </c>
      <c r="C745" s="40" t="n">
        <v>1409345.08</v>
      </c>
      <c r="D745" s="40" t="n">
        <f aca="false">MAX(D744,C745)</f>
        <v>1409345.08</v>
      </c>
      <c r="E745" s="41" t="n">
        <f aca="false">C745/D745-1</f>
        <v>0</v>
      </c>
      <c r="F745" s="42" t="n">
        <f aca="false">YEAR(A745)</f>
        <v>2016</v>
      </c>
    </row>
    <row r="746" customFormat="false" ht="15" hidden="false" customHeight="false" outlineLevel="0" collapsed="false">
      <c r="A746" s="38" t="n">
        <v>42474</v>
      </c>
      <c r="B746" s="39" t="n">
        <v>702</v>
      </c>
      <c r="C746" s="40" t="n">
        <v>1411925.08</v>
      </c>
      <c r="D746" s="40" t="n">
        <f aca="false">MAX(D745,C746)</f>
        <v>1411925.08</v>
      </c>
      <c r="E746" s="41" t="n">
        <f aca="false">C746/D746-1</f>
        <v>0</v>
      </c>
      <c r="F746" s="42" t="n">
        <f aca="false">YEAR(A746)</f>
        <v>2016</v>
      </c>
    </row>
    <row r="747" customFormat="false" ht="15" hidden="false" customHeight="false" outlineLevel="0" collapsed="false">
      <c r="A747" s="38" t="n">
        <v>42475</v>
      </c>
      <c r="B747" s="39" t="n">
        <v>679.5</v>
      </c>
      <c r="C747" s="40" t="n">
        <v>1295825.08</v>
      </c>
      <c r="D747" s="40" t="n">
        <f aca="false">MAX(D746,C747)</f>
        <v>1411925.08</v>
      </c>
      <c r="E747" s="41" t="n">
        <f aca="false">C747/D747-1</f>
        <v>-0.0822281590181825</v>
      </c>
      <c r="F747" s="42" t="n">
        <f aca="false">YEAR(A747)</f>
        <v>2016</v>
      </c>
    </row>
    <row r="748" customFormat="false" ht="15" hidden="false" customHeight="false" outlineLevel="0" collapsed="false">
      <c r="A748" s="38" t="n">
        <v>42478</v>
      </c>
      <c r="B748" s="39" t="n">
        <v>711.5</v>
      </c>
      <c r="C748" s="40" t="n">
        <v>1460945.08</v>
      </c>
      <c r="D748" s="40" t="n">
        <f aca="false">MAX(D747,C748)</f>
        <v>1460945.08</v>
      </c>
      <c r="E748" s="41" t="n">
        <f aca="false">C748/D748-1</f>
        <v>0</v>
      </c>
      <c r="F748" s="42" t="n">
        <f aca="false">YEAR(A748)</f>
        <v>2016</v>
      </c>
    </row>
    <row r="749" customFormat="false" ht="15" hidden="false" customHeight="false" outlineLevel="0" collapsed="false">
      <c r="A749" s="38" t="n">
        <v>42479</v>
      </c>
      <c r="B749" s="39" t="n">
        <v>714.5</v>
      </c>
      <c r="C749" s="40" t="n">
        <v>1476425.08</v>
      </c>
      <c r="D749" s="40" t="n">
        <f aca="false">MAX(D748,C749)</f>
        <v>1476425.08</v>
      </c>
      <c r="E749" s="41" t="n">
        <f aca="false">C749/D749-1</f>
        <v>0</v>
      </c>
      <c r="F749" s="42" t="n">
        <f aca="false">YEAR(A749)</f>
        <v>2016</v>
      </c>
    </row>
    <row r="750" customFormat="false" ht="15" hidden="false" customHeight="false" outlineLevel="0" collapsed="false">
      <c r="A750" s="38" t="n">
        <v>42480</v>
      </c>
      <c r="B750" s="39" t="n">
        <v>748.5</v>
      </c>
      <c r="C750" s="40" t="n">
        <v>1651865.08</v>
      </c>
      <c r="D750" s="40" t="n">
        <f aca="false">MAX(D749,C750)</f>
        <v>1651865.08</v>
      </c>
      <c r="E750" s="41" t="n">
        <f aca="false">C750/D750-1</f>
        <v>0</v>
      </c>
      <c r="F750" s="42" t="n">
        <f aca="false">YEAR(A750)</f>
        <v>2016</v>
      </c>
    </row>
    <row r="751" customFormat="false" ht="15" hidden="false" customHeight="false" outlineLevel="0" collapsed="false">
      <c r="A751" s="38" t="n">
        <v>42481</v>
      </c>
      <c r="B751" s="39" t="n">
        <v>765.5</v>
      </c>
      <c r="C751" s="40" t="n">
        <v>1739585.08</v>
      </c>
      <c r="D751" s="40" t="n">
        <f aca="false">MAX(D750,C751)</f>
        <v>1739585.08</v>
      </c>
      <c r="E751" s="41" t="n">
        <f aca="false">C751/D751-1</f>
        <v>0</v>
      </c>
      <c r="F751" s="42" t="n">
        <f aca="false">YEAR(A751)</f>
        <v>2016</v>
      </c>
    </row>
    <row r="752" customFormat="false" ht="15" hidden="false" customHeight="false" outlineLevel="0" collapsed="false">
      <c r="A752" s="38" t="n">
        <v>42482</v>
      </c>
      <c r="B752" s="39" t="n">
        <v>757.5</v>
      </c>
      <c r="C752" s="40" t="n">
        <v>1698305.08</v>
      </c>
      <c r="D752" s="40" t="n">
        <f aca="false">MAX(D751,C752)</f>
        <v>1739585.08</v>
      </c>
      <c r="E752" s="41" t="n">
        <f aca="false">C752/D752-1</f>
        <v>-0.0237297965328606</v>
      </c>
      <c r="F752" s="42" t="n">
        <f aca="false">YEAR(A752)</f>
        <v>2016</v>
      </c>
    </row>
    <row r="753" customFormat="false" ht="15" hidden="false" customHeight="false" outlineLevel="0" collapsed="false">
      <c r="A753" s="38" t="n">
        <v>42485</v>
      </c>
      <c r="B753" s="39" t="n">
        <v>811</v>
      </c>
      <c r="C753" s="40" t="n">
        <v>1974365.08</v>
      </c>
      <c r="D753" s="40" t="n">
        <f aca="false">MAX(D752,C753)</f>
        <v>1974365.08</v>
      </c>
      <c r="E753" s="41" t="n">
        <f aca="false">C753/D753-1</f>
        <v>0</v>
      </c>
      <c r="F753" s="42" t="n">
        <f aca="false">YEAR(A753)</f>
        <v>2016</v>
      </c>
    </row>
    <row r="754" customFormat="false" ht="15" hidden="false" customHeight="false" outlineLevel="0" collapsed="false">
      <c r="A754" s="38" t="n">
        <v>42486</v>
      </c>
      <c r="B754" s="39" t="n">
        <v>791.5</v>
      </c>
      <c r="C754" s="40" t="n">
        <v>1873745.08</v>
      </c>
      <c r="D754" s="40" t="n">
        <f aca="false">MAX(D753,C754)</f>
        <v>1974365.08</v>
      </c>
      <c r="E754" s="41" t="n">
        <f aca="false">C754/D754-1</f>
        <v>-0.0509632190212764</v>
      </c>
      <c r="F754" s="42" t="n">
        <f aca="false">YEAR(A754)</f>
        <v>2016</v>
      </c>
    </row>
    <row r="755" customFormat="false" ht="15" hidden="false" customHeight="false" outlineLevel="0" collapsed="false">
      <c r="A755" s="38" t="n">
        <v>42487</v>
      </c>
      <c r="B755" s="39" t="n">
        <v>756.5</v>
      </c>
      <c r="C755" s="40" t="n">
        <v>1693145.08</v>
      </c>
      <c r="D755" s="40" t="n">
        <f aca="false">MAX(D754,C755)</f>
        <v>1974365.08</v>
      </c>
      <c r="E755" s="41" t="n">
        <f aca="false">C755/D755-1</f>
        <v>-0.142435663418439</v>
      </c>
      <c r="F755" s="42" t="n">
        <f aca="false">YEAR(A755)</f>
        <v>2016</v>
      </c>
    </row>
    <row r="756" customFormat="false" ht="15" hidden="false" customHeight="false" outlineLevel="0" collapsed="false">
      <c r="A756" s="38" t="n">
        <v>42488</v>
      </c>
      <c r="B756" s="39" t="n">
        <v>726.5</v>
      </c>
      <c r="C756" s="40" t="n">
        <v>1538345.08</v>
      </c>
      <c r="D756" s="40" t="n">
        <f aca="false">MAX(D755,C756)</f>
        <v>1974365.08</v>
      </c>
      <c r="E756" s="41" t="n">
        <f aca="false">C756/D756-1</f>
        <v>-0.220840615758865</v>
      </c>
      <c r="F756" s="42" t="n">
        <f aca="false">YEAR(A756)</f>
        <v>2016</v>
      </c>
    </row>
    <row r="757" customFormat="false" ht="15" hidden="false" customHeight="false" outlineLevel="0" collapsed="false">
      <c r="A757" s="38" t="n">
        <v>42489</v>
      </c>
      <c r="B757" s="39" t="n">
        <v>769.5</v>
      </c>
      <c r="C757" s="40" t="n">
        <v>1760225.08</v>
      </c>
      <c r="D757" s="40" t="n">
        <f aca="false">MAX(D756,C757)</f>
        <v>1974365.08</v>
      </c>
      <c r="E757" s="41" t="n">
        <f aca="false">C757/D757-1</f>
        <v>-0.108460184070922</v>
      </c>
      <c r="F757" s="42" t="n">
        <f aca="false">YEAR(A757)</f>
        <v>2016</v>
      </c>
    </row>
    <row r="758" customFormat="false" ht="15" hidden="false" customHeight="false" outlineLevel="0" collapsed="false">
      <c r="A758" s="38" t="n">
        <v>42493</v>
      </c>
      <c r="B758" s="39" t="n">
        <v>724</v>
      </c>
      <c r="C758" s="40" t="n">
        <v>1525445.08</v>
      </c>
      <c r="D758" s="40" t="n">
        <f aca="false">MAX(D757,C758)</f>
        <v>1974365.08</v>
      </c>
      <c r="E758" s="41" t="n">
        <f aca="false">C758/D758-1</f>
        <v>-0.227374361787233</v>
      </c>
      <c r="F758" s="42" t="n">
        <f aca="false">YEAR(A758)</f>
        <v>2016</v>
      </c>
    </row>
    <row r="759" customFormat="false" ht="15" hidden="false" customHeight="false" outlineLevel="0" collapsed="false">
      <c r="A759" s="38" t="n">
        <v>42494</v>
      </c>
      <c r="B759" s="39" t="n">
        <v>725.5</v>
      </c>
      <c r="C759" s="40" t="n">
        <v>1533185.08</v>
      </c>
      <c r="D759" s="40" t="n">
        <f aca="false">MAX(D758,C759)</f>
        <v>1974365.08</v>
      </c>
      <c r="E759" s="41" t="n">
        <f aca="false">C759/D759-1</f>
        <v>-0.223454114170212</v>
      </c>
      <c r="F759" s="42" t="n">
        <f aca="false">YEAR(A759)</f>
        <v>2016</v>
      </c>
    </row>
    <row r="760" customFormat="false" ht="15" hidden="false" customHeight="false" outlineLevel="0" collapsed="false">
      <c r="A760" s="38" t="n">
        <v>42495</v>
      </c>
      <c r="B760" s="39" t="n">
        <v>703</v>
      </c>
      <c r="C760" s="40" t="n">
        <v>1417085.08</v>
      </c>
      <c r="D760" s="40" t="n">
        <f aca="false">MAX(D759,C760)</f>
        <v>1974365.08</v>
      </c>
      <c r="E760" s="41" t="n">
        <f aca="false">C760/D760-1</f>
        <v>-0.282257828425531</v>
      </c>
      <c r="F760" s="42" t="n">
        <f aca="false">YEAR(A760)</f>
        <v>2016</v>
      </c>
    </row>
    <row r="761" customFormat="false" ht="15" hidden="false" customHeight="false" outlineLevel="0" collapsed="false">
      <c r="A761" s="38" t="n">
        <v>42496</v>
      </c>
      <c r="B761" s="39" t="n">
        <v>692</v>
      </c>
      <c r="C761" s="40" t="n">
        <v>1439939.15</v>
      </c>
      <c r="D761" s="40" t="n">
        <f aca="false">MAX(D760,C761)</f>
        <v>1974365.08</v>
      </c>
      <c r="E761" s="41" t="n">
        <f aca="false">C761/D761-1</f>
        <v>-0.270682426170139</v>
      </c>
      <c r="F761" s="42" t="n">
        <f aca="false">YEAR(A761)</f>
        <v>2016</v>
      </c>
    </row>
    <row r="762" customFormat="false" ht="15" hidden="false" customHeight="false" outlineLevel="0" collapsed="false">
      <c r="A762" s="38" t="n">
        <v>42499</v>
      </c>
      <c r="B762" s="39" t="n">
        <v>662</v>
      </c>
      <c r="C762" s="40" t="n">
        <v>1439939.15</v>
      </c>
      <c r="D762" s="40" t="n">
        <f aca="false">MAX(D761,C762)</f>
        <v>1974365.08</v>
      </c>
      <c r="E762" s="41" t="n">
        <f aca="false">C762/D762-1</f>
        <v>-0.270682426170139</v>
      </c>
      <c r="F762" s="42" t="n">
        <f aca="false">YEAR(A762)</f>
        <v>2016</v>
      </c>
    </row>
    <row r="763" customFormat="false" ht="15" hidden="false" customHeight="false" outlineLevel="0" collapsed="false">
      <c r="A763" s="38" t="n">
        <v>42500</v>
      </c>
      <c r="B763" s="39" t="n">
        <v>685.5</v>
      </c>
      <c r="C763" s="40" t="n">
        <v>1439939.15</v>
      </c>
      <c r="D763" s="40" t="n">
        <f aca="false">MAX(D762,C763)</f>
        <v>1974365.08</v>
      </c>
      <c r="E763" s="41" t="n">
        <f aca="false">C763/D763-1</f>
        <v>-0.270682426170139</v>
      </c>
      <c r="F763" s="42" t="n">
        <f aca="false">YEAR(A763)</f>
        <v>2016</v>
      </c>
    </row>
    <row r="764" customFormat="false" ht="15" hidden="false" customHeight="false" outlineLevel="0" collapsed="false">
      <c r="A764" s="38" t="n">
        <v>42501</v>
      </c>
      <c r="B764" s="39" t="n">
        <v>684.5</v>
      </c>
      <c r="C764" s="40" t="n">
        <v>1439939.15</v>
      </c>
      <c r="D764" s="40" t="n">
        <f aca="false">MAX(D763,C764)</f>
        <v>1974365.08</v>
      </c>
      <c r="E764" s="41" t="n">
        <f aca="false">C764/D764-1</f>
        <v>-0.270682426170139</v>
      </c>
      <c r="F764" s="42" t="n">
        <f aca="false">YEAR(A764)</f>
        <v>2016</v>
      </c>
    </row>
    <row r="765" customFormat="false" ht="15" hidden="false" customHeight="false" outlineLevel="0" collapsed="false">
      <c r="A765" s="38" t="n">
        <v>42502</v>
      </c>
      <c r="B765" s="39" t="n">
        <v>681</v>
      </c>
      <c r="C765" s="40" t="n">
        <v>1439939.15</v>
      </c>
      <c r="D765" s="40" t="n">
        <f aca="false">MAX(D764,C765)</f>
        <v>1974365.08</v>
      </c>
      <c r="E765" s="41" t="n">
        <f aca="false">C765/D765-1</f>
        <v>-0.270682426170139</v>
      </c>
      <c r="F765" s="42" t="n">
        <f aca="false">YEAR(A765)</f>
        <v>2016</v>
      </c>
    </row>
    <row r="766" customFormat="false" ht="15" hidden="false" customHeight="false" outlineLevel="0" collapsed="false">
      <c r="A766" s="38" t="n">
        <v>42503</v>
      </c>
      <c r="B766" s="39" t="n">
        <v>661.5</v>
      </c>
      <c r="C766" s="40" t="n">
        <v>1439939.15</v>
      </c>
      <c r="D766" s="40" t="n">
        <f aca="false">MAX(D765,C766)</f>
        <v>1974365.08</v>
      </c>
      <c r="E766" s="41" t="n">
        <f aca="false">C766/D766-1</f>
        <v>-0.270682426170139</v>
      </c>
      <c r="F766" s="42" t="n">
        <f aca="false">YEAR(A766)</f>
        <v>2016</v>
      </c>
    </row>
    <row r="767" customFormat="false" ht="15" hidden="false" customHeight="false" outlineLevel="0" collapsed="false">
      <c r="A767" s="38" t="n">
        <v>42506</v>
      </c>
      <c r="B767" s="39" t="n">
        <v>684.5</v>
      </c>
      <c r="C767" s="40" t="n">
        <v>1439939.15</v>
      </c>
      <c r="D767" s="40" t="n">
        <f aca="false">MAX(D766,C767)</f>
        <v>1974365.08</v>
      </c>
      <c r="E767" s="41" t="n">
        <f aca="false">C767/D767-1</f>
        <v>-0.270682426170139</v>
      </c>
      <c r="F767" s="42" t="n">
        <f aca="false">YEAR(A767)</f>
        <v>2016</v>
      </c>
    </row>
    <row r="768" customFormat="false" ht="15" hidden="false" customHeight="false" outlineLevel="0" collapsed="false">
      <c r="A768" s="38" t="n">
        <v>42507</v>
      </c>
      <c r="B768" s="39" t="n">
        <v>719</v>
      </c>
      <c r="C768" s="40" t="n">
        <v>1439939.15</v>
      </c>
      <c r="D768" s="40" t="n">
        <f aca="false">MAX(D767,C768)</f>
        <v>1974365.08</v>
      </c>
      <c r="E768" s="41" t="n">
        <f aca="false">C768/D768-1</f>
        <v>-0.270682426170139</v>
      </c>
      <c r="F768" s="42" t="n">
        <f aca="false">YEAR(A768)</f>
        <v>2016</v>
      </c>
    </row>
    <row r="769" customFormat="false" ht="15" hidden="false" customHeight="false" outlineLevel="0" collapsed="false">
      <c r="A769" s="38" t="n">
        <v>42508</v>
      </c>
      <c r="B769" s="39" t="n">
        <v>703</v>
      </c>
      <c r="C769" s="40" t="n">
        <v>1439939.15</v>
      </c>
      <c r="D769" s="40" t="n">
        <f aca="false">MAX(D768,C769)</f>
        <v>1974365.08</v>
      </c>
      <c r="E769" s="41" t="n">
        <f aca="false">C769/D769-1</f>
        <v>-0.270682426170139</v>
      </c>
      <c r="F769" s="42" t="n">
        <f aca="false">YEAR(A769)</f>
        <v>2016</v>
      </c>
    </row>
    <row r="770" customFormat="false" ht="15" hidden="false" customHeight="false" outlineLevel="0" collapsed="false">
      <c r="A770" s="38" t="n">
        <v>42509</v>
      </c>
      <c r="B770" s="39" t="n">
        <v>708</v>
      </c>
      <c r="C770" s="40" t="n">
        <v>1439939.15</v>
      </c>
      <c r="D770" s="40" t="n">
        <f aca="false">MAX(D769,C770)</f>
        <v>1974365.08</v>
      </c>
      <c r="E770" s="41" t="n">
        <f aca="false">C770/D770-1</f>
        <v>-0.270682426170139</v>
      </c>
      <c r="F770" s="42" t="n">
        <f aca="false">YEAR(A770)</f>
        <v>2016</v>
      </c>
    </row>
    <row r="771" customFormat="false" ht="15" hidden="false" customHeight="false" outlineLevel="0" collapsed="false">
      <c r="A771" s="38" t="n">
        <v>42510</v>
      </c>
      <c r="B771" s="39" t="n">
        <v>726.5</v>
      </c>
      <c r="C771" s="40" t="n">
        <v>1439939.15</v>
      </c>
      <c r="D771" s="40" t="n">
        <f aca="false">MAX(D770,C771)</f>
        <v>1974365.08</v>
      </c>
      <c r="E771" s="41" t="n">
        <f aca="false">C771/D771-1</f>
        <v>-0.270682426170139</v>
      </c>
      <c r="F771" s="42" t="n">
        <f aca="false">YEAR(A771)</f>
        <v>2016</v>
      </c>
    </row>
    <row r="772" customFormat="false" ht="15" hidden="false" customHeight="false" outlineLevel="0" collapsed="false">
      <c r="A772" s="38" t="n">
        <v>42513</v>
      </c>
      <c r="B772" s="39" t="n">
        <v>690.5</v>
      </c>
      <c r="C772" s="40" t="n">
        <v>1439939.15</v>
      </c>
      <c r="D772" s="40" t="n">
        <f aca="false">MAX(D771,C772)</f>
        <v>1974365.08</v>
      </c>
      <c r="E772" s="41" t="n">
        <f aca="false">C772/D772-1</f>
        <v>-0.270682426170139</v>
      </c>
      <c r="F772" s="42" t="n">
        <f aca="false">YEAR(A772)</f>
        <v>2016</v>
      </c>
    </row>
    <row r="773" customFormat="false" ht="15" hidden="false" customHeight="false" outlineLevel="0" collapsed="false">
      <c r="A773" s="38" t="n">
        <v>42514</v>
      </c>
      <c r="B773" s="39" t="n">
        <v>659.5</v>
      </c>
      <c r="C773" s="40" t="n">
        <v>1439939.15</v>
      </c>
      <c r="D773" s="40" t="n">
        <f aca="false">MAX(D772,C773)</f>
        <v>1974365.08</v>
      </c>
      <c r="E773" s="41" t="n">
        <f aca="false">C773/D773-1</f>
        <v>-0.270682426170139</v>
      </c>
      <c r="F773" s="42" t="n">
        <f aca="false">YEAR(A773)</f>
        <v>2016</v>
      </c>
    </row>
    <row r="774" customFormat="false" ht="15" hidden="false" customHeight="false" outlineLevel="0" collapsed="false">
      <c r="A774" s="38" t="n">
        <v>42515</v>
      </c>
      <c r="B774" s="39" t="n">
        <v>656</v>
      </c>
      <c r="C774" s="40" t="n">
        <v>1515839.6</v>
      </c>
      <c r="D774" s="40" t="n">
        <f aca="false">MAX(D773,C774)</f>
        <v>1974365.08</v>
      </c>
      <c r="E774" s="41" t="n">
        <f aca="false">C774/D774-1</f>
        <v>-0.232239459988828</v>
      </c>
      <c r="F774" s="42" t="n">
        <f aca="false">YEAR(A774)</f>
        <v>2016</v>
      </c>
    </row>
    <row r="775" customFormat="false" ht="15" hidden="false" customHeight="false" outlineLevel="0" collapsed="false">
      <c r="A775" s="38" t="n">
        <v>42516</v>
      </c>
      <c r="B775" s="39" t="n">
        <v>683</v>
      </c>
      <c r="C775" s="40" t="n">
        <v>1272839.6</v>
      </c>
      <c r="D775" s="40" t="n">
        <f aca="false">MAX(D774,C775)</f>
        <v>1974365.08</v>
      </c>
      <c r="E775" s="41" t="n">
        <f aca="false">C775/D775-1</f>
        <v>-0.355317001453449</v>
      </c>
      <c r="F775" s="42" t="n">
        <f aca="false">YEAR(A775)</f>
        <v>2016</v>
      </c>
    </row>
    <row r="776" customFormat="false" ht="15" hidden="false" customHeight="false" outlineLevel="0" collapsed="false">
      <c r="A776" s="38" t="n">
        <v>42517</v>
      </c>
      <c r="B776" s="39" t="n">
        <v>684.5</v>
      </c>
      <c r="C776" s="40" t="n">
        <v>1259339.6</v>
      </c>
      <c r="D776" s="40" t="n">
        <f aca="false">MAX(D775,C776)</f>
        <v>1974365.08</v>
      </c>
      <c r="E776" s="41" t="n">
        <f aca="false">C776/D776-1</f>
        <v>-0.362154642645928</v>
      </c>
      <c r="F776" s="42" t="n">
        <f aca="false">YEAR(A776)</f>
        <v>2016</v>
      </c>
    </row>
    <row r="777" customFormat="false" ht="15" hidden="false" customHeight="false" outlineLevel="0" collapsed="false">
      <c r="A777" s="38" t="n">
        <v>42520</v>
      </c>
      <c r="B777" s="39" t="n">
        <v>688</v>
      </c>
      <c r="C777" s="40" t="n">
        <v>1227839.6</v>
      </c>
      <c r="D777" s="40" t="n">
        <f aca="false">MAX(D776,C777)</f>
        <v>1974365.08</v>
      </c>
      <c r="E777" s="41" t="n">
        <f aca="false">C777/D777-1</f>
        <v>-0.378109138761713</v>
      </c>
      <c r="F777" s="42" t="n">
        <f aca="false">YEAR(A777)</f>
        <v>2016</v>
      </c>
    </row>
    <row r="778" customFormat="false" ht="15" hidden="false" customHeight="false" outlineLevel="0" collapsed="false">
      <c r="A778" s="38" t="n">
        <v>42521</v>
      </c>
      <c r="B778" s="39" t="n">
        <v>682.5</v>
      </c>
      <c r="C778" s="40" t="n">
        <v>1277339.6</v>
      </c>
      <c r="D778" s="40" t="n">
        <f aca="false">MAX(D777,C778)</f>
        <v>1974365.08</v>
      </c>
      <c r="E778" s="41" t="n">
        <f aca="false">C778/D778-1</f>
        <v>-0.353037787722623</v>
      </c>
      <c r="F778" s="42" t="n">
        <f aca="false">YEAR(A778)</f>
        <v>2016</v>
      </c>
    </row>
    <row r="779" customFormat="false" ht="15" hidden="false" customHeight="false" outlineLevel="0" collapsed="false">
      <c r="A779" s="38" t="n">
        <v>42522</v>
      </c>
      <c r="B779" s="39" t="n">
        <v>685</v>
      </c>
      <c r="C779" s="40" t="n">
        <v>1254839.6</v>
      </c>
      <c r="D779" s="40" t="n">
        <f aca="false">MAX(D778,C779)</f>
        <v>1974365.08</v>
      </c>
      <c r="E779" s="41" t="n">
        <f aca="false">C779/D779-1</f>
        <v>-0.364433856376755</v>
      </c>
      <c r="F779" s="42" t="n">
        <f aca="false">YEAR(A779)</f>
        <v>2016</v>
      </c>
    </row>
    <row r="780" customFormat="false" ht="15" hidden="false" customHeight="false" outlineLevel="0" collapsed="false">
      <c r="A780" s="38" t="n">
        <v>42523</v>
      </c>
      <c r="B780" s="39" t="n">
        <v>688</v>
      </c>
      <c r="C780" s="40" t="n">
        <v>1227839.6</v>
      </c>
      <c r="D780" s="40" t="n">
        <f aca="false">MAX(D779,C780)</f>
        <v>1974365.08</v>
      </c>
      <c r="E780" s="41" t="n">
        <f aca="false">C780/D780-1</f>
        <v>-0.378109138761713</v>
      </c>
      <c r="F780" s="42" t="n">
        <f aca="false">YEAR(A780)</f>
        <v>2016</v>
      </c>
    </row>
    <row r="781" customFormat="false" ht="15" hidden="false" customHeight="false" outlineLevel="0" collapsed="false">
      <c r="A781" s="38" t="n">
        <v>42524</v>
      </c>
      <c r="B781" s="39" t="n">
        <v>697.5</v>
      </c>
      <c r="C781" s="40" t="n">
        <v>1142339.6</v>
      </c>
      <c r="D781" s="40" t="n">
        <f aca="false">MAX(D780,C781)</f>
        <v>1974365.08</v>
      </c>
      <c r="E781" s="41" t="n">
        <f aca="false">C781/D781-1</f>
        <v>-0.421414199647413</v>
      </c>
      <c r="F781" s="42" t="n">
        <f aca="false">YEAR(A781)</f>
        <v>2016</v>
      </c>
    </row>
    <row r="782" customFormat="false" ht="15" hidden="false" customHeight="false" outlineLevel="0" collapsed="false">
      <c r="A782" s="38" t="n">
        <v>42527</v>
      </c>
      <c r="B782" s="39" t="n">
        <v>705</v>
      </c>
      <c r="C782" s="40" t="n">
        <v>1074839.6</v>
      </c>
      <c r="D782" s="40" t="n">
        <f aca="false">MAX(D781,C782)</f>
        <v>1974365.08</v>
      </c>
      <c r="E782" s="41" t="n">
        <f aca="false">C782/D782-1</f>
        <v>-0.455602405609807</v>
      </c>
      <c r="F782" s="42" t="n">
        <f aca="false">YEAR(A782)</f>
        <v>2016</v>
      </c>
    </row>
    <row r="783" customFormat="false" ht="15" hidden="false" customHeight="false" outlineLevel="0" collapsed="false">
      <c r="A783" s="38" t="n">
        <v>42528</v>
      </c>
      <c r="B783" s="39" t="n">
        <v>695</v>
      </c>
      <c r="C783" s="40" t="n">
        <v>1164839.6</v>
      </c>
      <c r="D783" s="40" t="n">
        <f aca="false">MAX(D782,C783)</f>
        <v>1974365.08</v>
      </c>
      <c r="E783" s="41" t="n">
        <f aca="false">C783/D783-1</f>
        <v>-0.410018130993281</v>
      </c>
      <c r="F783" s="42" t="n">
        <f aca="false">YEAR(A783)</f>
        <v>2016</v>
      </c>
    </row>
    <row r="784" customFormat="false" ht="15" hidden="false" customHeight="false" outlineLevel="0" collapsed="false">
      <c r="A784" s="38" t="n">
        <v>42529</v>
      </c>
      <c r="B784" s="39" t="n">
        <v>681</v>
      </c>
      <c r="C784" s="40" t="n">
        <v>1290839.6</v>
      </c>
      <c r="D784" s="40" t="n">
        <f aca="false">MAX(D783,C784)</f>
        <v>1974365.08</v>
      </c>
      <c r="E784" s="41" t="n">
        <f aca="false">C784/D784-1</f>
        <v>-0.346200146530144</v>
      </c>
      <c r="F784" s="42" t="n">
        <f aca="false">YEAR(A784)</f>
        <v>2016</v>
      </c>
    </row>
    <row r="785" customFormat="false" ht="15" hidden="false" customHeight="false" outlineLevel="0" collapsed="false">
      <c r="A785" s="38" t="n">
        <v>42534</v>
      </c>
      <c r="B785" s="39" t="n">
        <v>663.5</v>
      </c>
      <c r="C785" s="40" t="n">
        <v>1448339.6</v>
      </c>
      <c r="D785" s="40" t="n">
        <f aca="false">MAX(D784,C785)</f>
        <v>1974365.08</v>
      </c>
      <c r="E785" s="41" t="n">
        <f aca="false">C785/D785-1</f>
        <v>-0.266427665951223</v>
      </c>
      <c r="F785" s="42" t="n">
        <f aca="false">YEAR(A785)</f>
        <v>2016</v>
      </c>
    </row>
    <row r="786" customFormat="false" ht="15" hidden="false" customHeight="false" outlineLevel="0" collapsed="false">
      <c r="A786" s="38" t="n">
        <v>42535</v>
      </c>
      <c r="B786" s="39" t="n">
        <v>645.5</v>
      </c>
      <c r="C786" s="40" t="n">
        <v>1610339.6</v>
      </c>
      <c r="D786" s="40" t="n">
        <f aca="false">MAX(D785,C786)</f>
        <v>1974365.08</v>
      </c>
      <c r="E786" s="41" t="n">
        <f aca="false">C786/D786-1</f>
        <v>-0.184375971641476</v>
      </c>
      <c r="F786" s="42" t="n">
        <f aca="false">YEAR(A786)</f>
        <v>2016</v>
      </c>
    </row>
    <row r="787" customFormat="false" ht="15" hidden="false" customHeight="false" outlineLevel="0" collapsed="false">
      <c r="A787" s="38" t="n">
        <v>42536</v>
      </c>
      <c r="B787" s="39" t="n">
        <v>656</v>
      </c>
      <c r="C787" s="40" t="n">
        <v>1515839.6</v>
      </c>
      <c r="D787" s="40" t="n">
        <f aca="false">MAX(D786,C787)</f>
        <v>1974365.08</v>
      </c>
      <c r="E787" s="41" t="n">
        <f aca="false">C787/D787-1</f>
        <v>-0.232239459988828</v>
      </c>
      <c r="F787" s="42" t="n">
        <f aca="false">YEAR(A787)</f>
        <v>2016</v>
      </c>
    </row>
    <row r="788" customFormat="false" ht="15" hidden="false" customHeight="false" outlineLevel="0" collapsed="false">
      <c r="A788" s="38" t="n">
        <v>42537</v>
      </c>
      <c r="B788" s="39" t="n">
        <v>659</v>
      </c>
      <c r="C788" s="40" t="n">
        <v>1488839.6</v>
      </c>
      <c r="D788" s="40" t="n">
        <f aca="false">MAX(D787,C788)</f>
        <v>1974365.08</v>
      </c>
      <c r="E788" s="41" t="n">
        <f aca="false">C788/D788-1</f>
        <v>-0.245914742373786</v>
      </c>
      <c r="F788" s="42" t="n">
        <f aca="false">YEAR(A788)</f>
        <v>2016</v>
      </c>
    </row>
    <row r="789" customFormat="false" ht="15" hidden="false" customHeight="false" outlineLevel="0" collapsed="false">
      <c r="A789" s="38" t="n">
        <v>42538</v>
      </c>
      <c r="B789" s="39" t="n">
        <v>673.5</v>
      </c>
      <c r="C789" s="40" t="n">
        <v>1358339.6</v>
      </c>
      <c r="D789" s="40" t="n">
        <f aca="false">MAX(D788,C789)</f>
        <v>1974365.08</v>
      </c>
      <c r="E789" s="41" t="n">
        <f aca="false">C789/D789-1</f>
        <v>-0.31201194056775</v>
      </c>
      <c r="F789" s="42" t="n">
        <f aca="false">YEAR(A789)</f>
        <v>2016</v>
      </c>
    </row>
    <row r="790" customFormat="false" ht="15" hidden="false" customHeight="false" outlineLevel="0" collapsed="false">
      <c r="A790" s="38" t="n">
        <v>42541</v>
      </c>
      <c r="B790" s="39" t="n">
        <v>668</v>
      </c>
      <c r="C790" s="40" t="n">
        <v>1407839.6</v>
      </c>
      <c r="D790" s="40" t="n">
        <f aca="false">MAX(D789,C790)</f>
        <v>1974365.08</v>
      </c>
      <c r="E790" s="41" t="n">
        <f aca="false">C790/D790-1</f>
        <v>-0.28694058952866</v>
      </c>
      <c r="F790" s="42" t="n">
        <f aca="false">YEAR(A790)</f>
        <v>2016</v>
      </c>
    </row>
    <row r="791" customFormat="false" ht="15" hidden="false" customHeight="false" outlineLevel="0" collapsed="false">
      <c r="A791" s="38" t="n">
        <v>42542</v>
      </c>
      <c r="B791" s="39" t="n">
        <v>678</v>
      </c>
      <c r="C791" s="40" t="n">
        <v>1317839.6</v>
      </c>
      <c r="D791" s="40" t="n">
        <f aca="false">MAX(D790,C791)</f>
        <v>1974365.08</v>
      </c>
      <c r="E791" s="41" t="n">
        <f aca="false">C791/D791-1</f>
        <v>-0.332524864145186</v>
      </c>
      <c r="F791" s="42" t="n">
        <f aca="false">YEAR(A791)</f>
        <v>2016</v>
      </c>
    </row>
    <row r="792" customFormat="false" ht="15" hidden="false" customHeight="false" outlineLevel="0" collapsed="false">
      <c r="A792" s="38" t="n">
        <v>42543</v>
      </c>
      <c r="B792" s="39" t="n">
        <v>701.5</v>
      </c>
      <c r="C792" s="40" t="n">
        <v>1106339.6</v>
      </c>
      <c r="D792" s="40" t="n">
        <f aca="false">MAX(D791,C792)</f>
        <v>1974365.08</v>
      </c>
      <c r="E792" s="41" t="n">
        <f aca="false">C792/D792-1</f>
        <v>-0.439647909494023</v>
      </c>
      <c r="F792" s="42" t="n">
        <f aca="false">YEAR(A792)</f>
        <v>2016</v>
      </c>
    </row>
    <row r="793" customFormat="false" ht="15" hidden="false" customHeight="false" outlineLevel="0" collapsed="false">
      <c r="A793" s="38" t="n">
        <v>42544</v>
      </c>
      <c r="B793" s="39" t="n">
        <v>707.5</v>
      </c>
      <c r="C793" s="40" t="n">
        <v>1052339.6</v>
      </c>
      <c r="D793" s="40" t="n">
        <f aca="false">MAX(D792,C793)</f>
        <v>1974365.08</v>
      </c>
      <c r="E793" s="41" t="n">
        <f aca="false">C793/D793-1</f>
        <v>-0.466998474263939</v>
      </c>
      <c r="F793" s="42" t="n">
        <f aca="false">YEAR(A793)</f>
        <v>2016</v>
      </c>
    </row>
    <row r="794" customFormat="false" ht="15" hidden="false" customHeight="false" outlineLevel="0" collapsed="false">
      <c r="A794" s="38" t="n">
        <v>42545</v>
      </c>
      <c r="B794" s="39" t="n">
        <v>705.5</v>
      </c>
      <c r="C794" s="40" t="n">
        <v>1070339.6</v>
      </c>
      <c r="D794" s="40" t="n">
        <f aca="false">MAX(D793,C794)</f>
        <v>1974365.08</v>
      </c>
      <c r="E794" s="41" t="n">
        <f aca="false">C794/D794-1</f>
        <v>-0.457881619340634</v>
      </c>
      <c r="F794" s="42" t="n">
        <f aca="false">YEAR(A794)</f>
        <v>2016</v>
      </c>
    </row>
    <row r="795" customFormat="false" ht="15" hidden="false" customHeight="false" outlineLevel="0" collapsed="false">
      <c r="A795" s="38" t="n">
        <v>42548</v>
      </c>
      <c r="B795" s="39" t="n">
        <v>735</v>
      </c>
      <c r="C795" s="40" t="n">
        <v>804839.6</v>
      </c>
      <c r="D795" s="40" t="n">
        <f aca="false">MAX(D794,C795)</f>
        <v>1974365.08</v>
      </c>
      <c r="E795" s="41" t="n">
        <f aca="false">C795/D795-1</f>
        <v>-0.592355229459387</v>
      </c>
      <c r="F795" s="42" t="n">
        <f aca="false">YEAR(A795)</f>
        <v>2016</v>
      </c>
    </row>
    <row r="796" customFormat="false" ht="15" hidden="false" customHeight="false" outlineLevel="0" collapsed="false">
      <c r="A796" s="38" t="n">
        <v>42549</v>
      </c>
      <c r="B796" s="39" t="n">
        <v>729</v>
      </c>
      <c r="C796" s="40" t="n">
        <v>817677.95</v>
      </c>
      <c r="D796" s="40" t="n">
        <f aca="false">MAX(D795,C796)</f>
        <v>1974365.08</v>
      </c>
      <c r="E796" s="41" t="n">
        <f aca="false">C796/D796-1</f>
        <v>-0.58585270865913</v>
      </c>
      <c r="F796" s="42" t="n">
        <f aca="false">YEAR(A796)</f>
        <v>2016</v>
      </c>
    </row>
    <row r="797" customFormat="false" ht="15" hidden="false" customHeight="false" outlineLevel="0" collapsed="false">
      <c r="A797" s="38" t="n">
        <v>42550</v>
      </c>
      <c r="B797" s="39" t="n">
        <v>720.5</v>
      </c>
      <c r="C797" s="40" t="n">
        <v>817677.95</v>
      </c>
      <c r="D797" s="40" t="n">
        <f aca="false">MAX(D796,C797)</f>
        <v>1974365.08</v>
      </c>
      <c r="E797" s="41" t="n">
        <f aca="false">C797/D797-1</f>
        <v>-0.58585270865913</v>
      </c>
      <c r="F797" s="42" t="n">
        <f aca="false">YEAR(A797)</f>
        <v>2016</v>
      </c>
    </row>
    <row r="798" customFormat="false" ht="15" hidden="false" customHeight="false" outlineLevel="0" collapsed="false">
      <c r="A798" s="38" t="n">
        <v>42551</v>
      </c>
      <c r="B798" s="39" t="n">
        <v>727</v>
      </c>
      <c r="C798" s="40" t="n">
        <v>817677.95</v>
      </c>
      <c r="D798" s="40" t="n">
        <f aca="false">MAX(D797,C798)</f>
        <v>1974365.08</v>
      </c>
      <c r="E798" s="41" t="n">
        <f aca="false">C798/D798-1</f>
        <v>-0.58585270865913</v>
      </c>
      <c r="F798" s="42" t="n">
        <f aca="false">YEAR(A798)</f>
        <v>2016</v>
      </c>
    </row>
    <row r="799" customFormat="false" ht="15" hidden="false" customHeight="false" outlineLevel="0" collapsed="false">
      <c r="A799" s="38" t="n">
        <v>42552</v>
      </c>
      <c r="B799" s="39" t="n">
        <v>725</v>
      </c>
      <c r="C799" s="40" t="n">
        <v>817677.95</v>
      </c>
      <c r="D799" s="40" t="n">
        <f aca="false">MAX(D798,C799)</f>
        <v>1974365.08</v>
      </c>
      <c r="E799" s="41" t="n">
        <f aca="false">C799/D799-1</f>
        <v>-0.58585270865913</v>
      </c>
      <c r="F799" s="42" t="n">
        <f aca="false">YEAR(A799)</f>
        <v>2016</v>
      </c>
    </row>
    <row r="800" customFormat="false" ht="15" hidden="false" customHeight="false" outlineLevel="0" collapsed="false">
      <c r="A800" s="38" t="n">
        <v>42555</v>
      </c>
      <c r="B800" s="39" t="n">
        <v>737</v>
      </c>
      <c r="C800" s="40" t="n">
        <v>817677.95</v>
      </c>
      <c r="D800" s="40" t="n">
        <f aca="false">MAX(D799,C800)</f>
        <v>1974365.08</v>
      </c>
      <c r="E800" s="41" t="n">
        <f aca="false">C800/D800-1</f>
        <v>-0.58585270865913</v>
      </c>
      <c r="F800" s="42" t="n">
        <f aca="false">YEAR(A800)</f>
        <v>2016</v>
      </c>
    </row>
    <row r="801" customFormat="false" ht="15" hidden="false" customHeight="false" outlineLevel="0" collapsed="false">
      <c r="A801" s="38" t="n">
        <v>42556</v>
      </c>
      <c r="B801" s="39" t="n">
        <v>726</v>
      </c>
      <c r="C801" s="40" t="n">
        <v>817677.95</v>
      </c>
      <c r="D801" s="40" t="n">
        <f aca="false">MAX(D800,C801)</f>
        <v>1974365.08</v>
      </c>
      <c r="E801" s="41" t="n">
        <f aca="false">C801/D801-1</f>
        <v>-0.58585270865913</v>
      </c>
      <c r="F801" s="42" t="n">
        <f aca="false">YEAR(A801)</f>
        <v>2016</v>
      </c>
    </row>
    <row r="802" customFormat="false" ht="15" hidden="false" customHeight="false" outlineLevel="0" collapsed="false">
      <c r="A802" s="38" t="n">
        <v>42557</v>
      </c>
      <c r="B802" s="39" t="n">
        <v>728</v>
      </c>
      <c r="C802" s="40" t="n">
        <v>817677.95</v>
      </c>
      <c r="D802" s="40" t="n">
        <f aca="false">MAX(D801,C802)</f>
        <v>1974365.08</v>
      </c>
      <c r="E802" s="41" t="n">
        <f aca="false">C802/D802-1</f>
        <v>-0.58585270865913</v>
      </c>
      <c r="F802" s="42" t="n">
        <f aca="false">YEAR(A802)</f>
        <v>2016</v>
      </c>
    </row>
    <row r="803" customFormat="false" ht="15" hidden="false" customHeight="false" outlineLevel="0" collapsed="false">
      <c r="A803" s="38" t="n">
        <v>42558</v>
      </c>
      <c r="B803" s="39" t="n">
        <v>730</v>
      </c>
      <c r="C803" s="40" t="n">
        <v>817677.95</v>
      </c>
      <c r="D803" s="40" t="n">
        <f aca="false">MAX(D802,C803)</f>
        <v>1974365.08</v>
      </c>
      <c r="E803" s="41" t="n">
        <f aca="false">C803/D803-1</f>
        <v>-0.58585270865913</v>
      </c>
      <c r="F803" s="42" t="n">
        <f aca="false">YEAR(A803)</f>
        <v>2016</v>
      </c>
    </row>
    <row r="804" customFormat="false" ht="15" hidden="false" customHeight="false" outlineLevel="0" collapsed="false">
      <c r="A804" s="38" t="n">
        <v>42559</v>
      </c>
      <c r="B804" s="39" t="n">
        <v>741.5</v>
      </c>
      <c r="C804" s="40" t="n">
        <v>817677.95</v>
      </c>
      <c r="D804" s="40" t="n">
        <f aca="false">MAX(D803,C804)</f>
        <v>1974365.08</v>
      </c>
      <c r="E804" s="41" t="n">
        <f aca="false">C804/D804-1</f>
        <v>-0.58585270865913</v>
      </c>
      <c r="F804" s="42" t="n">
        <f aca="false">YEAR(A804)</f>
        <v>2016</v>
      </c>
    </row>
    <row r="805" customFormat="false" ht="15" hidden="false" customHeight="false" outlineLevel="0" collapsed="false">
      <c r="A805" s="38" t="n">
        <v>42562</v>
      </c>
      <c r="B805" s="39" t="n">
        <v>747.5</v>
      </c>
      <c r="C805" s="40" t="n">
        <v>817677.95</v>
      </c>
      <c r="D805" s="40" t="n">
        <f aca="false">MAX(D804,C805)</f>
        <v>1974365.08</v>
      </c>
      <c r="E805" s="41" t="n">
        <f aca="false">C805/D805-1</f>
        <v>-0.58585270865913</v>
      </c>
      <c r="F805" s="42" t="n">
        <f aca="false">YEAR(A805)</f>
        <v>2016</v>
      </c>
    </row>
    <row r="806" customFormat="false" ht="15" hidden="false" customHeight="false" outlineLevel="0" collapsed="false">
      <c r="A806" s="38" t="n">
        <v>42563</v>
      </c>
      <c r="B806" s="39" t="n">
        <v>780</v>
      </c>
      <c r="C806" s="40" t="n">
        <v>817677.95</v>
      </c>
      <c r="D806" s="40" t="n">
        <f aca="false">MAX(D805,C806)</f>
        <v>1974365.08</v>
      </c>
      <c r="E806" s="41" t="n">
        <f aca="false">C806/D806-1</f>
        <v>-0.58585270865913</v>
      </c>
      <c r="F806" s="42" t="n">
        <f aca="false">YEAR(A806)</f>
        <v>2016</v>
      </c>
    </row>
    <row r="807" customFormat="false" ht="15" hidden="false" customHeight="false" outlineLevel="0" collapsed="false">
      <c r="A807" s="38" t="n">
        <v>42564</v>
      </c>
      <c r="B807" s="39" t="n">
        <v>765.5</v>
      </c>
      <c r="C807" s="40" t="n">
        <v>817677.95</v>
      </c>
      <c r="D807" s="40" t="n">
        <f aca="false">MAX(D806,C807)</f>
        <v>1974365.08</v>
      </c>
      <c r="E807" s="41" t="n">
        <f aca="false">C807/D807-1</f>
        <v>-0.58585270865913</v>
      </c>
      <c r="F807" s="42" t="n">
        <f aca="false">YEAR(A807)</f>
        <v>2016</v>
      </c>
    </row>
    <row r="808" customFormat="false" ht="15" hidden="false" customHeight="false" outlineLevel="0" collapsed="false">
      <c r="A808" s="38" t="n">
        <v>42565</v>
      </c>
      <c r="B808" s="39" t="n">
        <v>750.5</v>
      </c>
      <c r="C808" s="40" t="n">
        <v>817677.95</v>
      </c>
      <c r="D808" s="40" t="n">
        <f aca="false">MAX(D807,C808)</f>
        <v>1974365.08</v>
      </c>
      <c r="E808" s="41" t="n">
        <f aca="false">C808/D808-1</f>
        <v>-0.58585270865913</v>
      </c>
      <c r="F808" s="42" t="n">
        <f aca="false">YEAR(A808)</f>
        <v>2016</v>
      </c>
    </row>
    <row r="809" customFormat="false" ht="15" hidden="false" customHeight="false" outlineLevel="0" collapsed="false">
      <c r="A809" s="38" t="n">
        <v>42566</v>
      </c>
      <c r="B809" s="39" t="n">
        <v>755.5</v>
      </c>
      <c r="C809" s="40" t="n">
        <v>817677.95</v>
      </c>
      <c r="D809" s="40" t="n">
        <f aca="false">MAX(D808,C809)</f>
        <v>1974365.08</v>
      </c>
      <c r="E809" s="41" t="n">
        <f aca="false">C809/D809-1</f>
        <v>-0.58585270865913</v>
      </c>
      <c r="F809" s="42" t="n">
        <f aca="false">YEAR(A809)</f>
        <v>2016</v>
      </c>
    </row>
    <row r="810" customFormat="false" ht="15" hidden="false" customHeight="false" outlineLevel="0" collapsed="false">
      <c r="A810" s="38" t="n">
        <v>42569</v>
      </c>
      <c r="B810" s="39" t="n">
        <v>726</v>
      </c>
      <c r="C810" s="40" t="n">
        <v>817677.95</v>
      </c>
      <c r="D810" s="40" t="n">
        <f aca="false">MAX(D809,C810)</f>
        <v>1974365.08</v>
      </c>
      <c r="E810" s="41" t="n">
        <f aca="false">C810/D810-1</f>
        <v>-0.58585270865913</v>
      </c>
      <c r="F810" s="42" t="n">
        <f aca="false">YEAR(A810)</f>
        <v>2016</v>
      </c>
    </row>
    <row r="811" customFormat="false" ht="15" hidden="false" customHeight="false" outlineLevel="0" collapsed="false">
      <c r="A811" s="38" t="n">
        <v>42570</v>
      </c>
      <c r="B811" s="39" t="n">
        <v>730.5</v>
      </c>
      <c r="C811" s="40" t="n">
        <v>817677.95</v>
      </c>
      <c r="D811" s="40" t="n">
        <f aca="false">MAX(D810,C811)</f>
        <v>1974365.08</v>
      </c>
      <c r="E811" s="41" t="n">
        <f aca="false">C811/D811-1</f>
        <v>-0.58585270865913</v>
      </c>
      <c r="F811" s="42" t="n">
        <f aca="false">YEAR(A811)</f>
        <v>2016</v>
      </c>
    </row>
    <row r="812" customFormat="false" ht="15" hidden="false" customHeight="false" outlineLevel="0" collapsed="false">
      <c r="A812" s="38" t="n">
        <v>42571</v>
      </c>
      <c r="B812" s="39" t="n">
        <v>731.5</v>
      </c>
      <c r="C812" s="40" t="n">
        <v>817677.95</v>
      </c>
      <c r="D812" s="40" t="n">
        <f aca="false">MAX(D811,C812)</f>
        <v>1974365.08</v>
      </c>
      <c r="E812" s="41" t="n">
        <f aca="false">C812/D812-1</f>
        <v>-0.58585270865913</v>
      </c>
      <c r="F812" s="42" t="n">
        <f aca="false">YEAR(A812)</f>
        <v>2016</v>
      </c>
    </row>
    <row r="813" customFormat="false" ht="15" hidden="false" customHeight="false" outlineLevel="0" collapsed="false">
      <c r="A813" s="38" t="n">
        <v>42572</v>
      </c>
      <c r="B813" s="39" t="n">
        <v>750.5</v>
      </c>
      <c r="C813" s="40" t="n">
        <v>817677.95</v>
      </c>
      <c r="D813" s="40" t="n">
        <f aca="false">MAX(D812,C813)</f>
        <v>1974365.08</v>
      </c>
      <c r="E813" s="41" t="n">
        <f aca="false">C813/D813-1</f>
        <v>-0.58585270865913</v>
      </c>
      <c r="F813" s="42" t="n">
        <f aca="false">YEAR(A813)</f>
        <v>2016</v>
      </c>
    </row>
    <row r="814" customFormat="false" ht="15" hidden="false" customHeight="false" outlineLevel="0" collapsed="false">
      <c r="A814" s="38" t="n">
        <v>42573</v>
      </c>
      <c r="B814" s="39" t="n">
        <v>739.5</v>
      </c>
      <c r="C814" s="40" t="n">
        <v>817677.95</v>
      </c>
      <c r="D814" s="40" t="n">
        <f aca="false">MAX(D813,C814)</f>
        <v>1974365.08</v>
      </c>
      <c r="E814" s="41" t="n">
        <f aca="false">C814/D814-1</f>
        <v>-0.58585270865913</v>
      </c>
      <c r="F814" s="42" t="n">
        <f aca="false">YEAR(A814)</f>
        <v>2016</v>
      </c>
    </row>
    <row r="815" customFormat="false" ht="15" hidden="false" customHeight="false" outlineLevel="0" collapsed="false">
      <c r="A815" s="38" t="n">
        <v>42576</v>
      </c>
      <c r="B815" s="39" t="n">
        <v>757</v>
      </c>
      <c r="C815" s="40" t="n">
        <v>817677.95</v>
      </c>
      <c r="D815" s="40" t="n">
        <f aca="false">MAX(D814,C815)</f>
        <v>1974365.08</v>
      </c>
      <c r="E815" s="41" t="n">
        <f aca="false">C815/D815-1</f>
        <v>-0.58585270865913</v>
      </c>
      <c r="F815" s="42" t="n">
        <f aca="false">YEAR(A815)</f>
        <v>2016</v>
      </c>
    </row>
    <row r="816" customFormat="false" ht="15" hidden="false" customHeight="false" outlineLevel="0" collapsed="false">
      <c r="A816" s="38" t="n">
        <v>42577</v>
      </c>
      <c r="B816" s="39" t="n">
        <v>751</v>
      </c>
      <c r="C816" s="40" t="n">
        <v>817677.95</v>
      </c>
      <c r="D816" s="40" t="n">
        <f aca="false">MAX(D815,C816)</f>
        <v>1974365.08</v>
      </c>
      <c r="E816" s="41" t="n">
        <f aca="false">C816/D816-1</f>
        <v>-0.58585270865913</v>
      </c>
      <c r="F816" s="42" t="n">
        <f aca="false">YEAR(A816)</f>
        <v>2016</v>
      </c>
    </row>
    <row r="817" customFormat="false" ht="15" hidden="false" customHeight="false" outlineLevel="0" collapsed="false">
      <c r="A817" s="38" t="n">
        <v>42578</v>
      </c>
      <c r="B817" s="39" t="n">
        <v>761.5</v>
      </c>
      <c r="C817" s="40" t="n">
        <v>817677.95</v>
      </c>
      <c r="D817" s="40" t="n">
        <f aca="false">MAX(D816,C817)</f>
        <v>1974365.08</v>
      </c>
      <c r="E817" s="41" t="n">
        <f aca="false">C817/D817-1</f>
        <v>-0.58585270865913</v>
      </c>
      <c r="F817" s="42" t="n">
        <f aca="false">YEAR(A817)</f>
        <v>2016</v>
      </c>
    </row>
    <row r="818" customFormat="false" ht="15" hidden="false" customHeight="false" outlineLevel="0" collapsed="false">
      <c r="A818" s="38" t="n">
        <v>42579</v>
      </c>
      <c r="B818" s="39" t="n">
        <v>778</v>
      </c>
      <c r="C818" s="40" t="n">
        <v>868396.89</v>
      </c>
      <c r="D818" s="40" t="n">
        <f aca="false">MAX(D817,C818)</f>
        <v>1974365.08</v>
      </c>
      <c r="E818" s="41" t="n">
        <f aca="false">C818/D818-1</f>
        <v>-0.560163974334473</v>
      </c>
      <c r="F818" s="42" t="n">
        <f aca="false">YEAR(A818)</f>
        <v>2016</v>
      </c>
    </row>
    <row r="819" customFormat="false" ht="15" hidden="false" customHeight="false" outlineLevel="0" collapsed="false">
      <c r="A819" s="38" t="n">
        <v>42580</v>
      </c>
      <c r="B819" s="39" t="n">
        <v>771.5</v>
      </c>
      <c r="C819" s="40" t="n">
        <v>839536.89</v>
      </c>
      <c r="D819" s="40" t="n">
        <f aca="false">MAX(D818,C819)</f>
        <v>1974365.08</v>
      </c>
      <c r="E819" s="41" t="n">
        <f aca="false">C819/D819-1</f>
        <v>-0.574781331728173</v>
      </c>
      <c r="F819" s="42" t="n">
        <f aca="false">YEAR(A819)</f>
        <v>2016</v>
      </c>
    </row>
    <row r="820" customFormat="false" ht="15" hidden="false" customHeight="false" outlineLevel="0" collapsed="false">
      <c r="A820" s="38" t="n">
        <v>42583</v>
      </c>
      <c r="B820" s="39" t="n">
        <v>790</v>
      </c>
      <c r="C820" s="40" t="n">
        <v>921676.89</v>
      </c>
      <c r="D820" s="40" t="n">
        <f aca="false">MAX(D819,C820)</f>
        <v>1974365.08</v>
      </c>
      <c r="E820" s="41" t="n">
        <f aca="false">C820/D820-1</f>
        <v>-0.53317808376149</v>
      </c>
      <c r="F820" s="42" t="n">
        <f aca="false">YEAR(A820)</f>
        <v>2016</v>
      </c>
    </row>
    <row r="821" customFormat="false" ht="15" hidden="false" customHeight="false" outlineLevel="0" collapsed="false">
      <c r="A821" s="38" t="n">
        <v>42584</v>
      </c>
      <c r="B821" s="39" t="n">
        <v>797</v>
      </c>
      <c r="C821" s="40" t="n">
        <v>952756.89</v>
      </c>
      <c r="D821" s="40" t="n">
        <f aca="false">MAX(D820,C821)</f>
        <v>1974365.08</v>
      </c>
      <c r="E821" s="41" t="n">
        <f aca="false">C821/D821-1</f>
        <v>-0.517436314260583</v>
      </c>
      <c r="F821" s="42" t="n">
        <f aca="false">YEAR(A821)</f>
        <v>2016</v>
      </c>
    </row>
    <row r="822" customFormat="false" ht="15" hidden="false" customHeight="false" outlineLevel="0" collapsed="false">
      <c r="A822" s="38" t="n">
        <v>42585</v>
      </c>
      <c r="B822" s="39" t="n">
        <v>793</v>
      </c>
      <c r="C822" s="40" t="n">
        <v>934996.89</v>
      </c>
      <c r="D822" s="40" t="n">
        <f aca="false">MAX(D821,C822)</f>
        <v>1974365.08</v>
      </c>
      <c r="E822" s="41" t="n">
        <f aca="false">C822/D822-1</f>
        <v>-0.526431611118244</v>
      </c>
      <c r="F822" s="42" t="n">
        <f aca="false">YEAR(A822)</f>
        <v>2016</v>
      </c>
    </row>
    <row r="823" customFormat="false" ht="15" hidden="false" customHeight="false" outlineLevel="0" collapsed="false">
      <c r="A823" s="38" t="n">
        <v>42586</v>
      </c>
      <c r="B823" s="39" t="n">
        <v>782.5</v>
      </c>
      <c r="C823" s="40" t="n">
        <v>888376.89</v>
      </c>
      <c r="D823" s="40" t="n">
        <f aca="false">MAX(D822,C823)</f>
        <v>1974365.08</v>
      </c>
      <c r="E823" s="41" t="n">
        <f aca="false">C823/D823-1</f>
        <v>-0.550044265369604</v>
      </c>
      <c r="F823" s="42" t="n">
        <f aca="false">YEAR(A823)</f>
        <v>2016</v>
      </c>
    </row>
    <row r="824" customFormat="false" ht="15" hidden="false" customHeight="false" outlineLevel="0" collapsed="false">
      <c r="A824" s="38" t="n">
        <v>42587</v>
      </c>
      <c r="B824" s="39" t="n">
        <v>799</v>
      </c>
      <c r="C824" s="40" t="n">
        <v>961636.89</v>
      </c>
      <c r="D824" s="40" t="n">
        <f aca="false">MAX(D823,C824)</f>
        <v>1974365.08</v>
      </c>
      <c r="E824" s="41" t="n">
        <f aca="false">C824/D824-1</f>
        <v>-0.512938665831752</v>
      </c>
      <c r="F824" s="42" t="n">
        <f aca="false">YEAR(A824)</f>
        <v>2016</v>
      </c>
    </row>
    <row r="825" customFormat="false" ht="15" hidden="false" customHeight="false" outlineLevel="0" collapsed="false">
      <c r="A825" s="38" t="n">
        <v>42590</v>
      </c>
      <c r="B825" s="39" t="n">
        <v>835</v>
      </c>
      <c r="C825" s="40" t="n">
        <v>1121476.89</v>
      </c>
      <c r="D825" s="40" t="n">
        <f aca="false">MAX(D824,C825)</f>
        <v>1974365.08</v>
      </c>
      <c r="E825" s="41" t="n">
        <f aca="false">C825/D825-1</f>
        <v>-0.431980994112801</v>
      </c>
      <c r="F825" s="42" t="n">
        <f aca="false">YEAR(A825)</f>
        <v>2016</v>
      </c>
    </row>
    <row r="826" customFormat="false" ht="15" hidden="false" customHeight="false" outlineLevel="0" collapsed="false">
      <c r="A826" s="38" t="n">
        <v>42591</v>
      </c>
      <c r="B826" s="39" t="n">
        <v>822.5</v>
      </c>
      <c r="C826" s="40" t="n">
        <v>1065976.89</v>
      </c>
      <c r="D826" s="40" t="n">
        <f aca="false">MAX(D825,C826)</f>
        <v>1974365.08</v>
      </c>
      <c r="E826" s="41" t="n">
        <f aca="false">C826/D826-1</f>
        <v>-0.460091296792992</v>
      </c>
      <c r="F826" s="42" t="n">
        <f aca="false">YEAR(A826)</f>
        <v>2016</v>
      </c>
    </row>
    <row r="827" customFormat="false" ht="15" hidden="false" customHeight="false" outlineLevel="0" collapsed="false">
      <c r="A827" s="38" t="n">
        <v>42592</v>
      </c>
      <c r="B827" s="39" t="n">
        <v>826</v>
      </c>
      <c r="C827" s="40" t="n">
        <v>1081516.89</v>
      </c>
      <c r="D827" s="40" t="n">
        <f aca="false">MAX(D826,C827)</f>
        <v>1974365.08</v>
      </c>
      <c r="E827" s="41" t="n">
        <f aca="false">C827/D827-1</f>
        <v>-0.452220412042539</v>
      </c>
      <c r="F827" s="42" t="n">
        <f aca="false">YEAR(A827)</f>
        <v>2016</v>
      </c>
    </row>
    <row r="828" customFormat="false" ht="15" hidden="false" customHeight="false" outlineLevel="0" collapsed="false">
      <c r="A828" s="38" t="n">
        <v>42593</v>
      </c>
      <c r="B828" s="39" t="n">
        <v>831.5</v>
      </c>
      <c r="C828" s="40" t="n">
        <v>1105936.89</v>
      </c>
      <c r="D828" s="40" t="n">
        <f aca="false">MAX(D827,C828)</f>
        <v>1974365.08</v>
      </c>
      <c r="E828" s="41" t="n">
        <f aca="false">C828/D828-1</f>
        <v>-0.439851878863255</v>
      </c>
      <c r="F828" s="42" t="n">
        <f aca="false">YEAR(A828)</f>
        <v>2016</v>
      </c>
    </row>
    <row r="829" customFormat="false" ht="15" hidden="false" customHeight="false" outlineLevel="0" collapsed="false">
      <c r="A829" s="38" t="n">
        <v>42594</v>
      </c>
      <c r="B829" s="39" t="n">
        <v>845.5</v>
      </c>
      <c r="C829" s="40" t="n">
        <v>1168096.89</v>
      </c>
      <c r="D829" s="40" t="n">
        <f aca="false">MAX(D828,C829)</f>
        <v>1974365.08</v>
      </c>
      <c r="E829" s="41" t="n">
        <f aca="false">C829/D829-1</f>
        <v>-0.408368339861441</v>
      </c>
      <c r="F829" s="42" t="n">
        <f aca="false">YEAR(A829)</f>
        <v>2016</v>
      </c>
    </row>
    <row r="830" customFormat="false" ht="15" hidden="false" customHeight="false" outlineLevel="0" collapsed="false">
      <c r="A830" s="38" t="n">
        <v>42597</v>
      </c>
      <c r="B830" s="39" t="n">
        <v>829.5</v>
      </c>
      <c r="C830" s="40" t="n">
        <v>1097056.89</v>
      </c>
      <c r="D830" s="40" t="n">
        <f aca="false">MAX(D829,C830)</f>
        <v>1974365.08</v>
      </c>
      <c r="E830" s="41" t="n">
        <f aca="false">C830/D830-1</f>
        <v>-0.444349527292085</v>
      </c>
      <c r="F830" s="42" t="n">
        <f aca="false">YEAR(A830)</f>
        <v>2016</v>
      </c>
    </row>
    <row r="831" customFormat="false" ht="15" hidden="false" customHeight="false" outlineLevel="0" collapsed="false">
      <c r="A831" s="38" t="n">
        <v>42598</v>
      </c>
      <c r="B831" s="39" t="n">
        <v>845</v>
      </c>
      <c r="C831" s="40" t="n">
        <v>1165876.89</v>
      </c>
      <c r="D831" s="40" t="n">
        <f aca="false">MAX(D830,C831)</f>
        <v>1974365.08</v>
      </c>
      <c r="E831" s="41" t="n">
        <f aca="false">C831/D831-1</f>
        <v>-0.409492751968648</v>
      </c>
      <c r="F831" s="42" t="n">
        <f aca="false">YEAR(A831)</f>
        <v>2016</v>
      </c>
    </row>
    <row r="832" customFormat="false" ht="15" hidden="false" customHeight="false" outlineLevel="0" collapsed="false">
      <c r="A832" s="38" t="n">
        <v>42599</v>
      </c>
      <c r="B832" s="39" t="n">
        <v>840.5</v>
      </c>
      <c r="C832" s="40" t="n">
        <v>1145896.89</v>
      </c>
      <c r="D832" s="40" t="n">
        <f aca="false">MAX(D831,C832)</f>
        <v>1974365.08</v>
      </c>
      <c r="E832" s="41" t="n">
        <f aca="false">C832/D832-1</f>
        <v>-0.419612460933517</v>
      </c>
      <c r="F832" s="42" t="n">
        <f aca="false">YEAR(A832)</f>
        <v>2016</v>
      </c>
    </row>
    <row r="833" customFormat="false" ht="15" hidden="false" customHeight="false" outlineLevel="0" collapsed="false">
      <c r="A833" s="38" t="n">
        <v>42600</v>
      </c>
      <c r="B833" s="39" t="n">
        <v>825.5</v>
      </c>
      <c r="C833" s="40" t="n">
        <v>1079296.89</v>
      </c>
      <c r="D833" s="40" t="n">
        <f aca="false">MAX(D832,C833)</f>
        <v>1974365.08</v>
      </c>
      <c r="E833" s="41" t="n">
        <f aca="false">C833/D833-1</f>
        <v>-0.453344824149747</v>
      </c>
      <c r="F833" s="42" t="n">
        <f aca="false">YEAR(A833)</f>
        <v>2016</v>
      </c>
    </row>
    <row r="834" customFormat="false" ht="15" hidden="false" customHeight="false" outlineLevel="0" collapsed="false">
      <c r="A834" s="38" t="n">
        <v>42601</v>
      </c>
      <c r="B834" s="39" t="n">
        <v>830</v>
      </c>
      <c r="C834" s="40" t="n">
        <v>1099276.89</v>
      </c>
      <c r="D834" s="40" t="n">
        <f aca="false">MAX(D833,C834)</f>
        <v>1974365.08</v>
      </c>
      <c r="E834" s="41" t="n">
        <f aca="false">C834/D834-1</f>
        <v>-0.443225115184878</v>
      </c>
      <c r="F834" s="42" t="n">
        <f aca="false">YEAR(A834)</f>
        <v>2016</v>
      </c>
    </row>
    <row r="835" customFormat="false" ht="15" hidden="false" customHeight="false" outlineLevel="0" collapsed="false">
      <c r="A835" s="38" t="n">
        <v>42604</v>
      </c>
      <c r="B835" s="39" t="n">
        <v>839.5</v>
      </c>
      <c r="C835" s="40" t="n">
        <v>1141456.89</v>
      </c>
      <c r="D835" s="40" t="n">
        <f aca="false">MAX(D834,C835)</f>
        <v>1974365.08</v>
      </c>
      <c r="E835" s="41" t="n">
        <f aca="false">C835/D835-1</f>
        <v>-0.421861285147932</v>
      </c>
      <c r="F835" s="42" t="n">
        <f aca="false">YEAR(A835)</f>
        <v>2016</v>
      </c>
    </row>
    <row r="836" customFormat="false" ht="15" hidden="false" customHeight="false" outlineLevel="0" collapsed="false">
      <c r="A836" s="38" t="n">
        <v>42605</v>
      </c>
      <c r="B836" s="39" t="n">
        <v>852</v>
      </c>
      <c r="C836" s="40" t="n">
        <v>1196956.89</v>
      </c>
      <c r="D836" s="40" t="n">
        <f aca="false">MAX(D835,C836)</f>
        <v>1974365.08</v>
      </c>
      <c r="E836" s="41" t="n">
        <f aca="false">C836/D836-1</f>
        <v>-0.393750982467741</v>
      </c>
      <c r="F836" s="42" t="n">
        <f aca="false">YEAR(A836)</f>
        <v>2016</v>
      </c>
    </row>
    <row r="837" customFormat="false" ht="15" hidden="false" customHeight="false" outlineLevel="0" collapsed="false">
      <c r="A837" s="38" t="n">
        <v>42606</v>
      </c>
      <c r="B837" s="39" t="n">
        <v>853</v>
      </c>
      <c r="C837" s="40" t="n">
        <v>1201396.89</v>
      </c>
      <c r="D837" s="40" t="n">
        <f aca="false">MAX(D836,C837)</f>
        <v>1974365.08</v>
      </c>
      <c r="E837" s="41" t="n">
        <f aca="false">C837/D837-1</f>
        <v>-0.391502158253326</v>
      </c>
      <c r="F837" s="42" t="n">
        <f aca="false">YEAR(A837)</f>
        <v>2016</v>
      </c>
    </row>
    <row r="838" customFormat="false" ht="15" hidden="false" customHeight="false" outlineLevel="0" collapsed="false">
      <c r="A838" s="38" t="n">
        <v>42607</v>
      </c>
      <c r="B838" s="39" t="n">
        <v>849</v>
      </c>
      <c r="C838" s="40" t="n">
        <v>1183636.89</v>
      </c>
      <c r="D838" s="40" t="n">
        <f aca="false">MAX(D837,C838)</f>
        <v>1974365.08</v>
      </c>
      <c r="E838" s="41" t="n">
        <f aca="false">C838/D838-1</f>
        <v>-0.400497455110987</v>
      </c>
      <c r="F838" s="42" t="n">
        <f aca="false">YEAR(A838)</f>
        <v>2016</v>
      </c>
    </row>
    <row r="839" customFormat="false" ht="15" hidden="false" customHeight="false" outlineLevel="0" collapsed="false">
      <c r="A839" s="38" t="n">
        <v>42608</v>
      </c>
      <c r="B839" s="39" t="n">
        <v>852.5</v>
      </c>
      <c r="C839" s="40" t="n">
        <v>1199176.89</v>
      </c>
      <c r="D839" s="40" t="n">
        <f aca="false">MAX(D838,C839)</f>
        <v>1974365.08</v>
      </c>
      <c r="E839" s="41" t="n">
        <f aca="false">C839/D839-1</f>
        <v>-0.392626570360533</v>
      </c>
      <c r="F839" s="42" t="n">
        <f aca="false">YEAR(A839)</f>
        <v>2016</v>
      </c>
    </row>
    <row r="840" customFormat="false" ht="15" hidden="false" customHeight="false" outlineLevel="0" collapsed="false">
      <c r="A840" s="38" t="n">
        <v>42611</v>
      </c>
      <c r="B840" s="39" t="n">
        <v>867.5</v>
      </c>
      <c r="C840" s="40" t="n">
        <v>1265776.89</v>
      </c>
      <c r="D840" s="40" t="n">
        <f aca="false">MAX(D839,C840)</f>
        <v>1974365.08</v>
      </c>
      <c r="E840" s="41" t="n">
        <f aca="false">C840/D840-1</f>
        <v>-0.358894207144304</v>
      </c>
      <c r="F840" s="42" t="n">
        <f aca="false">YEAR(A840)</f>
        <v>2016</v>
      </c>
    </row>
    <row r="841" customFormat="false" ht="15" hidden="false" customHeight="false" outlineLevel="0" collapsed="false">
      <c r="A841" s="38" t="n">
        <v>42612</v>
      </c>
      <c r="B841" s="39" t="n">
        <v>878</v>
      </c>
      <c r="C841" s="40" t="n">
        <v>1312396.89</v>
      </c>
      <c r="D841" s="40" t="n">
        <f aca="false">MAX(D840,C841)</f>
        <v>1974365.08</v>
      </c>
      <c r="E841" s="41" t="n">
        <f aca="false">C841/D841-1</f>
        <v>-0.335281552892943</v>
      </c>
      <c r="F841" s="42" t="n">
        <f aca="false">YEAR(A841)</f>
        <v>2016</v>
      </c>
    </row>
    <row r="842" customFormat="false" ht="15" hidden="false" customHeight="false" outlineLevel="0" collapsed="false">
      <c r="A842" s="38" t="n">
        <v>42613</v>
      </c>
      <c r="B842" s="39" t="n">
        <v>856</v>
      </c>
      <c r="C842" s="40" t="n">
        <v>1214716.89</v>
      </c>
      <c r="D842" s="40" t="n">
        <f aca="false">MAX(D841,C842)</f>
        <v>1974365.08</v>
      </c>
      <c r="E842" s="41" t="n">
        <f aca="false">C842/D842-1</f>
        <v>-0.38475568561008</v>
      </c>
      <c r="F842" s="42" t="n">
        <f aca="false">YEAR(A842)</f>
        <v>2016</v>
      </c>
    </row>
    <row r="843" customFormat="false" ht="15" hidden="false" customHeight="false" outlineLevel="0" collapsed="false">
      <c r="A843" s="38" t="n">
        <v>42614</v>
      </c>
      <c r="B843" s="39" t="n">
        <v>873.5</v>
      </c>
      <c r="C843" s="40" t="n">
        <v>1292416.89</v>
      </c>
      <c r="D843" s="40" t="n">
        <f aca="false">MAX(D842,C843)</f>
        <v>1974365.08</v>
      </c>
      <c r="E843" s="41" t="n">
        <f aca="false">C843/D843-1</f>
        <v>-0.345401261857812</v>
      </c>
      <c r="F843" s="42" t="n">
        <f aca="false">YEAR(A843)</f>
        <v>2016</v>
      </c>
    </row>
    <row r="844" customFormat="false" ht="15" hidden="false" customHeight="false" outlineLevel="0" collapsed="false">
      <c r="A844" s="38" t="n">
        <v>42615</v>
      </c>
      <c r="B844" s="39" t="n">
        <v>898.5</v>
      </c>
      <c r="C844" s="40" t="n">
        <v>1403416.89</v>
      </c>
      <c r="D844" s="40" t="n">
        <f aca="false">MAX(D843,C844)</f>
        <v>1974365.08</v>
      </c>
      <c r="E844" s="41" t="n">
        <f aca="false">C844/D844-1</f>
        <v>-0.28918065649743</v>
      </c>
      <c r="F844" s="42" t="n">
        <f aca="false">YEAR(A844)</f>
        <v>2016</v>
      </c>
    </row>
    <row r="845" customFormat="false" ht="15" hidden="false" customHeight="false" outlineLevel="0" collapsed="false">
      <c r="A845" s="38" t="n">
        <v>42618</v>
      </c>
      <c r="B845" s="39" t="n">
        <v>934.5</v>
      </c>
      <c r="C845" s="40" t="n">
        <v>1563256.89</v>
      </c>
      <c r="D845" s="40" t="n">
        <f aca="false">MAX(D844,C845)</f>
        <v>1974365.08</v>
      </c>
      <c r="E845" s="41" t="n">
        <f aca="false">C845/D845-1</f>
        <v>-0.208222984778479</v>
      </c>
      <c r="F845" s="42" t="n">
        <f aca="false">YEAR(A845)</f>
        <v>2016</v>
      </c>
    </row>
    <row r="846" customFormat="false" ht="15" hidden="false" customHeight="false" outlineLevel="0" collapsed="false">
      <c r="A846" s="38" t="n">
        <v>42619</v>
      </c>
      <c r="B846" s="39" t="n">
        <v>943.5</v>
      </c>
      <c r="C846" s="40" t="n">
        <v>1603216.89</v>
      </c>
      <c r="D846" s="40" t="n">
        <f aca="false">MAX(D845,C846)</f>
        <v>1974365.08</v>
      </c>
      <c r="E846" s="41" t="n">
        <f aca="false">C846/D846-1</f>
        <v>-0.187983566848741</v>
      </c>
      <c r="F846" s="42" t="n">
        <f aca="false">YEAR(A846)</f>
        <v>2016</v>
      </c>
    </row>
    <row r="847" customFormat="false" ht="15" hidden="false" customHeight="false" outlineLevel="0" collapsed="false">
      <c r="A847" s="38" t="n">
        <v>42620</v>
      </c>
      <c r="B847" s="39" t="n">
        <v>902</v>
      </c>
      <c r="C847" s="40" t="n">
        <v>1418956.89</v>
      </c>
      <c r="D847" s="40" t="n">
        <f aca="false">MAX(D846,C847)</f>
        <v>1974365.08</v>
      </c>
      <c r="E847" s="41" t="n">
        <f aca="false">C847/D847-1</f>
        <v>-0.281309771746976</v>
      </c>
      <c r="F847" s="42" t="n">
        <f aca="false">YEAR(A847)</f>
        <v>2016</v>
      </c>
    </row>
    <row r="848" customFormat="false" ht="15" hidden="false" customHeight="false" outlineLevel="0" collapsed="false">
      <c r="A848" s="38" t="n">
        <v>42621</v>
      </c>
      <c r="B848" s="39" t="n">
        <v>907.5</v>
      </c>
      <c r="C848" s="40" t="n">
        <v>1443376.89</v>
      </c>
      <c r="D848" s="40" t="n">
        <f aca="false">MAX(D847,C848)</f>
        <v>1974365.08</v>
      </c>
      <c r="E848" s="41" t="n">
        <f aca="false">C848/D848-1</f>
        <v>-0.268941238567692</v>
      </c>
      <c r="F848" s="42" t="n">
        <f aca="false">YEAR(A848)</f>
        <v>2016</v>
      </c>
    </row>
    <row r="849" customFormat="false" ht="15" hidden="false" customHeight="false" outlineLevel="0" collapsed="false">
      <c r="A849" s="38" t="n">
        <v>42622</v>
      </c>
      <c r="B849" s="39" t="n">
        <v>899.5</v>
      </c>
      <c r="C849" s="40" t="n">
        <v>1407856.89</v>
      </c>
      <c r="D849" s="40" t="n">
        <f aca="false">MAX(D848,C849)</f>
        <v>1974365.08</v>
      </c>
      <c r="E849" s="41" t="n">
        <f aca="false">C849/D849-1</f>
        <v>-0.286931832283014</v>
      </c>
      <c r="F849" s="42" t="n">
        <f aca="false">YEAR(A849)</f>
        <v>2016</v>
      </c>
    </row>
    <row r="850" customFormat="false" ht="15" hidden="false" customHeight="false" outlineLevel="0" collapsed="false">
      <c r="A850" s="38" t="n">
        <v>42625</v>
      </c>
      <c r="B850" s="39" t="n">
        <v>863</v>
      </c>
      <c r="C850" s="40" t="n">
        <v>1245796.89</v>
      </c>
      <c r="D850" s="40" t="n">
        <f aca="false">MAX(D849,C850)</f>
        <v>1974365.08</v>
      </c>
      <c r="E850" s="41" t="n">
        <f aca="false">C850/D850-1</f>
        <v>-0.369013916109173</v>
      </c>
      <c r="F850" s="42" t="n">
        <f aca="false">YEAR(A850)</f>
        <v>2016</v>
      </c>
    </row>
    <row r="851" customFormat="false" ht="15" hidden="false" customHeight="false" outlineLevel="0" collapsed="false">
      <c r="A851" s="38" t="n">
        <v>42626</v>
      </c>
      <c r="B851" s="39" t="n">
        <v>852</v>
      </c>
      <c r="C851" s="40" t="n">
        <v>1196956.89</v>
      </c>
      <c r="D851" s="40" t="n">
        <f aca="false">MAX(D850,C851)</f>
        <v>1974365.08</v>
      </c>
      <c r="E851" s="41" t="n">
        <f aca="false">C851/D851-1</f>
        <v>-0.393750982467741</v>
      </c>
      <c r="F851" s="42" t="n">
        <f aca="false">YEAR(A851)</f>
        <v>2016</v>
      </c>
    </row>
    <row r="852" customFormat="false" ht="15" hidden="false" customHeight="false" outlineLevel="0" collapsed="false">
      <c r="A852" s="38" t="n">
        <v>42627</v>
      </c>
      <c r="B852" s="39" t="n">
        <v>865.5</v>
      </c>
      <c r="C852" s="40" t="n">
        <v>1256896.89</v>
      </c>
      <c r="D852" s="40" t="n">
        <f aca="false">MAX(D851,C852)</f>
        <v>1974365.08</v>
      </c>
      <c r="E852" s="41" t="n">
        <f aca="false">C852/D852-1</f>
        <v>-0.363391855573134</v>
      </c>
      <c r="F852" s="42" t="n">
        <f aca="false">YEAR(A852)</f>
        <v>2016</v>
      </c>
    </row>
    <row r="853" customFormat="false" ht="15" hidden="false" customHeight="false" outlineLevel="0" collapsed="false">
      <c r="A853" s="38" t="n">
        <v>42632</v>
      </c>
      <c r="B853" s="39" t="n">
        <v>890.5</v>
      </c>
      <c r="C853" s="40" t="n">
        <v>1367896.89</v>
      </c>
      <c r="D853" s="40" t="n">
        <f aca="false">MAX(D852,C853)</f>
        <v>1974365.08</v>
      </c>
      <c r="E853" s="41" t="n">
        <f aca="false">C853/D853-1</f>
        <v>-0.307171250212752</v>
      </c>
      <c r="F853" s="42" t="n">
        <f aca="false">YEAR(A853)</f>
        <v>2016</v>
      </c>
    </row>
    <row r="854" customFormat="false" ht="15" hidden="false" customHeight="false" outlineLevel="0" collapsed="false">
      <c r="A854" s="38" t="n">
        <v>42633</v>
      </c>
      <c r="B854" s="39" t="n">
        <v>925.5</v>
      </c>
      <c r="C854" s="40" t="n">
        <v>1523296.89</v>
      </c>
      <c r="D854" s="40" t="n">
        <f aca="false">MAX(D853,C854)</f>
        <v>1974365.08</v>
      </c>
      <c r="E854" s="41" t="n">
        <f aca="false">C854/D854-1</f>
        <v>-0.228462402708217</v>
      </c>
      <c r="F854" s="42" t="n">
        <f aca="false">YEAR(A854)</f>
        <v>2016</v>
      </c>
    </row>
    <row r="855" customFormat="false" ht="15" hidden="false" customHeight="false" outlineLevel="0" collapsed="false">
      <c r="A855" s="38" t="n">
        <v>42634</v>
      </c>
      <c r="B855" s="39" t="n">
        <v>930.5</v>
      </c>
      <c r="C855" s="40" t="n">
        <v>1545496.89</v>
      </c>
      <c r="D855" s="40" t="n">
        <f aca="false">MAX(D854,C855)</f>
        <v>1974365.08</v>
      </c>
      <c r="E855" s="41" t="n">
        <f aca="false">C855/D855-1</f>
        <v>-0.21721828163614</v>
      </c>
      <c r="F855" s="42" t="n">
        <f aca="false">YEAR(A855)</f>
        <v>2016</v>
      </c>
    </row>
    <row r="856" customFormat="false" ht="15" hidden="false" customHeight="false" outlineLevel="0" collapsed="false">
      <c r="A856" s="38" t="n">
        <v>42635</v>
      </c>
      <c r="B856" s="39" t="n">
        <v>920.5</v>
      </c>
      <c r="C856" s="40" t="n">
        <v>1501096.89</v>
      </c>
      <c r="D856" s="40" t="n">
        <f aca="false">MAX(D855,C856)</f>
        <v>1974365.08</v>
      </c>
      <c r="E856" s="41" t="n">
        <f aca="false">C856/D856-1</f>
        <v>-0.239706523780293</v>
      </c>
      <c r="F856" s="42" t="n">
        <f aca="false">YEAR(A856)</f>
        <v>2016</v>
      </c>
    </row>
    <row r="857" customFormat="false" ht="15" hidden="false" customHeight="false" outlineLevel="0" collapsed="false">
      <c r="A857" s="38" t="n">
        <v>42636</v>
      </c>
      <c r="B857" s="39" t="n">
        <v>941.5</v>
      </c>
      <c r="C857" s="40" t="n">
        <v>1594336.89</v>
      </c>
      <c r="D857" s="40" t="n">
        <f aca="false">MAX(D856,C857)</f>
        <v>1974365.08</v>
      </c>
      <c r="E857" s="41" t="n">
        <f aca="false">C857/D857-1</f>
        <v>-0.192481215277572</v>
      </c>
      <c r="F857" s="42" t="n">
        <f aca="false">YEAR(A857)</f>
        <v>2016</v>
      </c>
    </row>
    <row r="858" customFormat="false" ht="15" hidden="false" customHeight="false" outlineLevel="0" collapsed="false">
      <c r="A858" s="38" t="n">
        <v>42639</v>
      </c>
      <c r="B858" s="39" t="n">
        <v>961</v>
      </c>
      <c r="C858" s="40" t="n">
        <v>1680916.89</v>
      </c>
      <c r="D858" s="40" t="n">
        <f aca="false">MAX(D857,C858)</f>
        <v>1974365.08</v>
      </c>
      <c r="E858" s="41" t="n">
        <f aca="false">C858/D858-1</f>
        <v>-0.148629143096473</v>
      </c>
      <c r="F858" s="42" t="n">
        <f aca="false">YEAR(A858)</f>
        <v>2016</v>
      </c>
    </row>
    <row r="859" customFormat="false" ht="15" hidden="false" customHeight="false" outlineLevel="0" collapsed="false">
      <c r="A859" s="38" t="n">
        <v>42640</v>
      </c>
      <c r="B859" s="39" t="n">
        <v>958.5</v>
      </c>
      <c r="C859" s="40" t="n">
        <v>1669816.89</v>
      </c>
      <c r="D859" s="40" t="n">
        <f aca="false">MAX(D858,C859)</f>
        <v>1974365.08</v>
      </c>
      <c r="E859" s="41" t="n">
        <f aca="false">C859/D859-1</f>
        <v>-0.154251203632512</v>
      </c>
      <c r="F859" s="42" t="n">
        <f aca="false">YEAR(A859)</f>
        <v>2016</v>
      </c>
    </row>
    <row r="860" customFormat="false" ht="15" hidden="false" customHeight="false" outlineLevel="0" collapsed="false">
      <c r="A860" s="38" t="n">
        <v>42641</v>
      </c>
      <c r="B860" s="39" t="n">
        <v>968</v>
      </c>
      <c r="C860" s="40" t="n">
        <v>1711996.89</v>
      </c>
      <c r="D860" s="40" t="n">
        <f aca="false">MAX(D859,C860)</f>
        <v>1974365.08</v>
      </c>
      <c r="E860" s="41" t="n">
        <f aca="false">C860/D860-1</f>
        <v>-0.132887373595566</v>
      </c>
      <c r="F860" s="42" t="n">
        <f aca="false">YEAR(A860)</f>
        <v>2016</v>
      </c>
    </row>
    <row r="861" customFormat="false" ht="15" hidden="false" customHeight="false" outlineLevel="0" collapsed="false">
      <c r="A861" s="38" t="n">
        <v>42642</v>
      </c>
      <c r="B861" s="39" t="n">
        <v>996</v>
      </c>
      <c r="C861" s="40" t="n">
        <v>1836316.89</v>
      </c>
      <c r="D861" s="40" t="n">
        <f aca="false">MAX(D860,C861)</f>
        <v>1974365.08</v>
      </c>
      <c r="E861" s="41" t="n">
        <f aca="false">C861/D861-1</f>
        <v>-0.0699202955919379</v>
      </c>
      <c r="F861" s="42" t="n">
        <f aca="false">YEAR(A861)</f>
        <v>2016</v>
      </c>
    </row>
    <row r="862" customFormat="false" ht="15" hidden="false" customHeight="false" outlineLevel="0" collapsed="false">
      <c r="A862" s="38" t="n">
        <v>42643</v>
      </c>
      <c r="B862" s="39" t="n">
        <v>1007.5</v>
      </c>
      <c r="C862" s="40" t="n">
        <v>1887376.89</v>
      </c>
      <c r="D862" s="40" t="n">
        <f aca="false">MAX(D861,C862)</f>
        <v>1974365.08</v>
      </c>
      <c r="E862" s="41" t="n">
        <f aca="false">C862/D862-1</f>
        <v>-0.044058817126162</v>
      </c>
      <c r="F862" s="42" t="n">
        <f aca="false">YEAR(A862)</f>
        <v>2016</v>
      </c>
    </row>
    <row r="863" customFormat="false" ht="15" hidden="false" customHeight="false" outlineLevel="0" collapsed="false">
      <c r="A863" s="38" t="n">
        <v>42653</v>
      </c>
      <c r="B863" s="39" t="n">
        <v>1016.5</v>
      </c>
      <c r="C863" s="40" t="n">
        <v>1927336.89</v>
      </c>
      <c r="D863" s="40" t="n">
        <f aca="false">MAX(D862,C863)</f>
        <v>1974365.08</v>
      </c>
      <c r="E863" s="41" t="n">
        <f aca="false">C863/D863-1</f>
        <v>-0.0238193991964243</v>
      </c>
      <c r="F863" s="42" t="n">
        <f aca="false">YEAR(A863)</f>
        <v>2016</v>
      </c>
    </row>
    <row r="864" customFormat="false" ht="15" hidden="false" customHeight="false" outlineLevel="0" collapsed="false">
      <c r="A864" s="38" t="n">
        <v>42654</v>
      </c>
      <c r="B864" s="39" t="n">
        <v>1034</v>
      </c>
      <c r="C864" s="40" t="n">
        <v>2005036.89</v>
      </c>
      <c r="D864" s="40" t="n">
        <f aca="false">MAX(D863,C864)</f>
        <v>2005036.89</v>
      </c>
      <c r="E864" s="41" t="n">
        <f aca="false">C864/D864-1</f>
        <v>0</v>
      </c>
      <c r="F864" s="42" t="n">
        <f aca="false">YEAR(A864)</f>
        <v>2016</v>
      </c>
    </row>
    <row r="865" customFormat="false" ht="15" hidden="false" customHeight="false" outlineLevel="0" collapsed="false">
      <c r="A865" s="38" t="n">
        <v>42655</v>
      </c>
      <c r="B865" s="39" t="n">
        <v>1054.5</v>
      </c>
      <c r="C865" s="40" t="n">
        <v>2096056.89</v>
      </c>
      <c r="D865" s="40" t="n">
        <f aca="false">MAX(D864,C865)</f>
        <v>2096056.89</v>
      </c>
      <c r="E865" s="41" t="n">
        <f aca="false">C865/D865-1</f>
        <v>0</v>
      </c>
      <c r="F865" s="42" t="n">
        <f aca="false">YEAR(A865)</f>
        <v>2016</v>
      </c>
    </row>
    <row r="866" customFormat="false" ht="15" hidden="false" customHeight="false" outlineLevel="0" collapsed="false">
      <c r="A866" s="38" t="n">
        <v>42656</v>
      </c>
      <c r="B866" s="39" t="n">
        <v>1052</v>
      </c>
      <c r="C866" s="40" t="n">
        <v>2084956.89</v>
      </c>
      <c r="D866" s="40" t="n">
        <f aca="false">MAX(D865,C866)</f>
        <v>2096056.89</v>
      </c>
      <c r="E866" s="41" t="n">
        <f aca="false">C866/D866-1</f>
        <v>-0.00529565779104402</v>
      </c>
      <c r="F866" s="42" t="n">
        <f aca="false">YEAR(A866)</f>
        <v>2016</v>
      </c>
    </row>
    <row r="867" customFormat="false" ht="15" hidden="false" customHeight="false" outlineLevel="0" collapsed="false">
      <c r="A867" s="38" t="n">
        <v>42657</v>
      </c>
      <c r="B867" s="39" t="n">
        <v>1103.5</v>
      </c>
      <c r="C867" s="40" t="n">
        <v>2313616.89</v>
      </c>
      <c r="D867" s="40" t="n">
        <f aca="false">MAX(D866,C867)</f>
        <v>2313616.89</v>
      </c>
      <c r="E867" s="41" t="n">
        <f aca="false">C867/D867-1</f>
        <v>0</v>
      </c>
      <c r="F867" s="42" t="n">
        <f aca="false">YEAR(A867)</f>
        <v>2016</v>
      </c>
    </row>
    <row r="868" customFormat="false" ht="15" hidden="false" customHeight="false" outlineLevel="0" collapsed="false">
      <c r="A868" s="38" t="n">
        <v>42660</v>
      </c>
      <c r="B868" s="39" t="n">
        <v>1147</v>
      </c>
      <c r="C868" s="40" t="n">
        <v>2506756.89</v>
      </c>
      <c r="D868" s="40" t="n">
        <f aca="false">MAX(D867,C868)</f>
        <v>2506756.89</v>
      </c>
      <c r="E868" s="41" t="n">
        <f aca="false">C868/D868-1</f>
        <v>0</v>
      </c>
      <c r="F868" s="42" t="n">
        <f aca="false">YEAR(A868)</f>
        <v>2016</v>
      </c>
    </row>
    <row r="869" customFormat="false" ht="15" hidden="false" customHeight="false" outlineLevel="0" collapsed="false">
      <c r="A869" s="38" t="n">
        <v>42661</v>
      </c>
      <c r="B869" s="39" t="n">
        <v>1169.5</v>
      </c>
      <c r="C869" s="40" t="n">
        <v>2606656.89</v>
      </c>
      <c r="D869" s="40" t="n">
        <f aca="false">MAX(D868,C869)</f>
        <v>2606656.89</v>
      </c>
      <c r="E869" s="41" t="n">
        <f aca="false">C869/D869-1</f>
        <v>0</v>
      </c>
      <c r="F869" s="42" t="n">
        <f aca="false">YEAR(A869)</f>
        <v>2016</v>
      </c>
    </row>
    <row r="870" customFormat="false" ht="15" hidden="false" customHeight="false" outlineLevel="0" collapsed="false">
      <c r="A870" s="38" t="n">
        <v>42662</v>
      </c>
      <c r="B870" s="39" t="n">
        <v>1215.5</v>
      </c>
      <c r="C870" s="40" t="n">
        <v>2810896.89</v>
      </c>
      <c r="D870" s="40" t="n">
        <f aca="false">MAX(D869,C870)</f>
        <v>2810896.89</v>
      </c>
      <c r="E870" s="41" t="n">
        <f aca="false">C870/D870-1</f>
        <v>0</v>
      </c>
      <c r="F870" s="42" t="n">
        <f aca="false">YEAR(A870)</f>
        <v>2016</v>
      </c>
    </row>
    <row r="871" customFormat="false" ht="15" hidden="false" customHeight="false" outlineLevel="0" collapsed="false">
      <c r="A871" s="38" t="n">
        <v>42663</v>
      </c>
      <c r="B871" s="39" t="n">
        <v>1201.5</v>
      </c>
      <c r="C871" s="40" t="n">
        <v>2748736.89</v>
      </c>
      <c r="D871" s="40" t="n">
        <f aca="false">MAX(D870,C871)</f>
        <v>2810896.89</v>
      </c>
      <c r="E871" s="41" t="n">
        <f aca="false">C871/D871-1</f>
        <v>-0.0221139381601436</v>
      </c>
      <c r="F871" s="42" t="n">
        <f aca="false">YEAR(A871)</f>
        <v>2016</v>
      </c>
    </row>
    <row r="872" customFormat="false" ht="15" hidden="false" customHeight="false" outlineLevel="0" collapsed="false">
      <c r="A872" s="38" t="n">
        <v>42664</v>
      </c>
      <c r="B872" s="39" t="n">
        <v>1220.5</v>
      </c>
      <c r="C872" s="40" t="n">
        <v>2833096.89</v>
      </c>
      <c r="D872" s="40" t="n">
        <f aca="false">MAX(D871,C872)</f>
        <v>2833096.89</v>
      </c>
      <c r="E872" s="41" t="n">
        <f aca="false">C872/D872-1</f>
        <v>0</v>
      </c>
      <c r="F872" s="42" t="n">
        <f aca="false">YEAR(A872)</f>
        <v>2016</v>
      </c>
    </row>
    <row r="873" customFormat="false" ht="15" hidden="false" customHeight="false" outlineLevel="0" collapsed="false">
      <c r="A873" s="38" t="n">
        <v>42667</v>
      </c>
      <c r="B873" s="39" t="n">
        <v>1228.5</v>
      </c>
      <c r="C873" s="40" t="n">
        <v>2868616.89</v>
      </c>
      <c r="D873" s="40" t="n">
        <f aca="false">MAX(D872,C873)</f>
        <v>2868616.89</v>
      </c>
      <c r="E873" s="41" t="n">
        <f aca="false">C873/D873-1</f>
        <v>0</v>
      </c>
      <c r="F873" s="42" t="n">
        <f aca="false">YEAR(A873)</f>
        <v>2016</v>
      </c>
    </row>
    <row r="874" customFormat="false" ht="15" hidden="false" customHeight="false" outlineLevel="0" collapsed="false">
      <c r="A874" s="38" t="n">
        <v>42668</v>
      </c>
      <c r="B874" s="39" t="n">
        <v>1283.5</v>
      </c>
      <c r="C874" s="40" t="n">
        <v>3112816.89</v>
      </c>
      <c r="D874" s="40" t="n">
        <f aca="false">MAX(D873,C874)</f>
        <v>3112816.89</v>
      </c>
      <c r="E874" s="41" t="n">
        <f aca="false">C874/D874-1</f>
        <v>0</v>
      </c>
      <c r="F874" s="42" t="n">
        <f aca="false">YEAR(A874)</f>
        <v>2016</v>
      </c>
    </row>
    <row r="875" customFormat="false" ht="15" hidden="false" customHeight="false" outlineLevel="0" collapsed="false">
      <c r="A875" s="38" t="n">
        <v>42669</v>
      </c>
      <c r="B875" s="39" t="n">
        <v>1260.5</v>
      </c>
      <c r="C875" s="40" t="n">
        <v>3010696.89</v>
      </c>
      <c r="D875" s="40" t="n">
        <f aca="false">MAX(D874,C875)</f>
        <v>3112816.89</v>
      </c>
      <c r="E875" s="41" t="n">
        <f aca="false">C875/D875-1</f>
        <v>-0.0328062984777753</v>
      </c>
      <c r="F875" s="42" t="n">
        <f aca="false">YEAR(A875)</f>
        <v>2016</v>
      </c>
    </row>
    <row r="876" customFormat="false" ht="15" hidden="false" customHeight="false" outlineLevel="0" collapsed="false">
      <c r="A876" s="38" t="n">
        <v>42670</v>
      </c>
      <c r="B876" s="39" t="n">
        <v>1228</v>
      </c>
      <c r="C876" s="40" t="n">
        <v>2866396.89</v>
      </c>
      <c r="D876" s="40" t="n">
        <f aca="false">MAX(D875,C876)</f>
        <v>3112816.89</v>
      </c>
      <c r="E876" s="41" t="n">
        <f aca="false">C876/D876-1</f>
        <v>-0.079163024587675</v>
      </c>
      <c r="F876" s="42" t="n">
        <f aca="false">YEAR(A876)</f>
        <v>2016</v>
      </c>
    </row>
    <row r="877" customFormat="false" ht="15" hidden="false" customHeight="false" outlineLevel="0" collapsed="false">
      <c r="A877" s="38" t="n">
        <v>42671</v>
      </c>
      <c r="B877" s="39" t="n">
        <v>1290</v>
      </c>
      <c r="C877" s="40" t="n">
        <v>3141676.89</v>
      </c>
      <c r="D877" s="40" t="n">
        <f aca="false">MAX(D876,C877)</f>
        <v>3141676.89</v>
      </c>
      <c r="E877" s="41" t="n">
        <f aca="false">C877/D877-1</f>
        <v>0</v>
      </c>
      <c r="F877" s="42" t="n">
        <f aca="false">YEAR(A877)</f>
        <v>2016</v>
      </c>
    </row>
    <row r="878" customFormat="false" ht="15" hidden="false" customHeight="false" outlineLevel="0" collapsed="false">
      <c r="A878" s="38" t="n">
        <v>42674</v>
      </c>
      <c r="B878" s="39" t="n">
        <v>1290</v>
      </c>
      <c r="C878" s="40" t="n">
        <v>3141676.89</v>
      </c>
      <c r="D878" s="40" t="n">
        <f aca="false">MAX(D877,C878)</f>
        <v>3141676.89</v>
      </c>
      <c r="E878" s="41" t="n">
        <f aca="false">C878/D878-1</f>
        <v>0</v>
      </c>
      <c r="F878" s="42" t="n">
        <f aca="false">YEAR(A878)</f>
        <v>2016</v>
      </c>
    </row>
    <row r="879" customFormat="false" ht="15" hidden="false" customHeight="false" outlineLevel="0" collapsed="false">
      <c r="A879" s="38" t="n">
        <v>42675</v>
      </c>
      <c r="B879" s="39" t="n">
        <v>1297</v>
      </c>
      <c r="C879" s="40" t="n">
        <v>3172756.89</v>
      </c>
      <c r="D879" s="40" t="n">
        <f aca="false">MAX(D878,C879)</f>
        <v>3172756.89</v>
      </c>
      <c r="E879" s="41" t="n">
        <f aca="false">C879/D879-1</f>
        <v>0</v>
      </c>
      <c r="F879" s="42" t="n">
        <f aca="false">YEAR(A879)</f>
        <v>2016</v>
      </c>
    </row>
    <row r="880" customFormat="false" ht="15" hidden="false" customHeight="false" outlineLevel="0" collapsed="false">
      <c r="A880" s="38" t="n">
        <v>42676</v>
      </c>
      <c r="B880" s="39" t="n">
        <v>1288.5</v>
      </c>
      <c r="C880" s="40" t="n">
        <v>3135016.89</v>
      </c>
      <c r="D880" s="40" t="n">
        <f aca="false">MAX(D879,C880)</f>
        <v>3172756.89</v>
      </c>
      <c r="E880" s="41" t="n">
        <f aca="false">C880/D880-1</f>
        <v>-0.0118950179003472</v>
      </c>
      <c r="F880" s="42" t="n">
        <f aca="false">YEAR(A880)</f>
        <v>2016</v>
      </c>
    </row>
    <row r="881" customFormat="false" ht="15" hidden="false" customHeight="false" outlineLevel="0" collapsed="false">
      <c r="A881" s="38" t="n">
        <v>42677</v>
      </c>
      <c r="B881" s="39" t="n">
        <v>1319</v>
      </c>
      <c r="C881" s="40" t="n">
        <v>3270436.89</v>
      </c>
      <c r="D881" s="40" t="n">
        <f aca="false">MAX(D880,C881)</f>
        <v>3270436.89</v>
      </c>
      <c r="E881" s="41" t="n">
        <f aca="false">C881/D881-1</f>
        <v>0</v>
      </c>
      <c r="F881" s="42" t="n">
        <f aca="false">YEAR(A881)</f>
        <v>2016</v>
      </c>
    </row>
    <row r="882" customFormat="false" ht="15" hidden="false" customHeight="false" outlineLevel="0" collapsed="false">
      <c r="A882" s="38" t="n">
        <v>42678</v>
      </c>
      <c r="B882" s="39" t="n">
        <v>1386.5</v>
      </c>
      <c r="C882" s="40" t="n">
        <v>3570136.89</v>
      </c>
      <c r="D882" s="40" t="n">
        <f aca="false">MAX(D881,C882)</f>
        <v>3570136.89</v>
      </c>
      <c r="E882" s="41" t="n">
        <f aca="false">C882/D882-1</f>
        <v>0</v>
      </c>
      <c r="F882" s="42" t="n">
        <f aca="false">YEAR(A882)</f>
        <v>2016</v>
      </c>
    </row>
    <row r="883" customFormat="false" ht="15" hidden="false" customHeight="false" outlineLevel="0" collapsed="false">
      <c r="A883" s="38" t="n">
        <v>42681</v>
      </c>
      <c r="B883" s="39" t="n">
        <v>1489</v>
      </c>
      <c r="C883" s="40" t="n">
        <v>4025236.89</v>
      </c>
      <c r="D883" s="40" t="n">
        <f aca="false">MAX(D882,C883)</f>
        <v>4025236.89</v>
      </c>
      <c r="E883" s="41" t="n">
        <f aca="false">C883/D883-1</f>
        <v>0</v>
      </c>
      <c r="F883" s="42" t="n">
        <f aca="false">YEAR(A883)</f>
        <v>2016</v>
      </c>
    </row>
    <row r="884" customFormat="false" ht="15" hidden="false" customHeight="false" outlineLevel="0" collapsed="false">
      <c r="A884" s="38" t="n">
        <v>42682</v>
      </c>
      <c r="B884" s="39" t="n">
        <v>1401</v>
      </c>
      <c r="C884" s="40" t="n">
        <v>3634516.89</v>
      </c>
      <c r="D884" s="40" t="n">
        <f aca="false">MAX(D883,C884)</f>
        <v>4025236.89</v>
      </c>
      <c r="E884" s="41" t="n">
        <f aca="false">C884/D884-1</f>
        <v>-0.0970675790462608</v>
      </c>
      <c r="F884" s="42" t="n">
        <f aca="false">YEAR(A884)</f>
        <v>2016</v>
      </c>
    </row>
    <row r="885" customFormat="false" ht="15" hidden="false" customHeight="false" outlineLevel="0" collapsed="false">
      <c r="A885" s="38" t="n">
        <v>42683</v>
      </c>
      <c r="B885" s="39" t="n">
        <v>1536.5</v>
      </c>
      <c r="C885" s="40" t="n">
        <v>4236136.89</v>
      </c>
      <c r="D885" s="40" t="n">
        <f aca="false">MAX(D884,C885)</f>
        <v>4236136.89</v>
      </c>
      <c r="E885" s="41" t="n">
        <f aca="false">C885/D885-1</f>
        <v>0</v>
      </c>
      <c r="F885" s="42" t="n">
        <f aca="false">YEAR(A885)</f>
        <v>2016</v>
      </c>
    </row>
    <row r="886" customFormat="false" ht="15" hidden="false" customHeight="false" outlineLevel="0" collapsed="false">
      <c r="A886" s="38" t="n">
        <v>42684</v>
      </c>
      <c r="B886" s="39" t="n">
        <v>1476</v>
      </c>
      <c r="C886" s="40" t="n">
        <v>3967516.89</v>
      </c>
      <c r="D886" s="40" t="n">
        <f aca="false">MAX(D885,C886)</f>
        <v>4236136.89</v>
      </c>
      <c r="E886" s="41" t="n">
        <f aca="false">C886/D886-1</f>
        <v>-0.0634115485347311</v>
      </c>
      <c r="F886" s="42" t="n">
        <f aca="false">YEAR(A886)</f>
        <v>2016</v>
      </c>
    </row>
    <row r="887" customFormat="false" ht="15" hidden="false" customHeight="false" outlineLevel="0" collapsed="false">
      <c r="A887" s="38" t="n">
        <v>42685</v>
      </c>
      <c r="B887" s="39" t="n">
        <v>1542.5</v>
      </c>
      <c r="C887" s="40" t="n">
        <v>4262776.89</v>
      </c>
      <c r="D887" s="40" t="n">
        <f aca="false">MAX(D886,C887)</f>
        <v>4262776.89</v>
      </c>
      <c r="E887" s="41" t="n">
        <f aca="false">C887/D887-1</f>
        <v>0</v>
      </c>
      <c r="F887" s="42" t="n">
        <f aca="false">YEAR(A887)</f>
        <v>2016</v>
      </c>
    </row>
    <row r="888" customFormat="false" ht="15" hidden="false" customHeight="false" outlineLevel="0" collapsed="false">
      <c r="A888" s="38" t="n">
        <v>42688</v>
      </c>
      <c r="B888" s="39" t="n">
        <v>1613</v>
      </c>
      <c r="C888" s="40" t="n">
        <v>4575796.89</v>
      </c>
      <c r="D888" s="40" t="n">
        <f aca="false">MAX(D887,C888)</f>
        <v>4575796.89</v>
      </c>
      <c r="E888" s="41" t="n">
        <f aca="false">C888/D888-1</f>
        <v>0</v>
      </c>
      <c r="F888" s="42" t="n">
        <f aca="false">YEAR(A888)</f>
        <v>2016</v>
      </c>
    </row>
    <row r="889" customFormat="false" ht="15" hidden="false" customHeight="false" outlineLevel="0" collapsed="false">
      <c r="A889" s="38" t="n">
        <v>42689</v>
      </c>
      <c r="B889" s="39" t="n">
        <v>1480.5</v>
      </c>
      <c r="C889" s="40" t="n">
        <v>3987496.89</v>
      </c>
      <c r="D889" s="40" t="n">
        <f aca="false">MAX(D888,C889)</f>
        <v>4575796.89</v>
      </c>
      <c r="E889" s="41" t="n">
        <f aca="false">C889/D889-1</f>
        <v>-0.128567769536641</v>
      </c>
      <c r="F889" s="42" t="n">
        <f aca="false">YEAR(A889)</f>
        <v>2016</v>
      </c>
    </row>
    <row r="890" customFormat="false" ht="15" hidden="false" customHeight="false" outlineLevel="0" collapsed="false">
      <c r="A890" s="38" t="n">
        <v>42690</v>
      </c>
      <c r="B890" s="39" t="n">
        <v>1531.5</v>
      </c>
      <c r="C890" s="40" t="n">
        <v>4213936.89</v>
      </c>
      <c r="D890" s="40" t="n">
        <f aca="false">MAX(D889,C890)</f>
        <v>4575796.89</v>
      </c>
      <c r="E890" s="41" t="n">
        <f aca="false">C890/D890-1</f>
        <v>-0.0790813072998964</v>
      </c>
      <c r="F890" s="42" t="n">
        <f aca="false">YEAR(A890)</f>
        <v>2016</v>
      </c>
    </row>
    <row r="891" customFormat="false" ht="15" hidden="false" customHeight="false" outlineLevel="0" collapsed="false">
      <c r="A891" s="38" t="n">
        <v>42691</v>
      </c>
      <c r="B891" s="39" t="n">
        <v>1518</v>
      </c>
      <c r="C891" s="40" t="n">
        <v>4153996.89</v>
      </c>
      <c r="D891" s="40" t="n">
        <f aca="false">MAX(D890,C891)</f>
        <v>4575796.89</v>
      </c>
      <c r="E891" s="41" t="n">
        <f aca="false">C891/D891-1</f>
        <v>-0.0921806649507994</v>
      </c>
      <c r="F891" s="42" t="n">
        <f aca="false">YEAR(A891)</f>
        <v>2016</v>
      </c>
    </row>
    <row r="892" customFormat="false" ht="15" hidden="false" customHeight="false" outlineLevel="0" collapsed="false">
      <c r="A892" s="38" t="n">
        <v>42692</v>
      </c>
      <c r="B892" s="39" t="n">
        <v>1439.5</v>
      </c>
      <c r="C892" s="40" t="n">
        <v>3805456.89</v>
      </c>
      <c r="D892" s="40" t="n">
        <f aca="false">MAX(D891,C892)</f>
        <v>4575796.89</v>
      </c>
      <c r="E892" s="41" t="n">
        <f aca="false">C892/D892-1</f>
        <v>-0.168351003883828</v>
      </c>
      <c r="F892" s="42" t="n">
        <f aca="false">YEAR(A892)</f>
        <v>2016</v>
      </c>
    </row>
    <row r="893" customFormat="false" ht="15" hidden="false" customHeight="false" outlineLevel="0" collapsed="false">
      <c r="A893" s="38" t="n">
        <v>42695</v>
      </c>
      <c r="B893" s="39" t="n">
        <v>1422.5</v>
      </c>
      <c r="C893" s="40" t="n">
        <v>3729976.89</v>
      </c>
      <c r="D893" s="40" t="n">
        <f aca="false">MAX(D892,C893)</f>
        <v>4575796.89</v>
      </c>
      <c r="E893" s="41" t="n">
        <f aca="false">C893/D893-1</f>
        <v>-0.184846491296077</v>
      </c>
      <c r="F893" s="42" t="n">
        <f aca="false">YEAR(A893)</f>
        <v>2016</v>
      </c>
    </row>
    <row r="894" customFormat="false" ht="15" hidden="false" customHeight="false" outlineLevel="0" collapsed="false">
      <c r="A894" s="38" t="n">
        <v>42696</v>
      </c>
      <c r="B894" s="39" t="n">
        <v>1513.5</v>
      </c>
      <c r="C894" s="40" t="n">
        <v>4134016.89</v>
      </c>
      <c r="D894" s="40" t="n">
        <f aca="false">MAX(D893,C894)</f>
        <v>4575796.89</v>
      </c>
      <c r="E894" s="41" t="n">
        <f aca="false">C894/D894-1</f>
        <v>-0.0965471175011003</v>
      </c>
      <c r="F894" s="42" t="n">
        <f aca="false">YEAR(A894)</f>
        <v>2016</v>
      </c>
    </row>
    <row r="895" customFormat="false" ht="15" hidden="false" customHeight="false" outlineLevel="0" collapsed="false">
      <c r="A895" s="38" t="n">
        <v>42697</v>
      </c>
      <c r="B895" s="39" t="n">
        <v>1476</v>
      </c>
      <c r="C895" s="40" t="n">
        <v>3967516.89</v>
      </c>
      <c r="D895" s="40" t="n">
        <f aca="false">MAX(D894,C895)</f>
        <v>4575796.89</v>
      </c>
      <c r="E895" s="41" t="n">
        <f aca="false">C895/D895-1</f>
        <v>-0.132934222086942</v>
      </c>
      <c r="F895" s="42" t="n">
        <f aca="false">YEAR(A895)</f>
        <v>2016</v>
      </c>
    </row>
    <row r="896" customFormat="false" ht="15" hidden="false" customHeight="false" outlineLevel="0" collapsed="false">
      <c r="A896" s="38" t="n">
        <v>42698</v>
      </c>
      <c r="B896" s="39" t="n">
        <v>1490.5</v>
      </c>
      <c r="C896" s="40" t="n">
        <v>4031896.89</v>
      </c>
      <c r="D896" s="40" t="n">
        <f aca="false">MAX(D895,C896)</f>
        <v>4575796.89</v>
      </c>
      <c r="E896" s="41" t="n">
        <f aca="false">C896/D896-1</f>
        <v>-0.118864541647083</v>
      </c>
      <c r="F896" s="42" t="n">
        <f aca="false">YEAR(A896)</f>
        <v>2016</v>
      </c>
    </row>
    <row r="897" customFormat="false" ht="15" hidden="false" customHeight="false" outlineLevel="0" collapsed="false">
      <c r="A897" s="38" t="n">
        <v>42699</v>
      </c>
      <c r="B897" s="39" t="n">
        <v>1528.5</v>
      </c>
      <c r="C897" s="40" t="n">
        <v>4200616.89</v>
      </c>
      <c r="D897" s="40" t="n">
        <f aca="false">MAX(D896,C897)</f>
        <v>4575796.89</v>
      </c>
      <c r="E897" s="41" t="n">
        <f aca="false">C897/D897-1</f>
        <v>-0.0819922756667637</v>
      </c>
      <c r="F897" s="42" t="n">
        <f aca="false">YEAR(A897)</f>
        <v>2016</v>
      </c>
    </row>
    <row r="898" customFormat="false" ht="15" hidden="false" customHeight="false" outlineLevel="0" collapsed="false">
      <c r="A898" s="38" t="n">
        <v>42702</v>
      </c>
      <c r="B898" s="39" t="n">
        <v>1536</v>
      </c>
      <c r="C898" s="40" t="n">
        <v>4233916.89</v>
      </c>
      <c r="D898" s="40" t="n">
        <f aca="false">MAX(D897,C898)</f>
        <v>4575796.89</v>
      </c>
      <c r="E898" s="41" t="n">
        <f aca="false">C898/D898-1</f>
        <v>-0.0747148547495953</v>
      </c>
      <c r="F898" s="42" t="n">
        <f aca="false">YEAR(A898)</f>
        <v>2016</v>
      </c>
    </row>
    <row r="899" customFormat="false" ht="15" hidden="false" customHeight="false" outlineLevel="0" collapsed="false">
      <c r="A899" s="38" t="n">
        <v>42703</v>
      </c>
      <c r="B899" s="39" t="n">
        <v>1415.5</v>
      </c>
      <c r="C899" s="40" t="n">
        <v>3698896.89</v>
      </c>
      <c r="D899" s="40" t="n">
        <f aca="false">MAX(D898,C899)</f>
        <v>4575796.89</v>
      </c>
      <c r="E899" s="41" t="n">
        <f aca="false">C899/D899-1</f>
        <v>-0.191638750818767</v>
      </c>
      <c r="F899" s="42" t="n">
        <f aca="false">YEAR(A899)</f>
        <v>2016</v>
      </c>
    </row>
    <row r="900" customFormat="false" ht="15" hidden="false" customHeight="false" outlineLevel="0" collapsed="false">
      <c r="A900" s="38" t="n">
        <v>42704</v>
      </c>
      <c r="B900" s="39" t="n">
        <v>1397</v>
      </c>
      <c r="C900" s="40" t="n">
        <v>3616756.89</v>
      </c>
      <c r="D900" s="40" t="n">
        <f aca="false">MAX(D899,C900)</f>
        <v>4575796.89</v>
      </c>
      <c r="E900" s="41" t="n">
        <f aca="false">C900/D900-1</f>
        <v>-0.209589722414449</v>
      </c>
      <c r="F900" s="42" t="n">
        <f aca="false">YEAR(A900)</f>
        <v>2016</v>
      </c>
    </row>
    <row r="901" customFormat="false" ht="15" hidden="false" customHeight="false" outlineLevel="0" collapsed="false">
      <c r="A901" s="38" t="n">
        <v>42705</v>
      </c>
      <c r="B901" s="39" t="n">
        <v>1388.5</v>
      </c>
      <c r="C901" s="40" t="n">
        <v>3896906.27</v>
      </c>
      <c r="D901" s="40" t="n">
        <f aca="false">MAX(D900,C901)</f>
        <v>4575796.89</v>
      </c>
      <c r="E901" s="41" t="n">
        <f aca="false">C901/D901-1</f>
        <v>-0.148365549503225</v>
      </c>
      <c r="F901" s="42" t="n">
        <f aca="false">YEAR(A901)</f>
        <v>2016</v>
      </c>
    </row>
    <row r="902" customFormat="false" ht="15" hidden="false" customHeight="false" outlineLevel="0" collapsed="false">
      <c r="A902" s="38" t="n">
        <v>42706</v>
      </c>
      <c r="B902" s="39" t="n">
        <v>1355</v>
      </c>
      <c r="C902" s="40" t="n">
        <v>4258706.27</v>
      </c>
      <c r="D902" s="40" t="n">
        <f aca="false">MAX(D901,C902)</f>
        <v>4575796.89</v>
      </c>
      <c r="E902" s="41" t="n">
        <f aca="false">C902/D902-1</f>
        <v>-0.0692973546734501</v>
      </c>
      <c r="F902" s="42" t="n">
        <f aca="false">YEAR(A902)</f>
        <v>2016</v>
      </c>
    </row>
    <row r="903" customFormat="false" ht="15" hidden="false" customHeight="false" outlineLevel="0" collapsed="false">
      <c r="A903" s="38" t="n">
        <v>42709</v>
      </c>
      <c r="B903" s="39" t="n">
        <v>1376.5</v>
      </c>
      <c r="C903" s="40" t="n">
        <v>4026506.27</v>
      </c>
      <c r="D903" s="40" t="n">
        <f aca="false">MAX(D902,C903)</f>
        <v>4575796.89</v>
      </c>
      <c r="E903" s="41" t="n">
        <f aca="false">C903/D903-1</f>
        <v>-0.120042614041813</v>
      </c>
      <c r="F903" s="42" t="n">
        <f aca="false">YEAR(A903)</f>
        <v>2016</v>
      </c>
    </row>
    <row r="904" customFormat="false" ht="15" hidden="false" customHeight="false" outlineLevel="0" collapsed="false">
      <c r="A904" s="38" t="n">
        <v>42710</v>
      </c>
      <c r="B904" s="39" t="n">
        <v>1359</v>
      </c>
      <c r="C904" s="40" t="n">
        <v>4215506.27</v>
      </c>
      <c r="D904" s="40" t="n">
        <f aca="false">MAX(D903,C904)</f>
        <v>4575796.89</v>
      </c>
      <c r="E904" s="41" t="n">
        <f aca="false">C904/D904-1</f>
        <v>-0.0787383331605875</v>
      </c>
      <c r="F904" s="42" t="n">
        <f aca="false">YEAR(A904)</f>
        <v>2016</v>
      </c>
    </row>
    <row r="905" customFormat="false" ht="15" hidden="false" customHeight="false" outlineLevel="0" collapsed="false">
      <c r="A905" s="38" t="n">
        <v>42711</v>
      </c>
      <c r="B905" s="39" t="n">
        <v>1395</v>
      </c>
      <c r="C905" s="40" t="n">
        <v>3826706.27</v>
      </c>
      <c r="D905" s="40" t="n">
        <f aca="false">MAX(D904,C905)</f>
        <v>4575796.89</v>
      </c>
      <c r="E905" s="41" t="n">
        <f aca="false">C905/D905-1</f>
        <v>-0.163707139544824</v>
      </c>
      <c r="F905" s="42" t="n">
        <f aca="false">YEAR(A905)</f>
        <v>2016</v>
      </c>
    </row>
    <row r="906" customFormat="false" ht="15" hidden="false" customHeight="false" outlineLevel="0" collapsed="false">
      <c r="A906" s="38" t="n">
        <v>42712</v>
      </c>
      <c r="B906" s="39" t="n">
        <v>1375.5</v>
      </c>
      <c r="C906" s="40" t="n">
        <v>4037306.27</v>
      </c>
      <c r="D906" s="40" t="n">
        <f aca="false">MAX(D905,C906)</f>
        <v>4575796.89</v>
      </c>
      <c r="E906" s="41" t="n">
        <f aca="false">C906/D906-1</f>
        <v>-0.117682369420029</v>
      </c>
      <c r="F906" s="42" t="n">
        <f aca="false">YEAR(A906)</f>
        <v>2016</v>
      </c>
    </row>
    <row r="907" customFormat="false" ht="15" hidden="false" customHeight="false" outlineLevel="0" collapsed="false">
      <c r="A907" s="38" t="n">
        <v>42713</v>
      </c>
      <c r="B907" s="39" t="n">
        <v>1341.5</v>
      </c>
      <c r="C907" s="40" t="n">
        <v>4404506.27</v>
      </c>
      <c r="D907" s="40" t="n">
        <f aca="false">MAX(D906,C907)</f>
        <v>4575796.89</v>
      </c>
      <c r="E907" s="41" t="n">
        <f aca="false">C907/D907-1</f>
        <v>-0.0374340522793616</v>
      </c>
      <c r="F907" s="42" t="n">
        <f aca="false">YEAR(A907)</f>
        <v>2016</v>
      </c>
    </row>
    <row r="908" customFormat="false" ht="15" hidden="false" customHeight="false" outlineLevel="0" collapsed="false">
      <c r="A908" s="38" t="n">
        <v>42716</v>
      </c>
      <c r="B908" s="39" t="n">
        <v>1296.5</v>
      </c>
      <c r="C908" s="40" t="n">
        <v>4890506.27</v>
      </c>
      <c r="D908" s="40" t="n">
        <f aca="false">MAX(D907,C908)</f>
        <v>4890506.27</v>
      </c>
      <c r="E908" s="41" t="n">
        <f aca="false">C908/D908-1</f>
        <v>0</v>
      </c>
      <c r="F908" s="42" t="n">
        <f aca="false">YEAR(A908)</f>
        <v>2016</v>
      </c>
    </row>
    <row r="909" customFormat="false" ht="15" hidden="false" customHeight="false" outlineLevel="0" collapsed="false">
      <c r="A909" s="38" t="n">
        <v>42717</v>
      </c>
      <c r="B909" s="39" t="n">
        <v>1305</v>
      </c>
      <c r="C909" s="40" t="n">
        <v>4798706.27</v>
      </c>
      <c r="D909" s="40" t="n">
        <f aca="false">MAX(D908,C909)</f>
        <v>4890506.27</v>
      </c>
      <c r="E909" s="41" t="n">
        <f aca="false">C909/D909-1</f>
        <v>-0.0187710627349835</v>
      </c>
      <c r="F909" s="42" t="n">
        <f aca="false">YEAR(A909)</f>
        <v>2016</v>
      </c>
    </row>
    <row r="910" customFormat="false" ht="15" hidden="false" customHeight="false" outlineLevel="0" collapsed="false">
      <c r="A910" s="38" t="n">
        <v>42718</v>
      </c>
      <c r="B910" s="39" t="n">
        <v>1312</v>
      </c>
      <c r="C910" s="40" t="n">
        <v>4723106.27</v>
      </c>
      <c r="D910" s="40" t="n">
        <f aca="false">MAX(D909,C910)</f>
        <v>4890506.27</v>
      </c>
      <c r="E910" s="41" t="n">
        <f aca="false">C910/D910-1</f>
        <v>-0.0342295849873228</v>
      </c>
      <c r="F910" s="42" t="n">
        <f aca="false">YEAR(A910)</f>
        <v>2016</v>
      </c>
    </row>
    <row r="911" customFormat="false" ht="15" hidden="false" customHeight="false" outlineLevel="0" collapsed="false">
      <c r="A911" s="38" t="n">
        <v>42719</v>
      </c>
      <c r="B911" s="39" t="n">
        <v>1324.5</v>
      </c>
      <c r="C911" s="40" t="n">
        <v>4588106.27</v>
      </c>
      <c r="D911" s="40" t="n">
        <f aca="false">MAX(D910,C911)</f>
        <v>4890506.27</v>
      </c>
      <c r="E911" s="41" t="n">
        <f aca="false">C911/D911-1</f>
        <v>-0.0618340890093573</v>
      </c>
      <c r="F911" s="42" t="n">
        <f aca="false">YEAR(A911)</f>
        <v>2016</v>
      </c>
    </row>
    <row r="912" customFormat="false" ht="15" hidden="false" customHeight="false" outlineLevel="0" collapsed="false">
      <c r="A912" s="38" t="n">
        <v>42720</v>
      </c>
      <c r="B912" s="39" t="n">
        <v>1301.5</v>
      </c>
      <c r="C912" s="40" t="n">
        <v>4836506.27</v>
      </c>
      <c r="D912" s="40" t="n">
        <f aca="false">MAX(D911,C912)</f>
        <v>4890506.27</v>
      </c>
      <c r="E912" s="41" t="n">
        <f aca="false">C912/D912-1</f>
        <v>-0.0110418016088139</v>
      </c>
      <c r="F912" s="42" t="n">
        <f aca="false">YEAR(A912)</f>
        <v>2016</v>
      </c>
    </row>
    <row r="913" customFormat="false" ht="15" hidden="false" customHeight="false" outlineLevel="0" collapsed="false">
      <c r="A913" s="38" t="n">
        <v>42723</v>
      </c>
      <c r="B913" s="39" t="n">
        <v>1321</v>
      </c>
      <c r="C913" s="40" t="n">
        <v>4625906.27</v>
      </c>
      <c r="D913" s="40" t="n">
        <f aca="false">MAX(D912,C913)</f>
        <v>4890506.27</v>
      </c>
      <c r="E913" s="41" t="n">
        <f aca="false">C913/D913-1</f>
        <v>-0.0541048278831876</v>
      </c>
      <c r="F913" s="42" t="n">
        <f aca="false">YEAR(A913)</f>
        <v>2016</v>
      </c>
    </row>
    <row r="914" customFormat="false" ht="15" hidden="false" customHeight="false" outlineLevel="0" collapsed="false">
      <c r="A914" s="38" t="n">
        <v>42724</v>
      </c>
      <c r="B914" s="39" t="n">
        <v>1347.5</v>
      </c>
      <c r="C914" s="40" t="n">
        <v>4339706.27</v>
      </c>
      <c r="D914" s="40" t="n">
        <f aca="false">MAX(D913,C914)</f>
        <v>4890506.27</v>
      </c>
      <c r="E914" s="41" t="n">
        <f aca="false">C914/D914-1</f>
        <v>-0.112626376409901</v>
      </c>
      <c r="F914" s="42" t="n">
        <f aca="false">YEAR(A914)</f>
        <v>2016</v>
      </c>
    </row>
    <row r="915" customFormat="false" ht="15" hidden="false" customHeight="false" outlineLevel="0" collapsed="false">
      <c r="A915" s="38" t="n">
        <v>42725</v>
      </c>
      <c r="B915" s="39" t="n">
        <v>1347</v>
      </c>
      <c r="C915" s="40" t="n">
        <v>4345106.27</v>
      </c>
      <c r="D915" s="40" t="n">
        <f aca="false">MAX(D914,C915)</f>
        <v>4890506.27</v>
      </c>
      <c r="E915" s="41" t="n">
        <f aca="false">C915/D915-1</f>
        <v>-0.111522196249019</v>
      </c>
      <c r="F915" s="42" t="n">
        <f aca="false">YEAR(A915)</f>
        <v>2016</v>
      </c>
    </row>
    <row r="916" customFormat="false" ht="15" hidden="false" customHeight="false" outlineLevel="0" collapsed="false">
      <c r="A916" s="38" t="n">
        <v>42726</v>
      </c>
      <c r="B916" s="39" t="n">
        <v>1278.5</v>
      </c>
      <c r="C916" s="40" t="n">
        <v>5084906.27</v>
      </c>
      <c r="D916" s="40" t="n">
        <f aca="false">MAX(D915,C916)</f>
        <v>5084906.27</v>
      </c>
      <c r="E916" s="41" t="n">
        <f aca="false">C916/D916-1</f>
        <v>0</v>
      </c>
      <c r="F916" s="42" t="n">
        <f aca="false">YEAR(A916)</f>
        <v>2016</v>
      </c>
    </row>
    <row r="917" customFormat="false" ht="15" hidden="false" customHeight="false" outlineLevel="0" collapsed="false">
      <c r="A917" s="38" t="n">
        <v>42727</v>
      </c>
      <c r="B917" s="39" t="n">
        <v>1268.5</v>
      </c>
      <c r="C917" s="40" t="n">
        <v>5192906.27</v>
      </c>
      <c r="D917" s="40" t="n">
        <f aca="false">MAX(D916,C917)</f>
        <v>5192906.27</v>
      </c>
      <c r="E917" s="41" t="n">
        <f aca="false">C917/D917-1</f>
        <v>0</v>
      </c>
      <c r="F917" s="42" t="n">
        <f aca="false">YEAR(A917)</f>
        <v>2016</v>
      </c>
    </row>
    <row r="918" customFormat="false" ht="15" hidden="false" customHeight="false" outlineLevel="0" collapsed="false">
      <c r="A918" s="38" t="n">
        <v>42730</v>
      </c>
      <c r="B918" s="39" t="n">
        <v>1194.5</v>
      </c>
      <c r="C918" s="40" t="n">
        <v>5992106.27</v>
      </c>
      <c r="D918" s="40" t="n">
        <f aca="false">MAX(D917,C918)</f>
        <v>5992106.27</v>
      </c>
      <c r="E918" s="41" t="n">
        <f aca="false">C918/D918-1</f>
        <v>0</v>
      </c>
      <c r="F918" s="42" t="n">
        <f aca="false">YEAR(A918)</f>
        <v>2016</v>
      </c>
    </row>
    <row r="919" customFormat="false" ht="15" hidden="false" customHeight="false" outlineLevel="0" collapsed="false">
      <c r="A919" s="38" t="n">
        <v>42731</v>
      </c>
      <c r="B919" s="39" t="n">
        <v>1194.5</v>
      </c>
      <c r="C919" s="40" t="n">
        <v>5992106.27</v>
      </c>
      <c r="D919" s="40" t="n">
        <f aca="false">MAX(D918,C919)</f>
        <v>5992106.27</v>
      </c>
      <c r="E919" s="41" t="n">
        <f aca="false">C919/D919-1</f>
        <v>0</v>
      </c>
      <c r="F919" s="42" t="n">
        <f aca="false">YEAR(A919)</f>
        <v>2016</v>
      </c>
    </row>
    <row r="920" customFormat="false" ht="15" hidden="false" customHeight="false" outlineLevel="0" collapsed="false">
      <c r="A920" s="38" t="n">
        <v>42732</v>
      </c>
      <c r="B920" s="39" t="n">
        <v>1182.5</v>
      </c>
      <c r="C920" s="40" t="n">
        <v>6121706.27</v>
      </c>
      <c r="D920" s="40" t="n">
        <f aca="false">MAX(D919,C920)</f>
        <v>6121706.27</v>
      </c>
      <c r="E920" s="41" t="n">
        <f aca="false">C920/D920-1</f>
        <v>0</v>
      </c>
      <c r="F920" s="42" t="n">
        <f aca="false">YEAR(A920)</f>
        <v>2016</v>
      </c>
    </row>
    <row r="921" customFormat="false" ht="15" hidden="false" customHeight="false" outlineLevel="0" collapsed="false">
      <c r="A921" s="38" t="n">
        <v>42733</v>
      </c>
      <c r="B921" s="39" t="n">
        <v>1184</v>
      </c>
      <c r="C921" s="40" t="n">
        <v>6105506.27</v>
      </c>
      <c r="D921" s="40" t="n">
        <f aca="false">MAX(D920,C921)</f>
        <v>6121706.27</v>
      </c>
      <c r="E921" s="41" t="n">
        <f aca="false">C921/D921-1</f>
        <v>-0.00264632102317453</v>
      </c>
      <c r="F921" s="42" t="n">
        <f aca="false">YEAR(A921)</f>
        <v>2016</v>
      </c>
    </row>
    <row r="922" customFormat="false" ht="15" hidden="false" customHeight="false" outlineLevel="0" collapsed="false">
      <c r="A922" s="38" t="n">
        <v>42734</v>
      </c>
      <c r="B922" s="39" t="n">
        <v>1178</v>
      </c>
      <c r="C922" s="40" t="n">
        <v>6170306.27</v>
      </c>
      <c r="D922" s="40" t="n">
        <f aca="false">MAX(D921,C922)</f>
        <v>6170306.27</v>
      </c>
      <c r="E922" s="41" t="n">
        <f aca="false">C922/D922-1</f>
        <v>0</v>
      </c>
      <c r="F922" s="42" t="n">
        <f aca="false">YEAR(A922)</f>
        <v>2016</v>
      </c>
    </row>
    <row r="923" customFormat="false" ht="15" hidden="false" customHeight="false" outlineLevel="0" collapsed="false">
      <c r="A923" s="38" t="n">
        <v>42738</v>
      </c>
      <c r="B923" s="39" t="n">
        <v>1124.5</v>
      </c>
      <c r="C923" s="40" t="n">
        <v>6748106.27</v>
      </c>
      <c r="D923" s="40" t="n">
        <f aca="false">MAX(D922,C923)</f>
        <v>6748106.27</v>
      </c>
      <c r="E923" s="41" t="n">
        <f aca="false">C923/D923-1</f>
        <v>0</v>
      </c>
      <c r="F923" s="42" t="n">
        <f aca="false">YEAR(A923)</f>
        <v>2017</v>
      </c>
    </row>
    <row r="924" customFormat="false" ht="15" hidden="false" customHeight="false" outlineLevel="0" collapsed="false">
      <c r="A924" s="38" t="n">
        <v>42739</v>
      </c>
      <c r="B924" s="39" t="n">
        <v>1136</v>
      </c>
      <c r="C924" s="40" t="n">
        <v>6623906.27</v>
      </c>
      <c r="D924" s="40" t="n">
        <f aca="false">MAX(D923,C924)</f>
        <v>6748106.27</v>
      </c>
      <c r="E924" s="41" t="n">
        <f aca="false">C924/D924-1</f>
        <v>-0.0184051636163697</v>
      </c>
      <c r="F924" s="42" t="n">
        <f aca="false">YEAR(A924)</f>
        <v>2017</v>
      </c>
    </row>
    <row r="925" customFormat="false" ht="15" hidden="false" customHeight="false" outlineLevel="0" collapsed="false">
      <c r="A925" s="38" t="n">
        <v>42740</v>
      </c>
      <c r="B925" s="39" t="n">
        <v>1144</v>
      </c>
      <c r="C925" s="40" t="n">
        <v>6537506.27</v>
      </c>
      <c r="D925" s="40" t="n">
        <f aca="false">MAX(D924,C925)</f>
        <v>6748106.27</v>
      </c>
      <c r="E925" s="41" t="n">
        <f aca="false">C925/D925-1</f>
        <v>-0.0312087556973225</v>
      </c>
      <c r="F925" s="42" t="n">
        <f aca="false">YEAR(A925)</f>
        <v>2017</v>
      </c>
    </row>
    <row r="926" customFormat="false" ht="15" hidden="false" customHeight="false" outlineLevel="0" collapsed="false">
      <c r="A926" s="38" t="n">
        <v>42741</v>
      </c>
      <c r="B926" s="39" t="n">
        <v>1157</v>
      </c>
      <c r="C926" s="40" t="n">
        <v>6397106.27</v>
      </c>
      <c r="D926" s="40" t="n">
        <f aca="false">MAX(D925,C926)</f>
        <v>6748106.27</v>
      </c>
      <c r="E926" s="41" t="n">
        <f aca="false">C926/D926-1</f>
        <v>-0.0520145928288708</v>
      </c>
      <c r="F926" s="42" t="n">
        <f aca="false">YEAR(A926)</f>
        <v>2017</v>
      </c>
    </row>
    <row r="927" customFormat="false" ht="15" hidden="false" customHeight="false" outlineLevel="0" collapsed="false">
      <c r="A927" s="38" t="n">
        <v>42744</v>
      </c>
      <c r="B927" s="39" t="n">
        <v>1192.5</v>
      </c>
      <c r="C927" s="40" t="n">
        <v>6013706.27</v>
      </c>
      <c r="D927" s="40" t="n">
        <f aca="false">MAX(D926,C927)</f>
        <v>6748106.27</v>
      </c>
      <c r="E927" s="41" t="n">
        <f aca="false">C927/D927-1</f>
        <v>-0.108830532688099</v>
      </c>
      <c r="F927" s="42" t="n">
        <f aca="false">YEAR(A927)</f>
        <v>2017</v>
      </c>
    </row>
    <row r="928" customFormat="false" ht="15" hidden="false" customHeight="false" outlineLevel="0" collapsed="false">
      <c r="A928" s="38" t="n">
        <v>42745</v>
      </c>
      <c r="B928" s="39" t="n">
        <v>1257</v>
      </c>
      <c r="C928" s="40" t="n">
        <v>5317106.27</v>
      </c>
      <c r="D928" s="40" t="n">
        <f aca="false">MAX(D927,C928)</f>
        <v>6748106.27</v>
      </c>
      <c r="E928" s="41" t="n">
        <f aca="false">C928/D928-1</f>
        <v>-0.212059493840781</v>
      </c>
      <c r="F928" s="42" t="n">
        <f aca="false">YEAR(A928)</f>
        <v>2017</v>
      </c>
    </row>
    <row r="929" customFormat="false" ht="15" hidden="false" customHeight="false" outlineLevel="0" collapsed="false">
      <c r="A929" s="38" t="n">
        <v>42746</v>
      </c>
      <c r="B929" s="39" t="n">
        <v>1237.5</v>
      </c>
      <c r="C929" s="40" t="n">
        <v>5527706.27</v>
      </c>
      <c r="D929" s="40" t="n">
        <f aca="false">MAX(D928,C929)</f>
        <v>6748106.27</v>
      </c>
      <c r="E929" s="41" t="n">
        <f aca="false">C929/D929-1</f>
        <v>-0.180850738143458</v>
      </c>
      <c r="F929" s="42" t="n">
        <f aca="false">YEAR(A929)</f>
        <v>2017</v>
      </c>
    </row>
    <row r="930" customFormat="false" ht="15" hidden="false" customHeight="false" outlineLevel="0" collapsed="false">
      <c r="A930" s="38" t="n">
        <v>42747</v>
      </c>
      <c r="B930" s="39" t="n">
        <v>1234.5</v>
      </c>
      <c r="C930" s="40" t="n">
        <v>5560106.27</v>
      </c>
      <c r="D930" s="40" t="n">
        <f aca="false">MAX(D929,C930)</f>
        <v>6748106.27</v>
      </c>
      <c r="E930" s="41" t="n">
        <f aca="false">C930/D930-1</f>
        <v>-0.176049391113101</v>
      </c>
      <c r="F930" s="42" t="n">
        <f aca="false">YEAR(A930)</f>
        <v>2017</v>
      </c>
    </row>
    <row r="931" customFormat="false" ht="15" hidden="false" customHeight="false" outlineLevel="0" collapsed="false">
      <c r="A931" s="38" t="n">
        <v>42748</v>
      </c>
      <c r="B931" s="39" t="n">
        <v>1255</v>
      </c>
      <c r="C931" s="40" t="n">
        <v>5338706.27</v>
      </c>
      <c r="D931" s="40" t="n">
        <f aca="false">MAX(D930,C931)</f>
        <v>6748106.27</v>
      </c>
      <c r="E931" s="41" t="n">
        <f aca="false">C931/D931-1</f>
        <v>-0.208858595820543</v>
      </c>
      <c r="F931" s="42" t="n">
        <f aca="false">YEAR(A931)</f>
        <v>2017</v>
      </c>
    </row>
    <row r="932" customFormat="false" ht="15" hidden="false" customHeight="false" outlineLevel="0" collapsed="false">
      <c r="A932" s="38" t="n">
        <v>42751</v>
      </c>
      <c r="B932" s="39" t="n">
        <v>1311</v>
      </c>
      <c r="C932" s="40" t="n">
        <v>4733906.27</v>
      </c>
      <c r="D932" s="40" t="n">
        <f aca="false">MAX(D931,C932)</f>
        <v>6748106.27</v>
      </c>
      <c r="E932" s="41" t="n">
        <f aca="false">C932/D932-1</f>
        <v>-0.298483740387212</v>
      </c>
      <c r="F932" s="42" t="n">
        <f aca="false">YEAR(A932)</f>
        <v>2017</v>
      </c>
    </row>
    <row r="933" customFormat="false" ht="15" hidden="false" customHeight="false" outlineLevel="0" collapsed="false">
      <c r="A933" s="38" t="n">
        <v>42752</v>
      </c>
      <c r="B933" s="39" t="n">
        <v>1207.5</v>
      </c>
      <c r="C933" s="40" t="n">
        <v>5851706.27</v>
      </c>
      <c r="D933" s="40" t="n">
        <f aca="false">MAX(D932,C933)</f>
        <v>6748106.27</v>
      </c>
      <c r="E933" s="41" t="n">
        <f aca="false">C933/D933-1</f>
        <v>-0.132837267839885</v>
      </c>
      <c r="F933" s="42" t="n">
        <f aca="false">YEAR(A933)</f>
        <v>2017</v>
      </c>
    </row>
    <row r="934" customFormat="false" ht="15" hidden="false" customHeight="false" outlineLevel="0" collapsed="false">
      <c r="A934" s="38" t="n">
        <v>42753</v>
      </c>
      <c r="B934" s="39" t="n">
        <v>1209</v>
      </c>
      <c r="C934" s="40" t="n">
        <v>5835506.27</v>
      </c>
      <c r="D934" s="40" t="n">
        <f aca="false">MAX(D933,C934)</f>
        <v>6748106.27</v>
      </c>
      <c r="E934" s="41" t="n">
        <f aca="false">C934/D934-1</f>
        <v>-0.135237941355064</v>
      </c>
      <c r="F934" s="42" t="n">
        <f aca="false">YEAR(A934)</f>
        <v>2017</v>
      </c>
    </row>
    <row r="935" customFormat="false" ht="15" hidden="false" customHeight="false" outlineLevel="0" collapsed="false">
      <c r="A935" s="38" t="n">
        <v>42754</v>
      </c>
      <c r="B935" s="39" t="n">
        <v>1221</v>
      </c>
      <c r="C935" s="40" t="n">
        <v>5705906.27</v>
      </c>
      <c r="D935" s="40" t="n">
        <f aca="false">MAX(D934,C935)</f>
        <v>6748106.27</v>
      </c>
      <c r="E935" s="41" t="n">
        <f aca="false">C935/D935-1</f>
        <v>-0.154443329476493</v>
      </c>
      <c r="F935" s="42" t="n">
        <f aca="false">YEAR(A935)</f>
        <v>2017</v>
      </c>
    </row>
    <row r="936" customFormat="false" ht="15" hidden="false" customHeight="false" outlineLevel="0" collapsed="false">
      <c r="A936" s="38" t="n">
        <v>42755</v>
      </c>
      <c r="B936" s="39" t="n">
        <v>1168</v>
      </c>
      <c r="C936" s="40" t="n">
        <v>6278306.27</v>
      </c>
      <c r="D936" s="40" t="n">
        <f aca="false">MAX(D935,C936)</f>
        <v>6748106.27</v>
      </c>
      <c r="E936" s="41" t="n">
        <f aca="false">C936/D936-1</f>
        <v>-0.0696195319401809</v>
      </c>
      <c r="F936" s="42" t="n">
        <f aca="false">YEAR(A936)</f>
        <v>2017</v>
      </c>
    </row>
    <row r="937" customFormat="false" ht="15" hidden="false" customHeight="false" outlineLevel="0" collapsed="false">
      <c r="A937" s="38" t="n">
        <v>42758</v>
      </c>
      <c r="B937" s="39" t="n">
        <v>1171</v>
      </c>
      <c r="C937" s="40" t="n">
        <v>6245906.27</v>
      </c>
      <c r="D937" s="40" t="n">
        <f aca="false">MAX(D936,C937)</f>
        <v>6748106.27</v>
      </c>
      <c r="E937" s="41" t="n">
        <f aca="false">C937/D937-1</f>
        <v>-0.0744208789705382</v>
      </c>
      <c r="F937" s="42" t="n">
        <f aca="false">YEAR(A937)</f>
        <v>2017</v>
      </c>
    </row>
    <row r="938" customFormat="false" ht="15" hidden="false" customHeight="false" outlineLevel="0" collapsed="false">
      <c r="A938" s="38" t="n">
        <v>42759</v>
      </c>
      <c r="B938" s="39" t="n">
        <v>1203.5</v>
      </c>
      <c r="C938" s="40" t="n">
        <v>5894906.27</v>
      </c>
      <c r="D938" s="40" t="n">
        <f aca="false">MAX(D937,C938)</f>
        <v>6748106.27</v>
      </c>
      <c r="E938" s="41" t="n">
        <f aca="false">C938/D938-1</f>
        <v>-0.126435471799409</v>
      </c>
      <c r="F938" s="42" t="n">
        <f aca="false">YEAR(A938)</f>
        <v>2017</v>
      </c>
    </row>
    <row r="939" customFormat="false" ht="15" hidden="false" customHeight="false" outlineLevel="0" collapsed="false">
      <c r="A939" s="38" t="n">
        <v>42760</v>
      </c>
      <c r="B939" s="39" t="n">
        <v>1190</v>
      </c>
      <c r="C939" s="40" t="n">
        <v>6040706.27</v>
      </c>
      <c r="D939" s="40" t="n">
        <f aca="false">MAX(D938,C939)</f>
        <v>6748106.27</v>
      </c>
      <c r="E939" s="41" t="n">
        <f aca="false">C939/D939-1</f>
        <v>-0.104829410162801</v>
      </c>
      <c r="F939" s="42" t="n">
        <f aca="false">YEAR(A939)</f>
        <v>2017</v>
      </c>
    </row>
    <row r="940" customFormat="false" ht="15" hidden="false" customHeight="false" outlineLevel="0" collapsed="false">
      <c r="A940" s="38" t="n">
        <v>42761</v>
      </c>
      <c r="B940" s="39" t="n">
        <v>1247.5</v>
      </c>
      <c r="C940" s="40" t="n">
        <v>5419706.27</v>
      </c>
      <c r="D940" s="40" t="n">
        <f aca="false">MAX(D939,C940)</f>
        <v>6748106.27</v>
      </c>
      <c r="E940" s="41" t="n">
        <f aca="false">C940/D940-1</f>
        <v>-0.196855228244649</v>
      </c>
      <c r="F940" s="42" t="n">
        <f aca="false">YEAR(A940)</f>
        <v>2017</v>
      </c>
    </row>
    <row r="941" customFormat="false" ht="15" hidden="false" customHeight="false" outlineLevel="0" collapsed="false">
      <c r="A941" s="38" t="n">
        <v>42769</v>
      </c>
      <c r="B941" s="39" t="n">
        <v>1163</v>
      </c>
      <c r="C941" s="40" t="n">
        <v>6332306.27</v>
      </c>
      <c r="D941" s="40" t="n">
        <f aca="false">MAX(D940,C941)</f>
        <v>6748106.27</v>
      </c>
      <c r="E941" s="41" t="n">
        <f aca="false">C941/D941-1</f>
        <v>-0.0616172868895855</v>
      </c>
      <c r="F941" s="42" t="n">
        <f aca="false">YEAR(A941)</f>
        <v>2017</v>
      </c>
    </row>
    <row r="942" customFormat="false" ht="15" hidden="false" customHeight="false" outlineLevel="0" collapsed="false">
      <c r="A942" s="38" t="n">
        <v>42772</v>
      </c>
      <c r="B942" s="39" t="n">
        <v>1147</v>
      </c>
      <c r="C942" s="40" t="n">
        <v>6505106.27</v>
      </c>
      <c r="D942" s="40" t="n">
        <f aca="false">MAX(D941,C942)</f>
        <v>6748106.27</v>
      </c>
      <c r="E942" s="41" t="n">
        <f aca="false">C942/D942-1</f>
        <v>-0.0360101027276798</v>
      </c>
      <c r="F942" s="42" t="n">
        <f aca="false">YEAR(A942)</f>
        <v>2017</v>
      </c>
    </row>
    <row r="943" customFormat="false" ht="15" hidden="false" customHeight="false" outlineLevel="0" collapsed="false">
      <c r="A943" s="38" t="n">
        <v>42773</v>
      </c>
      <c r="B943" s="39" t="n">
        <v>1156</v>
      </c>
      <c r="C943" s="40" t="n">
        <v>6407906.27</v>
      </c>
      <c r="D943" s="40" t="n">
        <f aca="false">MAX(D942,C943)</f>
        <v>6748106.27</v>
      </c>
      <c r="E943" s="41" t="n">
        <f aca="false">C943/D943-1</f>
        <v>-0.0504141438187516</v>
      </c>
      <c r="F943" s="42" t="n">
        <f aca="false">YEAR(A943)</f>
        <v>2017</v>
      </c>
    </row>
    <row r="944" customFormat="false" ht="15" hidden="false" customHeight="false" outlineLevel="0" collapsed="false">
      <c r="A944" s="38" t="n">
        <v>42774</v>
      </c>
      <c r="B944" s="39" t="n">
        <v>1166.5</v>
      </c>
      <c r="C944" s="40" t="n">
        <v>6294506.27</v>
      </c>
      <c r="D944" s="40" t="n">
        <f aca="false">MAX(D943,C944)</f>
        <v>6748106.27</v>
      </c>
      <c r="E944" s="41" t="n">
        <f aca="false">C944/D944-1</f>
        <v>-0.0672188584250023</v>
      </c>
      <c r="F944" s="42" t="n">
        <f aca="false">YEAR(A944)</f>
        <v>2017</v>
      </c>
    </row>
    <row r="945" customFormat="false" ht="15" hidden="false" customHeight="false" outlineLevel="0" collapsed="false">
      <c r="A945" s="38" t="n">
        <v>42775</v>
      </c>
      <c r="B945" s="39" t="n">
        <v>1125</v>
      </c>
      <c r="C945" s="40" t="n">
        <v>6742706.27</v>
      </c>
      <c r="D945" s="40" t="n">
        <f aca="false">MAX(D944,C945)</f>
        <v>6748106.27</v>
      </c>
      <c r="E945" s="41" t="n">
        <f aca="false">C945/D945-1</f>
        <v>-0.000800224505059566</v>
      </c>
      <c r="F945" s="42" t="n">
        <f aca="false">YEAR(A945)</f>
        <v>2017</v>
      </c>
    </row>
    <row r="946" customFormat="false" ht="15" hidden="false" customHeight="false" outlineLevel="0" collapsed="false">
      <c r="A946" s="38" t="n">
        <v>42776</v>
      </c>
      <c r="B946" s="39" t="n">
        <v>1152.5</v>
      </c>
      <c r="C946" s="40" t="n">
        <v>6445706.27</v>
      </c>
      <c r="D946" s="40" t="n">
        <f aca="false">MAX(D945,C946)</f>
        <v>6748106.27</v>
      </c>
      <c r="E946" s="41" t="n">
        <f aca="false">C946/D946-1</f>
        <v>-0.0448125722833348</v>
      </c>
      <c r="F946" s="42" t="n">
        <f aca="false">YEAR(A946)</f>
        <v>2017</v>
      </c>
    </row>
    <row r="947" customFormat="false" ht="15" hidden="false" customHeight="false" outlineLevel="0" collapsed="false">
      <c r="A947" s="38" t="n">
        <v>42779</v>
      </c>
      <c r="B947" s="39" t="n">
        <v>1200.5</v>
      </c>
      <c r="C947" s="40" t="n">
        <v>5927306.27</v>
      </c>
      <c r="D947" s="40" t="n">
        <f aca="false">MAX(D946,C947)</f>
        <v>6748106.27</v>
      </c>
      <c r="E947" s="41" t="n">
        <f aca="false">C947/D947-1</f>
        <v>-0.121634124769052</v>
      </c>
      <c r="F947" s="42" t="n">
        <f aca="false">YEAR(A947)</f>
        <v>2017</v>
      </c>
    </row>
    <row r="948" customFormat="false" ht="15" hidden="false" customHeight="false" outlineLevel="0" collapsed="false">
      <c r="A948" s="38" t="n">
        <v>42780</v>
      </c>
      <c r="B948" s="39" t="n">
        <v>1220</v>
      </c>
      <c r="C948" s="40" t="n">
        <v>5716706.27</v>
      </c>
      <c r="D948" s="40" t="n">
        <f aca="false">MAX(D947,C948)</f>
        <v>6748106.27</v>
      </c>
      <c r="E948" s="41" t="n">
        <f aca="false">C948/D948-1</f>
        <v>-0.152842880466374</v>
      </c>
      <c r="F948" s="42" t="n">
        <f aca="false">YEAR(A948)</f>
        <v>2017</v>
      </c>
    </row>
    <row r="949" customFormat="false" ht="15" hidden="false" customHeight="false" outlineLevel="0" collapsed="false">
      <c r="A949" s="38" t="n">
        <v>42781</v>
      </c>
      <c r="B949" s="39" t="n">
        <v>1209.5</v>
      </c>
      <c r="C949" s="40" t="n">
        <v>5758591.19</v>
      </c>
      <c r="D949" s="40" t="n">
        <f aca="false">MAX(D948,C949)</f>
        <v>6748106.27</v>
      </c>
      <c r="E949" s="41" t="n">
        <f aca="false">C949/D949-1</f>
        <v>-0.14663596576703</v>
      </c>
      <c r="F949" s="42" t="n">
        <f aca="false">YEAR(A949)</f>
        <v>2017</v>
      </c>
    </row>
    <row r="950" customFormat="false" ht="15" hidden="false" customHeight="false" outlineLevel="0" collapsed="false">
      <c r="A950" s="38" t="n">
        <v>42782</v>
      </c>
      <c r="B950" s="39" t="n">
        <v>1218.5</v>
      </c>
      <c r="C950" s="40" t="n">
        <v>5758591.19</v>
      </c>
      <c r="D950" s="40" t="n">
        <f aca="false">MAX(D949,C950)</f>
        <v>6748106.27</v>
      </c>
      <c r="E950" s="41" t="n">
        <f aca="false">C950/D950-1</f>
        <v>-0.14663596576703</v>
      </c>
      <c r="F950" s="42" t="n">
        <f aca="false">YEAR(A950)</f>
        <v>2017</v>
      </c>
    </row>
    <row r="951" customFormat="false" ht="15" hidden="false" customHeight="false" outlineLevel="0" collapsed="false">
      <c r="A951" s="38" t="n">
        <v>42783</v>
      </c>
      <c r="B951" s="39" t="n">
        <v>1230.5</v>
      </c>
      <c r="C951" s="40" t="n">
        <v>5758591.19</v>
      </c>
      <c r="D951" s="40" t="n">
        <f aca="false">MAX(D950,C951)</f>
        <v>6748106.27</v>
      </c>
      <c r="E951" s="41" t="n">
        <f aca="false">C951/D951-1</f>
        <v>-0.14663596576703</v>
      </c>
      <c r="F951" s="42" t="n">
        <f aca="false">YEAR(A951)</f>
        <v>2017</v>
      </c>
    </row>
    <row r="952" customFormat="false" ht="15" hidden="false" customHeight="false" outlineLevel="0" collapsed="false">
      <c r="A952" s="38" t="n">
        <v>42786</v>
      </c>
      <c r="B952" s="39" t="n">
        <v>1275</v>
      </c>
      <c r="C952" s="40" t="n">
        <v>5758591.19</v>
      </c>
      <c r="D952" s="40" t="n">
        <f aca="false">MAX(D951,C952)</f>
        <v>6748106.27</v>
      </c>
      <c r="E952" s="41" t="n">
        <f aca="false">C952/D952-1</f>
        <v>-0.14663596576703</v>
      </c>
      <c r="F952" s="42" t="n">
        <f aca="false">YEAR(A952)</f>
        <v>2017</v>
      </c>
    </row>
    <row r="953" customFormat="false" ht="15" hidden="false" customHeight="false" outlineLevel="0" collapsed="false">
      <c r="A953" s="38" t="n">
        <v>42787</v>
      </c>
      <c r="B953" s="39" t="n">
        <v>1264.5</v>
      </c>
      <c r="C953" s="40" t="n">
        <v>5758591.19</v>
      </c>
      <c r="D953" s="40" t="n">
        <f aca="false">MAX(D952,C953)</f>
        <v>6748106.27</v>
      </c>
      <c r="E953" s="41" t="n">
        <f aca="false">C953/D953-1</f>
        <v>-0.14663596576703</v>
      </c>
      <c r="F953" s="42" t="n">
        <f aca="false">YEAR(A953)</f>
        <v>2017</v>
      </c>
    </row>
    <row r="954" customFormat="false" ht="15" hidden="false" customHeight="false" outlineLevel="0" collapsed="false">
      <c r="A954" s="38" t="n">
        <v>42788</v>
      </c>
      <c r="B954" s="39" t="n">
        <v>1221</v>
      </c>
      <c r="C954" s="40" t="n">
        <v>5758591.19</v>
      </c>
      <c r="D954" s="40" t="n">
        <f aca="false">MAX(D953,C954)</f>
        <v>6748106.27</v>
      </c>
      <c r="E954" s="41" t="n">
        <f aca="false">C954/D954-1</f>
        <v>-0.14663596576703</v>
      </c>
      <c r="F954" s="42" t="n">
        <f aca="false">YEAR(A954)</f>
        <v>2017</v>
      </c>
    </row>
    <row r="955" customFormat="false" ht="15" hidden="false" customHeight="false" outlineLevel="0" collapsed="false">
      <c r="A955" s="38" t="n">
        <v>42789</v>
      </c>
      <c r="B955" s="39" t="n">
        <v>1216</v>
      </c>
      <c r="C955" s="40" t="n">
        <v>5758591.19</v>
      </c>
      <c r="D955" s="40" t="n">
        <f aca="false">MAX(D954,C955)</f>
        <v>6748106.27</v>
      </c>
      <c r="E955" s="41" t="n">
        <f aca="false">C955/D955-1</f>
        <v>-0.14663596576703</v>
      </c>
      <c r="F955" s="42" t="n">
        <f aca="false">YEAR(A955)</f>
        <v>2017</v>
      </c>
    </row>
    <row r="956" customFormat="false" ht="15" hidden="false" customHeight="false" outlineLevel="0" collapsed="false">
      <c r="A956" s="38" t="n">
        <v>42790</v>
      </c>
      <c r="B956" s="39" t="n">
        <v>1250.5</v>
      </c>
      <c r="C956" s="40" t="n">
        <v>5758591.19</v>
      </c>
      <c r="D956" s="40" t="n">
        <f aca="false">MAX(D955,C956)</f>
        <v>6748106.27</v>
      </c>
      <c r="E956" s="41" t="n">
        <f aca="false">C956/D956-1</f>
        <v>-0.14663596576703</v>
      </c>
      <c r="F956" s="42" t="n">
        <f aca="false">YEAR(A956)</f>
        <v>2017</v>
      </c>
    </row>
    <row r="957" customFormat="false" ht="15" hidden="false" customHeight="false" outlineLevel="0" collapsed="false">
      <c r="A957" s="38" t="n">
        <v>42793</v>
      </c>
      <c r="B957" s="39" t="n">
        <v>1258.5</v>
      </c>
      <c r="C957" s="40" t="n">
        <v>5758591.19</v>
      </c>
      <c r="D957" s="40" t="n">
        <f aca="false">MAX(D956,C957)</f>
        <v>6748106.27</v>
      </c>
      <c r="E957" s="41" t="n">
        <f aca="false">C957/D957-1</f>
        <v>-0.14663596576703</v>
      </c>
      <c r="F957" s="42" t="n">
        <f aca="false">YEAR(A957)</f>
        <v>2017</v>
      </c>
    </row>
    <row r="958" customFormat="false" ht="15" hidden="false" customHeight="false" outlineLevel="0" collapsed="false">
      <c r="A958" s="38" t="n">
        <v>42794</v>
      </c>
      <c r="B958" s="39" t="n">
        <v>1241.5</v>
      </c>
      <c r="C958" s="40" t="n">
        <v>5310629.59</v>
      </c>
      <c r="D958" s="40" t="n">
        <f aca="false">MAX(D957,C958)</f>
        <v>6748106.27</v>
      </c>
      <c r="E958" s="41" t="n">
        <f aca="false">C958/D958-1</f>
        <v>-0.213019271256971</v>
      </c>
      <c r="F958" s="42" t="n">
        <f aca="false">YEAR(A958)</f>
        <v>2017</v>
      </c>
    </row>
    <row r="959" customFormat="false" ht="15" hidden="false" customHeight="false" outlineLevel="0" collapsed="false">
      <c r="A959" s="38" t="n">
        <v>42795</v>
      </c>
      <c r="B959" s="39" t="n">
        <v>1320.5</v>
      </c>
      <c r="C959" s="40" t="n">
        <v>6808469.59</v>
      </c>
      <c r="D959" s="40" t="n">
        <f aca="false">MAX(D958,C959)</f>
        <v>6808469.59</v>
      </c>
      <c r="E959" s="41" t="n">
        <f aca="false">C959/D959-1</f>
        <v>0</v>
      </c>
      <c r="F959" s="42" t="n">
        <f aca="false">YEAR(A959)</f>
        <v>2017</v>
      </c>
    </row>
    <row r="960" customFormat="false" ht="15" hidden="false" customHeight="false" outlineLevel="0" collapsed="false">
      <c r="A960" s="38" t="n">
        <v>42796</v>
      </c>
      <c r="B960" s="39" t="n">
        <v>1311.5</v>
      </c>
      <c r="C960" s="40" t="n">
        <v>6637829.59</v>
      </c>
      <c r="D960" s="40" t="n">
        <f aca="false">MAX(D959,C960)</f>
        <v>6808469.59</v>
      </c>
      <c r="E960" s="41" t="n">
        <f aca="false">C960/D960-1</f>
        <v>-0.0250629011034476</v>
      </c>
      <c r="F960" s="42" t="n">
        <f aca="false">YEAR(A960)</f>
        <v>2017</v>
      </c>
    </row>
    <row r="961" customFormat="false" ht="15" hidden="false" customHeight="false" outlineLevel="0" collapsed="false">
      <c r="A961" s="38" t="n">
        <v>42797</v>
      </c>
      <c r="B961" s="39" t="n">
        <v>1304</v>
      </c>
      <c r="C961" s="40" t="n">
        <v>6495629.59</v>
      </c>
      <c r="D961" s="40" t="n">
        <f aca="false">MAX(D960,C961)</f>
        <v>6808469.59</v>
      </c>
      <c r="E961" s="41" t="n">
        <f aca="false">C961/D961-1</f>
        <v>-0.0459486520229871</v>
      </c>
      <c r="F961" s="42" t="n">
        <f aca="false">YEAR(A961)</f>
        <v>2017</v>
      </c>
    </row>
    <row r="962" customFormat="false" ht="15" hidden="false" customHeight="false" outlineLevel="0" collapsed="false">
      <c r="A962" s="38" t="n">
        <v>42800</v>
      </c>
      <c r="B962" s="39" t="n">
        <v>1302</v>
      </c>
      <c r="C962" s="40" t="n">
        <v>6457709.59</v>
      </c>
      <c r="D962" s="40" t="n">
        <f aca="false">MAX(D961,C962)</f>
        <v>6808469.59</v>
      </c>
      <c r="E962" s="41" t="n">
        <f aca="false">C962/D962-1</f>
        <v>-0.0515181856015311</v>
      </c>
      <c r="F962" s="42" t="n">
        <f aca="false">YEAR(A962)</f>
        <v>2017</v>
      </c>
    </row>
    <row r="963" customFormat="false" ht="15" hidden="false" customHeight="false" outlineLevel="0" collapsed="false">
      <c r="A963" s="38" t="n">
        <v>42801</v>
      </c>
      <c r="B963" s="39" t="n">
        <v>1295</v>
      </c>
      <c r="C963" s="40" t="n">
        <v>6324989.59</v>
      </c>
      <c r="D963" s="40" t="n">
        <f aca="false">MAX(D962,C963)</f>
        <v>6808469.59</v>
      </c>
      <c r="E963" s="41" t="n">
        <f aca="false">C963/D963-1</f>
        <v>-0.0710115531264347</v>
      </c>
      <c r="F963" s="42" t="n">
        <f aca="false">YEAR(A963)</f>
        <v>2017</v>
      </c>
    </row>
    <row r="964" customFormat="false" ht="15" hidden="false" customHeight="false" outlineLevel="0" collapsed="false">
      <c r="A964" s="38" t="n">
        <v>42802</v>
      </c>
      <c r="B964" s="39" t="n">
        <v>1285.5</v>
      </c>
      <c r="C964" s="40" t="n">
        <v>6144869.59</v>
      </c>
      <c r="D964" s="40" t="n">
        <f aca="false">MAX(D963,C964)</f>
        <v>6808469.59</v>
      </c>
      <c r="E964" s="41" t="n">
        <f aca="false">C964/D964-1</f>
        <v>-0.0974668376245182</v>
      </c>
      <c r="F964" s="42" t="n">
        <f aca="false">YEAR(A964)</f>
        <v>2017</v>
      </c>
    </row>
    <row r="965" customFormat="false" ht="15" hidden="false" customHeight="false" outlineLevel="0" collapsed="false">
      <c r="A965" s="38" t="n">
        <v>42803</v>
      </c>
      <c r="B965" s="39" t="n">
        <v>1294.5</v>
      </c>
      <c r="C965" s="40" t="n">
        <v>6315509.59</v>
      </c>
      <c r="D965" s="40" t="n">
        <f aca="false">MAX(D964,C965)</f>
        <v>6808469.59</v>
      </c>
      <c r="E965" s="41" t="n">
        <f aca="false">C965/D965-1</f>
        <v>-0.0724039365210707</v>
      </c>
      <c r="F965" s="42" t="n">
        <f aca="false">YEAR(A965)</f>
        <v>2017</v>
      </c>
    </row>
    <row r="966" customFormat="false" ht="15" hidden="false" customHeight="false" outlineLevel="0" collapsed="false">
      <c r="A966" s="38" t="n">
        <v>42804</v>
      </c>
      <c r="B966" s="39" t="n">
        <v>1264</v>
      </c>
      <c r="C966" s="40" t="n">
        <v>5737229.59</v>
      </c>
      <c r="D966" s="40" t="n">
        <f aca="false">MAX(D965,C966)</f>
        <v>6808469.59</v>
      </c>
      <c r="E966" s="41" t="n">
        <f aca="false">C966/D966-1</f>
        <v>-0.157339323593865</v>
      </c>
      <c r="F966" s="42" t="n">
        <f aca="false">YEAR(A966)</f>
        <v>2017</v>
      </c>
    </row>
    <row r="967" customFormat="false" ht="15" hidden="false" customHeight="false" outlineLevel="0" collapsed="false">
      <c r="A967" s="38" t="n">
        <v>42807</v>
      </c>
      <c r="B967" s="39" t="n">
        <v>1304.5</v>
      </c>
      <c r="C967" s="40" t="n">
        <v>6505109.59</v>
      </c>
      <c r="D967" s="40" t="n">
        <f aca="false">MAX(D966,C967)</f>
        <v>6808469.59</v>
      </c>
      <c r="E967" s="41" t="n">
        <f aca="false">C967/D967-1</f>
        <v>-0.0445562686283512</v>
      </c>
      <c r="F967" s="42" t="n">
        <f aca="false">YEAR(A967)</f>
        <v>2017</v>
      </c>
    </row>
    <row r="968" customFormat="false" ht="15" hidden="false" customHeight="false" outlineLevel="0" collapsed="false">
      <c r="A968" s="38" t="n">
        <v>42808</v>
      </c>
      <c r="B968" s="39" t="n">
        <v>1299</v>
      </c>
      <c r="C968" s="40" t="n">
        <v>6400829.59</v>
      </c>
      <c r="D968" s="40" t="n">
        <f aca="false">MAX(D967,C968)</f>
        <v>6808469.59</v>
      </c>
      <c r="E968" s="41" t="n">
        <f aca="false">C968/D968-1</f>
        <v>-0.0598724859693469</v>
      </c>
      <c r="F968" s="42" t="n">
        <f aca="false">YEAR(A968)</f>
        <v>2017</v>
      </c>
    </row>
    <row r="969" customFormat="false" ht="15" hidden="false" customHeight="false" outlineLevel="0" collapsed="false">
      <c r="A969" s="38" t="n">
        <v>42809</v>
      </c>
      <c r="B969" s="39" t="n">
        <v>1295</v>
      </c>
      <c r="C969" s="40" t="n">
        <v>6324989.59</v>
      </c>
      <c r="D969" s="40" t="n">
        <f aca="false">MAX(D968,C969)</f>
        <v>6808469.59</v>
      </c>
      <c r="E969" s="41" t="n">
        <f aca="false">C969/D969-1</f>
        <v>-0.0710115531264347</v>
      </c>
      <c r="F969" s="42" t="n">
        <f aca="false">YEAR(A969)</f>
        <v>2017</v>
      </c>
    </row>
    <row r="970" customFormat="false" ht="15" hidden="false" customHeight="false" outlineLevel="0" collapsed="false">
      <c r="A970" s="38" t="n">
        <v>42810</v>
      </c>
      <c r="B970" s="39" t="n">
        <v>1288.5</v>
      </c>
      <c r="C970" s="40" t="n">
        <v>6201749.59</v>
      </c>
      <c r="D970" s="40" t="n">
        <f aca="false">MAX(D969,C970)</f>
        <v>6808469.59</v>
      </c>
      <c r="E970" s="41" t="n">
        <f aca="false">C970/D970-1</f>
        <v>-0.0891125372567023</v>
      </c>
      <c r="F970" s="42" t="n">
        <f aca="false">YEAR(A970)</f>
        <v>2017</v>
      </c>
    </row>
    <row r="971" customFormat="false" ht="15" hidden="false" customHeight="false" outlineLevel="0" collapsed="false">
      <c r="A971" s="38" t="n">
        <v>42811</v>
      </c>
      <c r="B971" s="39" t="n">
        <v>1262.5</v>
      </c>
      <c r="C971" s="40" t="n">
        <v>5708789.59</v>
      </c>
      <c r="D971" s="40" t="n">
        <f aca="false">MAX(D970,C971)</f>
        <v>6808469.59</v>
      </c>
      <c r="E971" s="41" t="n">
        <f aca="false">C971/D971-1</f>
        <v>-0.161516473777773</v>
      </c>
      <c r="F971" s="42" t="n">
        <f aca="false">YEAR(A971)</f>
        <v>2017</v>
      </c>
    </row>
    <row r="972" customFormat="false" ht="15" hidden="false" customHeight="false" outlineLevel="0" collapsed="false">
      <c r="A972" s="38" t="n">
        <v>42814</v>
      </c>
      <c r="B972" s="39" t="n">
        <v>1290.5</v>
      </c>
      <c r="C972" s="40" t="n">
        <v>6239669.59</v>
      </c>
      <c r="D972" s="40" t="n">
        <f aca="false">MAX(D971,C972)</f>
        <v>6808469.59</v>
      </c>
      <c r="E972" s="41" t="n">
        <f aca="false">C972/D972-1</f>
        <v>-0.0835430036781585</v>
      </c>
      <c r="F972" s="42" t="n">
        <f aca="false">YEAR(A972)</f>
        <v>2017</v>
      </c>
    </row>
    <row r="973" customFormat="false" ht="15" hidden="false" customHeight="false" outlineLevel="0" collapsed="false">
      <c r="A973" s="38" t="n">
        <v>42815</v>
      </c>
      <c r="B973" s="39" t="n">
        <v>1280.5</v>
      </c>
      <c r="C973" s="40" t="n">
        <v>6050069.59</v>
      </c>
      <c r="D973" s="40" t="n">
        <f aca="false">MAX(D972,C973)</f>
        <v>6808469.59</v>
      </c>
      <c r="E973" s="41" t="n">
        <f aca="false">C973/D973-1</f>
        <v>-0.111390671570878</v>
      </c>
      <c r="F973" s="42" t="n">
        <f aca="false">YEAR(A973)</f>
        <v>2017</v>
      </c>
    </row>
    <row r="974" customFormat="false" ht="15" hidden="false" customHeight="false" outlineLevel="0" collapsed="false">
      <c r="A974" s="38" t="n">
        <v>42816</v>
      </c>
      <c r="B974" s="39" t="n">
        <v>1246</v>
      </c>
      <c r="C974" s="40" t="n">
        <v>5395949.59</v>
      </c>
      <c r="D974" s="40" t="n">
        <f aca="false">MAX(D973,C974)</f>
        <v>6808469.59</v>
      </c>
      <c r="E974" s="41" t="n">
        <f aca="false">C974/D974-1</f>
        <v>-0.20746512580076</v>
      </c>
      <c r="F974" s="42" t="n">
        <f aca="false">YEAR(A974)</f>
        <v>2017</v>
      </c>
    </row>
    <row r="975" customFormat="false" ht="15" hidden="false" customHeight="false" outlineLevel="0" collapsed="false">
      <c r="A975" s="38" t="n">
        <v>42817</v>
      </c>
      <c r="B975" s="39" t="n">
        <v>1276</v>
      </c>
      <c r="C975" s="40" t="n">
        <v>5964749.59</v>
      </c>
      <c r="D975" s="40" t="n">
        <f aca="false">MAX(D974,C975)</f>
        <v>6808469.59</v>
      </c>
      <c r="E975" s="41" t="n">
        <f aca="false">C975/D975-1</f>
        <v>-0.123922122122602</v>
      </c>
      <c r="F975" s="42" t="n">
        <f aca="false">YEAR(A975)</f>
        <v>2017</v>
      </c>
    </row>
    <row r="976" customFormat="false" ht="15" hidden="false" customHeight="false" outlineLevel="0" collapsed="false">
      <c r="A976" s="38" t="n">
        <v>42818</v>
      </c>
      <c r="B976" s="39" t="n">
        <v>1268</v>
      </c>
      <c r="C976" s="40" t="n">
        <v>5813069.59</v>
      </c>
      <c r="D976" s="40" t="n">
        <f aca="false">MAX(D975,C976)</f>
        <v>6808469.59</v>
      </c>
      <c r="E976" s="41" t="n">
        <f aca="false">C976/D976-1</f>
        <v>-0.146200256436777</v>
      </c>
      <c r="F976" s="42" t="n">
        <f aca="false">YEAR(A976)</f>
        <v>2017</v>
      </c>
    </row>
    <row r="977" customFormat="false" ht="15" hidden="false" customHeight="false" outlineLevel="0" collapsed="false">
      <c r="A977" s="38" t="n">
        <v>42821</v>
      </c>
      <c r="B977" s="39" t="n">
        <v>1202</v>
      </c>
      <c r="C977" s="40" t="n">
        <v>4561709.59</v>
      </c>
      <c r="D977" s="40" t="n">
        <f aca="false">MAX(D976,C977)</f>
        <v>6808469.59</v>
      </c>
      <c r="E977" s="41" t="n">
        <f aca="false">C977/D977-1</f>
        <v>-0.329994864528726</v>
      </c>
      <c r="F977" s="42" t="n">
        <f aca="false">YEAR(A977)</f>
        <v>2017</v>
      </c>
    </row>
    <row r="978" customFormat="false" ht="15" hidden="false" customHeight="false" outlineLevel="0" collapsed="false">
      <c r="A978" s="38" t="n">
        <v>42822</v>
      </c>
      <c r="B978" s="39" t="n">
        <v>1184.5</v>
      </c>
      <c r="C978" s="40" t="n">
        <v>4606822.7</v>
      </c>
      <c r="D978" s="40" t="n">
        <f aca="false">MAX(D977,C978)</f>
        <v>6808469.59</v>
      </c>
      <c r="E978" s="41" t="n">
        <f aca="false">C978/D978-1</f>
        <v>-0.32336883654936</v>
      </c>
      <c r="F978" s="42" t="n">
        <f aca="false">YEAR(A978)</f>
        <v>2017</v>
      </c>
    </row>
    <row r="979" customFormat="false" ht="15" hidden="false" customHeight="false" outlineLevel="0" collapsed="false">
      <c r="A979" s="38" t="n">
        <v>42823</v>
      </c>
      <c r="B979" s="39" t="n">
        <v>1242</v>
      </c>
      <c r="C979" s="40" t="n">
        <v>4606822.7</v>
      </c>
      <c r="D979" s="40" t="n">
        <f aca="false">MAX(D978,C979)</f>
        <v>6808469.59</v>
      </c>
      <c r="E979" s="41" t="n">
        <f aca="false">C979/D979-1</f>
        <v>-0.32336883654936</v>
      </c>
      <c r="F979" s="42" t="n">
        <f aca="false">YEAR(A979)</f>
        <v>2017</v>
      </c>
    </row>
    <row r="980" customFormat="false" ht="15" hidden="false" customHeight="false" outlineLevel="0" collapsed="false">
      <c r="A980" s="38" t="n">
        <v>42824</v>
      </c>
      <c r="B980" s="39" t="n">
        <v>1244</v>
      </c>
      <c r="C980" s="40" t="n">
        <v>4606822.7</v>
      </c>
      <c r="D980" s="40" t="n">
        <f aca="false">MAX(D979,C980)</f>
        <v>6808469.59</v>
      </c>
      <c r="E980" s="41" t="n">
        <f aca="false">C980/D980-1</f>
        <v>-0.32336883654936</v>
      </c>
      <c r="F980" s="42" t="n">
        <f aca="false">YEAR(A980)</f>
        <v>2017</v>
      </c>
    </row>
    <row r="981" customFormat="false" ht="15" hidden="false" customHeight="false" outlineLevel="0" collapsed="false">
      <c r="A981" s="38" t="n">
        <v>42825</v>
      </c>
      <c r="B981" s="39" t="n">
        <v>1249</v>
      </c>
      <c r="C981" s="40" t="n">
        <v>4606822.7</v>
      </c>
      <c r="D981" s="40" t="n">
        <f aca="false">MAX(D980,C981)</f>
        <v>6808469.59</v>
      </c>
      <c r="E981" s="41" t="n">
        <f aca="false">C981/D981-1</f>
        <v>-0.32336883654936</v>
      </c>
      <c r="F981" s="42" t="n">
        <f aca="false">YEAR(A981)</f>
        <v>2017</v>
      </c>
    </row>
    <row r="982" customFormat="false" ht="15" hidden="false" customHeight="false" outlineLevel="0" collapsed="false">
      <c r="A982" s="38" t="n">
        <v>42830</v>
      </c>
      <c r="B982" s="39" t="n">
        <v>1340.5</v>
      </c>
      <c r="C982" s="40" t="n">
        <v>4606822.7</v>
      </c>
      <c r="D982" s="40" t="n">
        <f aca="false">MAX(D981,C982)</f>
        <v>6808469.59</v>
      </c>
      <c r="E982" s="41" t="n">
        <f aca="false">C982/D982-1</f>
        <v>-0.32336883654936</v>
      </c>
      <c r="F982" s="42" t="n">
        <f aca="false">YEAR(A982)</f>
        <v>2017</v>
      </c>
    </row>
    <row r="983" customFormat="false" ht="15" hidden="false" customHeight="false" outlineLevel="0" collapsed="false">
      <c r="A983" s="38" t="n">
        <v>42831</v>
      </c>
      <c r="B983" s="39" t="n">
        <v>1344</v>
      </c>
      <c r="C983" s="40" t="n">
        <v>4606822.7</v>
      </c>
      <c r="D983" s="40" t="n">
        <f aca="false">MAX(D982,C983)</f>
        <v>6808469.59</v>
      </c>
      <c r="E983" s="41" t="n">
        <f aca="false">C983/D983-1</f>
        <v>-0.32336883654936</v>
      </c>
      <c r="F983" s="42" t="n">
        <f aca="false">YEAR(A983)</f>
        <v>2017</v>
      </c>
    </row>
    <row r="984" customFormat="false" ht="15" hidden="false" customHeight="false" outlineLevel="0" collapsed="false">
      <c r="A984" s="38" t="n">
        <v>42832</v>
      </c>
      <c r="B984" s="39" t="n">
        <v>1294</v>
      </c>
      <c r="C984" s="40" t="n">
        <v>4606822.7</v>
      </c>
      <c r="D984" s="40" t="n">
        <f aca="false">MAX(D983,C984)</f>
        <v>6808469.59</v>
      </c>
      <c r="E984" s="41" t="n">
        <f aca="false">C984/D984-1</f>
        <v>-0.32336883654936</v>
      </c>
      <c r="F984" s="42" t="n">
        <f aca="false">YEAR(A984)</f>
        <v>2017</v>
      </c>
    </row>
    <row r="985" customFormat="false" ht="15" hidden="false" customHeight="false" outlineLevel="0" collapsed="false">
      <c r="A985" s="38" t="n">
        <v>42835</v>
      </c>
      <c r="B985" s="39" t="n">
        <v>1283.5</v>
      </c>
      <c r="C985" s="40" t="n">
        <v>4606822.7</v>
      </c>
      <c r="D985" s="40" t="n">
        <f aca="false">MAX(D984,C985)</f>
        <v>6808469.59</v>
      </c>
      <c r="E985" s="41" t="n">
        <f aca="false">C985/D985-1</f>
        <v>-0.32336883654936</v>
      </c>
      <c r="F985" s="42" t="n">
        <f aca="false">YEAR(A985)</f>
        <v>2017</v>
      </c>
    </row>
    <row r="986" customFormat="false" ht="15" hidden="false" customHeight="false" outlineLevel="0" collapsed="false">
      <c r="A986" s="38" t="n">
        <v>42836</v>
      </c>
      <c r="B986" s="39" t="n">
        <v>1235</v>
      </c>
      <c r="C986" s="40" t="n">
        <v>4606822.7</v>
      </c>
      <c r="D986" s="40" t="n">
        <f aca="false">MAX(D985,C986)</f>
        <v>6808469.59</v>
      </c>
      <c r="E986" s="41" t="n">
        <f aca="false">C986/D986-1</f>
        <v>-0.32336883654936</v>
      </c>
      <c r="F986" s="42" t="n">
        <f aca="false">YEAR(A986)</f>
        <v>2017</v>
      </c>
    </row>
    <row r="987" customFormat="false" ht="15" hidden="false" customHeight="false" outlineLevel="0" collapsed="false">
      <c r="A987" s="38" t="n">
        <v>42837</v>
      </c>
      <c r="B987" s="39" t="n">
        <v>1170.5</v>
      </c>
      <c r="C987" s="40" t="n">
        <v>4606822.7</v>
      </c>
      <c r="D987" s="40" t="n">
        <f aca="false">MAX(D986,C987)</f>
        <v>6808469.59</v>
      </c>
      <c r="E987" s="41" t="n">
        <f aca="false">C987/D987-1</f>
        <v>-0.32336883654936</v>
      </c>
      <c r="F987" s="42" t="n">
        <f aca="false">YEAR(A987)</f>
        <v>2017</v>
      </c>
    </row>
    <row r="988" customFormat="false" ht="15" hidden="false" customHeight="false" outlineLevel="0" collapsed="false">
      <c r="A988" s="38" t="n">
        <v>42838</v>
      </c>
      <c r="B988" s="39" t="n">
        <v>1160.5</v>
      </c>
      <c r="C988" s="40" t="n">
        <v>4800746.46</v>
      </c>
      <c r="D988" s="40" t="n">
        <f aca="false">MAX(D987,C988)</f>
        <v>6808469.59</v>
      </c>
      <c r="E988" s="41" t="n">
        <f aca="false">C988/D988-1</f>
        <v>-0.294886112577908</v>
      </c>
      <c r="F988" s="42" t="n">
        <f aca="false">YEAR(A988)</f>
        <v>2017</v>
      </c>
    </row>
    <row r="989" customFormat="false" ht="15" hidden="false" customHeight="false" outlineLevel="0" collapsed="false">
      <c r="A989" s="38" t="n">
        <v>42839</v>
      </c>
      <c r="B989" s="39" t="n">
        <v>1124</v>
      </c>
      <c r="C989" s="40" t="n">
        <v>5396426.46</v>
      </c>
      <c r="D989" s="40" t="n">
        <f aca="false">MAX(D988,C989)</f>
        <v>6808469.59</v>
      </c>
      <c r="E989" s="41" t="n">
        <f aca="false">C989/D989-1</f>
        <v>-0.207395085097237</v>
      </c>
      <c r="F989" s="42" t="n">
        <f aca="false">YEAR(A989)</f>
        <v>2017</v>
      </c>
    </row>
    <row r="990" customFormat="false" ht="15" hidden="false" customHeight="false" outlineLevel="0" collapsed="false">
      <c r="A990" s="38" t="n">
        <v>42842</v>
      </c>
      <c r="B990" s="39" t="n">
        <v>1141.5</v>
      </c>
      <c r="C990" s="40" t="n">
        <v>5110826.46</v>
      </c>
      <c r="D990" s="40" t="n">
        <f aca="false">MAX(D989,C990)</f>
        <v>6808469.59</v>
      </c>
      <c r="E990" s="41" t="n">
        <f aca="false">C990/D990-1</f>
        <v>-0.249342837998928</v>
      </c>
      <c r="F990" s="42" t="n">
        <f aca="false">YEAR(A990)</f>
        <v>2017</v>
      </c>
    </row>
    <row r="991" customFormat="false" ht="15" hidden="false" customHeight="false" outlineLevel="0" collapsed="false">
      <c r="A991" s="38" t="n">
        <v>42843</v>
      </c>
      <c r="B991" s="39" t="n">
        <v>1108.5</v>
      </c>
      <c r="C991" s="40" t="n">
        <v>5649386.46</v>
      </c>
      <c r="D991" s="40" t="n">
        <f aca="false">MAX(D990,C991)</f>
        <v>6808469.59</v>
      </c>
      <c r="E991" s="41" t="n">
        <f aca="false">C991/D991-1</f>
        <v>-0.170241361098596</v>
      </c>
      <c r="F991" s="42" t="n">
        <f aca="false">YEAR(A991)</f>
        <v>2017</v>
      </c>
    </row>
    <row r="992" customFormat="false" ht="15" hidden="false" customHeight="false" outlineLevel="0" collapsed="false">
      <c r="A992" s="38" t="n">
        <v>42844</v>
      </c>
      <c r="B992" s="39" t="n">
        <v>1085.5</v>
      </c>
      <c r="C992" s="40" t="n">
        <v>6024746.46</v>
      </c>
      <c r="D992" s="40" t="n">
        <f aca="false">MAX(D991,C992)</f>
        <v>6808469.59</v>
      </c>
      <c r="E992" s="41" t="n">
        <f aca="false">C992/D992-1</f>
        <v>-0.115110028713516</v>
      </c>
      <c r="F992" s="42" t="n">
        <f aca="false">YEAR(A992)</f>
        <v>2017</v>
      </c>
    </row>
    <row r="993" customFormat="false" ht="15" hidden="false" customHeight="false" outlineLevel="0" collapsed="false">
      <c r="A993" s="38" t="n">
        <v>42845</v>
      </c>
      <c r="B993" s="39" t="n">
        <v>1129.5</v>
      </c>
      <c r="C993" s="40" t="n">
        <v>5306666.46</v>
      </c>
      <c r="D993" s="40" t="n">
        <f aca="false">MAX(D992,C993)</f>
        <v>6808469.59</v>
      </c>
      <c r="E993" s="41" t="n">
        <f aca="false">C993/D993-1</f>
        <v>-0.220578664580626</v>
      </c>
      <c r="F993" s="42" t="n">
        <f aca="false">YEAR(A993)</f>
        <v>2017</v>
      </c>
    </row>
    <row r="994" customFormat="false" ht="15" hidden="false" customHeight="false" outlineLevel="0" collapsed="false">
      <c r="A994" s="38" t="n">
        <v>42846</v>
      </c>
      <c r="B994" s="39" t="n">
        <v>1143</v>
      </c>
      <c r="C994" s="40" t="n">
        <v>5086346.46</v>
      </c>
      <c r="D994" s="40" t="n">
        <f aca="false">MAX(D993,C994)</f>
        <v>6808469.59</v>
      </c>
      <c r="E994" s="41" t="n">
        <f aca="false">C994/D994-1</f>
        <v>-0.252938359676216</v>
      </c>
      <c r="F994" s="42" t="n">
        <f aca="false">YEAR(A994)</f>
        <v>2017</v>
      </c>
    </row>
    <row r="995" customFormat="false" ht="15" hidden="false" customHeight="false" outlineLevel="0" collapsed="false">
      <c r="A995" s="38" t="n">
        <v>42849</v>
      </c>
      <c r="B995" s="39" t="n">
        <v>1096.5</v>
      </c>
      <c r="C995" s="40" t="n">
        <v>5845226.46</v>
      </c>
      <c r="D995" s="40" t="n">
        <f aca="false">MAX(D994,C995)</f>
        <v>6808469.59</v>
      </c>
      <c r="E995" s="41" t="n">
        <f aca="false">C995/D995-1</f>
        <v>-0.141477187680293</v>
      </c>
      <c r="F995" s="42" t="n">
        <f aca="false">YEAR(A995)</f>
        <v>2017</v>
      </c>
    </row>
    <row r="996" customFormat="false" ht="15" hidden="false" customHeight="false" outlineLevel="0" collapsed="false">
      <c r="A996" s="38" t="n">
        <v>42850</v>
      </c>
      <c r="B996" s="39" t="n">
        <v>1089.5</v>
      </c>
      <c r="C996" s="40" t="n">
        <v>5959466.46</v>
      </c>
      <c r="D996" s="40" t="n">
        <f aca="false">MAX(D995,C996)</f>
        <v>6808469.59</v>
      </c>
      <c r="E996" s="41" t="n">
        <f aca="false">C996/D996-1</f>
        <v>-0.124698086519617</v>
      </c>
      <c r="F996" s="42" t="n">
        <f aca="false">YEAR(A996)</f>
        <v>2017</v>
      </c>
    </row>
    <row r="997" customFormat="false" ht="15" hidden="false" customHeight="false" outlineLevel="0" collapsed="false">
      <c r="A997" s="38" t="n">
        <v>42851</v>
      </c>
      <c r="B997" s="39" t="n">
        <v>1084</v>
      </c>
      <c r="C997" s="40" t="n">
        <v>6049226.46</v>
      </c>
      <c r="D997" s="40" t="n">
        <f aca="false">MAX(D996,C997)</f>
        <v>6808469.59</v>
      </c>
      <c r="E997" s="41" t="n">
        <f aca="false">C997/D997-1</f>
        <v>-0.111514507036228</v>
      </c>
      <c r="F997" s="42" t="n">
        <f aca="false">YEAR(A997)</f>
        <v>2017</v>
      </c>
    </row>
    <row r="998" customFormat="false" ht="15" hidden="false" customHeight="false" outlineLevel="0" collapsed="false">
      <c r="A998" s="38" t="n">
        <v>42852</v>
      </c>
      <c r="B998" s="39" t="n">
        <v>1119.5</v>
      </c>
      <c r="C998" s="40" t="n">
        <v>5469866.46</v>
      </c>
      <c r="D998" s="40" t="n">
        <f aca="false">MAX(D997,C998)</f>
        <v>6808469.59</v>
      </c>
      <c r="E998" s="41" t="n">
        <f aca="false">C998/D998-1</f>
        <v>-0.196608520065373</v>
      </c>
      <c r="F998" s="42" t="n">
        <f aca="false">YEAR(A998)</f>
        <v>2017</v>
      </c>
    </row>
    <row r="999" customFormat="false" ht="15" hidden="false" customHeight="false" outlineLevel="0" collapsed="false">
      <c r="A999" s="38" t="n">
        <v>42853</v>
      </c>
      <c r="B999" s="39" t="n">
        <v>1128.5</v>
      </c>
      <c r="C999" s="40" t="n">
        <v>5322986.46</v>
      </c>
      <c r="D999" s="40" t="n">
        <f aca="false">MAX(D998,C999)</f>
        <v>6808469.59</v>
      </c>
      <c r="E999" s="41" t="n">
        <f aca="false">C999/D999-1</f>
        <v>-0.2181816501291</v>
      </c>
      <c r="F999" s="42" t="n">
        <f aca="false">YEAR(A999)</f>
        <v>2017</v>
      </c>
    </row>
    <row r="1000" customFormat="false" ht="15" hidden="false" customHeight="false" outlineLevel="0" collapsed="false">
      <c r="A1000" s="38" t="n">
        <v>42857</v>
      </c>
      <c r="B1000" s="39" t="n">
        <v>1142</v>
      </c>
      <c r="C1000" s="40" t="n">
        <v>5102666.46</v>
      </c>
      <c r="D1000" s="40" t="n">
        <f aca="false">MAX(D999,C1000)</f>
        <v>6808469.59</v>
      </c>
      <c r="E1000" s="41" t="n">
        <f aca="false">C1000/D1000-1</f>
        <v>-0.250541345224691</v>
      </c>
      <c r="F1000" s="42" t="n">
        <f aca="false">YEAR(A1000)</f>
        <v>2017</v>
      </c>
    </row>
    <row r="1001" customFormat="false" ht="15" hidden="false" customHeight="false" outlineLevel="0" collapsed="false">
      <c r="A1001" s="38" t="n">
        <v>42858</v>
      </c>
      <c r="B1001" s="39" t="n">
        <v>1106</v>
      </c>
      <c r="C1001" s="40" t="n">
        <v>5690186.46</v>
      </c>
      <c r="D1001" s="40" t="n">
        <f aca="false">MAX(D1000,C1001)</f>
        <v>6808469.59</v>
      </c>
      <c r="E1001" s="41" t="n">
        <f aca="false">C1001/D1001-1</f>
        <v>-0.164248824969783</v>
      </c>
      <c r="F1001" s="42" t="n">
        <f aca="false">YEAR(A1001)</f>
        <v>2017</v>
      </c>
    </row>
    <row r="1002" customFormat="false" ht="15" hidden="false" customHeight="false" outlineLevel="0" collapsed="false">
      <c r="A1002" s="38" t="n">
        <v>42859</v>
      </c>
      <c r="B1002" s="39" t="n">
        <v>1050.5</v>
      </c>
      <c r="C1002" s="40" t="n">
        <v>6595946.46</v>
      </c>
      <c r="D1002" s="40" t="n">
        <f aca="false">MAX(D1001,C1002)</f>
        <v>6808469.59</v>
      </c>
      <c r="E1002" s="41" t="n">
        <f aca="false">C1002/D1002-1</f>
        <v>-0.0312145229101332</v>
      </c>
      <c r="F1002" s="42" t="n">
        <f aca="false">YEAR(A1002)</f>
        <v>2017</v>
      </c>
    </row>
    <row r="1003" customFormat="false" ht="15" hidden="false" customHeight="false" outlineLevel="0" collapsed="false">
      <c r="A1003" s="38" t="n">
        <v>42860</v>
      </c>
      <c r="B1003" s="39" t="n">
        <v>1022</v>
      </c>
      <c r="C1003" s="40" t="n">
        <v>7061066.46</v>
      </c>
      <c r="D1003" s="40" t="n">
        <f aca="false">MAX(D1002,C1003)</f>
        <v>7061066.46</v>
      </c>
      <c r="E1003" s="41" t="n">
        <f aca="false">C1003/D1003-1</f>
        <v>0</v>
      </c>
      <c r="F1003" s="42" t="n">
        <f aca="false">YEAR(A1003)</f>
        <v>2017</v>
      </c>
    </row>
    <row r="1004" customFormat="false" ht="15" hidden="false" customHeight="false" outlineLevel="0" collapsed="false">
      <c r="A1004" s="38" t="n">
        <v>42863</v>
      </c>
      <c r="B1004" s="39" t="n">
        <v>1042</v>
      </c>
      <c r="C1004" s="40" t="n">
        <v>6734666.46</v>
      </c>
      <c r="D1004" s="40" t="n">
        <f aca="false">MAX(D1003,C1004)</f>
        <v>7061066.46</v>
      </c>
      <c r="E1004" s="41" t="n">
        <f aca="false">C1004/D1004-1</f>
        <v>-0.0462253119764574</v>
      </c>
      <c r="F1004" s="42" t="n">
        <f aca="false">YEAR(A1004)</f>
        <v>2017</v>
      </c>
    </row>
    <row r="1005" customFormat="false" ht="15" hidden="false" customHeight="false" outlineLevel="0" collapsed="false">
      <c r="A1005" s="38" t="n">
        <v>42864</v>
      </c>
      <c r="B1005" s="39" t="n">
        <v>1046.5</v>
      </c>
      <c r="C1005" s="40" t="n">
        <v>6661226.46</v>
      </c>
      <c r="D1005" s="40" t="n">
        <f aca="false">MAX(D1004,C1005)</f>
        <v>7061066.46</v>
      </c>
      <c r="E1005" s="41" t="n">
        <f aca="false">C1005/D1005-1</f>
        <v>-0.0566260071711604</v>
      </c>
      <c r="F1005" s="42" t="n">
        <f aca="false">YEAR(A1005)</f>
        <v>2017</v>
      </c>
    </row>
    <row r="1006" customFormat="false" ht="15" hidden="false" customHeight="false" outlineLevel="0" collapsed="false">
      <c r="A1006" s="38" t="n">
        <v>42865</v>
      </c>
      <c r="B1006" s="39" t="n">
        <v>1066</v>
      </c>
      <c r="C1006" s="40" t="n">
        <v>6342986.46</v>
      </c>
      <c r="D1006" s="40" t="n">
        <f aca="false">MAX(D1005,C1006)</f>
        <v>7061066.46</v>
      </c>
      <c r="E1006" s="41" t="n">
        <f aca="false">C1006/D1006-1</f>
        <v>-0.101695686348206</v>
      </c>
      <c r="F1006" s="42" t="n">
        <f aca="false">YEAR(A1006)</f>
        <v>2017</v>
      </c>
    </row>
    <row r="1007" customFormat="false" ht="15" hidden="false" customHeight="false" outlineLevel="0" collapsed="false">
      <c r="A1007" s="38" t="n">
        <v>42866</v>
      </c>
      <c r="B1007" s="39" t="n">
        <v>1025.5</v>
      </c>
      <c r="C1007" s="40" t="n">
        <v>7003946.46</v>
      </c>
      <c r="D1007" s="40" t="n">
        <f aca="false">MAX(D1006,C1007)</f>
        <v>7061066.46</v>
      </c>
      <c r="E1007" s="41" t="n">
        <f aca="false">C1007/D1007-1</f>
        <v>-0.0080894295958801</v>
      </c>
      <c r="F1007" s="42" t="n">
        <f aca="false">YEAR(A1007)</f>
        <v>2017</v>
      </c>
    </row>
    <row r="1008" customFormat="false" ht="15" hidden="false" customHeight="false" outlineLevel="0" collapsed="false">
      <c r="A1008" s="38" t="n">
        <v>42867</v>
      </c>
      <c r="B1008" s="39" t="n">
        <v>1014.5</v>
      </c>
      <c r="C1008" s="40" t="n">
        <v>7183466.46</v>
      </c>
      <c r="D1008" s="40" t="n">
        <f aca="false">MAX(D1007,C1008)</f>
        <v>7183466.46</v>
      </c>
      <c r="E1008" s="41" t="n">
        <f aca="false">C1008/D1008-1</f>
        <v>0</v>
      </c>
      <c r="F1008" s="42" t="n">
        <f aca="false">YEAR(A1008)</f>
        <v>2017</v>
      </c>
    </row>
    <row r="1009" customFormat="false" ht="15" hidden="false" customHeight="false" outlineLevel="0" collapsed="false">
      <c r="A1009" s="38" t="n">
        <v>42870</v>
      </c>
      <c r="B1009" s="39" t="n">
        <v>1017.5</v>
      </c>
      <c r="C1009" s="40" t="n">
        <v>7134506.46</v>
      </c>
      <c r="D1009" s="40" t="n">
        <f aca="false">MAX(D1008,C1009)</f>
        <v>7183466.46</v>
      </c>
      <c r="E1009" s="41" t="n">
        <f aca="false">C1009/D1009-1</f>
        <v>-0.00681565094966696</v>
      </c>
      <c r="F1009" s="42" t="n">
        <f aca="false">YEAR(A1009)</f>
        <v>2017</v>
      </c>
    </row>
    <row r="1010" customFormat="false" ht="15" hidden="false" customHeight="false" outlineLevel="0" collapsed="false">
      <c r="A1010" s="38" t="n">
        <v>42871</v>
      </c>
      <c r="B1010" s="39" t="n">
        <v>1027</v>
      </c>
      <c r="C1010" s="40" t="n">
        <v>6979466.46</v>
      </c>
      <c r="D1010" s="40" t="n">
        <f aca="false">MAX(D1009,C1010)</f>
        <v>7183466.46</v>
      </c>
      <c r="E1010" s="41" t="n">
        <f aca="false">C1010/D1010-1</f>
        <v>-0.0283985456236124</v>
      </c>
      <c r="F1010" s="42" t="n">
        <f aca="false">YEAR(A1010)</f>
        <v>2017</v>
      </c>
    </row>
    <row r="1011" customFormat="false" ht="15" hidden="false" customHeight="false" outlineLevel="0" collapsed="false">
      <c r="A1011" s="38" t="n">
        <v>42872</v>
      </c>
      <c r="B1011" s="39" t="n">
        <v>1045.5</v>
      </c>
      <c r="C1011" s="40" t="n">
        <v>6677546.46</v>
      </c>
      <c r="D1011" s="40" t="n">
        <f aca="false">MAX(D1010,C1011)</f>
        <v>7183466.46</v>
      </c>
      <c r="E1011" s="41" t="n">
        <f aca="false">C1011/D1011-1</f>
        <v>-0.0704283931465589</v>
      </c>
      <c r="F1011" s="42" t="n">
        <f aca="false">YEAR(A1011)</f>
        <v>2017</v>
      </c>
    </row>
    <row r="1012" customFormat="false" ht="15" hidden="false" customHeight="false" outlineLevel="0" collapsed="false">
      <c r="A1012" s="38" t="n">
        <v>42873</v>
      </c>
      <c r="B1012" s="39" t="n">
        <v>1027</v>
      </c>
      <c r="C1012" s="40" t="n">
        <v>6979466.46</v>
      </c>
      <c r="D1012" s="40" t="n">
        <f aca="false">MAX(D1011,C1012)</f>
        <v>7183466.46</v>
      </c>
      <c r="E1012" s="41" t="n">
        <f aca="false">C1012/D1012-1</f>
        <v>-0.0283985456236124</v>
      </c>
      <c r="F1012" s="42" t="n">
        <f aca="false">YEAR(A1012)</f>
        <v>2017</v>
      </c>
    </row>
    <row r="1013" customFormat="false" ht="15" hidden="false" customHeight="false" outlineLevel="0" collapsed="false">
      <c r="A1013" s="38" t="n">
        <v>42874</v>
      </c>
      <c r="B1013" s="39" t="n">
        <v>1046</v>
      </c>
      <c r="C1013" s="40" t="n">
        <v>6669386.46</v>
      </c>
      <c r="D1013" s="40" t="n">
        <f aca="false">MAX(D1012,C1013)</f>
        <v>7183466.46</v>
      </c>
      <c r="E1013" s="41" t="n">
        <f aca="false">C1013/D1013-1</f>
        <v>-0.0715643349715034</v>
      </c>
      <c r="F1013" s="42" t="n">
        <f aca="false">YEAR(A1013)</f>
        <v>2017</v>
      </c>
    </row>
    <row r="1014" customFormat="false" ht="15" hidden="false" customHeight="false" outlineLevel="0" collapsed="false">
      <c r="A1014" s="38" t="n">
        <v>42877</v>
      </c>
      <c r="B1014" s="39" t="n">
        <v>1045.5</v>
      </c>
      <c r="C1014" s="40" t="n">
        <v>6677546.46</v>
      </c>
      <c r="D1014" s="40" t="n">
        <f aca="false">MAX(D1013,C1014)</f>
        <v>7183466.46</v>
      </c>
      <c r="E1014" s="41" t="n">
        <f aca="false">C1014/D1014-1</f>
        <v>-0.0704283931465589</v>
      </c>
      <c r="F1014" s="42" t="n">
        <f aca="false">YEAR(A1014)</f>
        <v>2017</v>
      </c>
    </row>
    <row r="1015" customFormat="false" ht="15" hidden="false" customHeight="false" outlineLevel="0" collapsed="false">
      <c r="A1015" s="38" t="n">
        <v>42878</v>
      </c>
      <c r="B1015" s="39" t="n">
        <v>1072.5</v>
      </c>
      <c r="C1015" s="40" t="n">
        <v>6236906.46</v>
      </c>
      <c r="D1015" s="40" t="n">
        <f aca="false">MAX(D1014,C1015)</f>
        <v>7183466.46</v>
      </c>
      <c r="E1015" s="41" t="n">
        <f aca="false">C1015/D1015-1</f>
        <v>-0.131769251693562</v>
      </c>
      <c r="F1015" s="42" t="n">
        <f aca="false">YEAR(A1015)</f>
        <v>2017</v>
      </c>
    </row>
    <row r="1016" customFormat="false" ht="15" hidden="false" customHeight="false" outlineLevel="0" collapsed="false">
      <c r="A1016" s="38" t="n">
        <v>42879</v>
      </c>
      <c r="B1016" s="39" t="n">
        <v>1035.5</v>
      </c>
      <c r="C1016" s="40" t="n">
        <v>6840746.46</v>
      </c>
      <c r="D1016" s="40" t="n">
        <f aca="false">MAX(D1015,C1016)</f>
        <v>7183466.46</v>
      </c>
      <c r="E1016" s="41" t="n">
        <f aca="false">C1016/D1016-1</f>
        <v>-0.047709556647669</v>
      </c>
      <c r="F1016" s="42" t="n">
        <f aca="false">YEAR(A1016)</f>
        <v>2017</v>
      </c>
    </row>
    <row r="1017" customFormat="false" ht="15" hidden="false" customHeight="false" outlineLevel="0" collapsed="false">
      <c r="A1017" s="38" t="n">
        <v>42880</v>
      </c>
      <c r="B1017" s="39" t="n">
        <v>1048.5</v>
      </c>
      <c r="C1017" s="40" t="n">
        <v>6628586.46</v>
      </c>
      <c r="D1017" s="40" t="n">
        <f aca="false">MAX(D1016,C1017)</f>
        <v>7183466.46</v>
      </c>
      <c r="E1017" s="41" t="n">
        <f aca="false">C1017/D1017-1</f>
        <v>-0.077244044096226</v>
      </c>
      <c r="F1017" s="42" t="n">
        <f aca="false">YEAR(A1017)</f>
        <v>2017</v>
      </c>
    </row>
    <row r="1018" customFormat="false" ht="15" hidden="false" customHeight="false" outlineLevel="0" collapsed="false">
      <c r="A1018" s="38" t="n">
        <v>42881</v>
      </c>
      <c r="B1018" s="39" t="n">
        <v>1030.5</v>
      </c>
      <c r="C1018" s="40" t="n">
        <v>6922346.46</v>
      </c>
      <c r="D1018" s="40" t="n">
        <f aca="false">MAX(D1017,C1018)</f>
        <v>7183466.46</v>
      </c>
      <c r="E1018" s="41" t="n">
        <f aca="false">C1018/D1018-1</f>
        <v>-0.036350138398224</v>
      </c>
      <c r="F1018" s="42" t="n">
        <f aca="false">YEAR(A1018)</f>
        <v>2017</v>
      </c>
    </row>
    <row r="1019" customFormat="false" ht="15" hidden="false" customHeight="false" outlineLevel="0" collapsed="false">
      <c r="A1019" s="38" t="n">
        <v>42886</v>
      </c>
      <c r="B1019" s="39" t="n">
        <v>947.5</v>
      </c>
      <c r="C1019" s="40" t="n">
        <v>8276906.46</v>
      </c>
      <c r="D1019" s="40" t="n">
        <f aca="false">MAX(D1018,C1019)</f>
        <v>8276906.46</v>
      </c>
      <c r="E1019" s="41" t="n">
        <f aca="false">C1019/D1019-1</f>
        <v>0</v>
      </c>
      <c r="F1019" s="42" t="n">
        <f aca="false">YEAR(A1019)</f>
        <v>2017</v>
      </c>
    </row>
    <row r="1020" customFormat="false" ht="15" hidden="false" customHeight="false" outlineLevel="0" collapsed="false">
      <c r="A1020" s="38" t="n">
        <v>42887</v>
      </c>
      <c r="B1020" s="39" t="n">
        <v>948.5</v>
      </c>
      <c r="C1020" s="40" t="n">
        <v>8260586.46</v>
      </c>
      <c r="D1020" s="40" t="n">
        <f aca="false">MAX(D1019,C1020)</f>
        <v>8276906.46</v>
      </c>
      <c r="E1020" s="41" t="n">
        <f aca="false">C1020/D1020-1</f>
        <v>-0.00197175117042459</v>
      </c>
      <c r="F1020" s="42" t="n">
        <f aca="false">YEAR(A1020)</f>
        <v>2017</v>
      </c>
    </row>
    <row r="1021" customFormat="false" ht="15" hidden="false" customHeight="false" outlineLevel="0" collapsed="false">
      <c r="A1021" s="38" t="n">
        <v>42888</v>
      </c>
      <c r="B1021" s="39" t="n">
        <v>937.5</v>
      </c>
      <c r="C1021" s="40" t="n">
        <v>8440106.46</v>
      </c>
      <c r="D1021" s="40" t="n">
        <f aca="false">MAX(D1020,C1021)</f>
        <v>8440106.46</v>
      </c>
      <c r="E1021" s="41" t="n">
        <f aca="false">C1021/D1021-1</f>
        <v>0</v>
      </c>
      <c r="F1021" s="42" t="n">
        <f aca="false">YEAR(A1021)</f>
        <v>2017</v>
      </c>
    </row>
    <row r="1022" customFormat="false" ht="15" hidden="false" customHeight="false" outlineLevel="0" collapsed="false">
      <c r="A1022" s="38" t="n">
        <v>42891</v>
      </c>
      <c r="B1022" s="39" t="n">
        <v>955.5</v>
      </c>
      <c r="C1022" s="40" t="n">
        <v>8146346.46</v>
      </c>
      <c r="D1022" s="40" t="n">
        <f aca="false">MAX(D1021,C1022)</f>
        <v>8440106.46</v>
      </c>
      <c r="E1022" s="41" t="n">
        <f aca="false">C1022/D1022-1</f>
        <v>-0.0348052481792985</v>
      </c>
      <c r="F1022" s="42" t="n">
        <f aca="false">YEAR(A1022)</f>
        <v>2017</v>
      </c>
    </row>
    <row r="1023" customFormat="false" ht="15" hidden="false" customHeight="false" outlineLevel="0" collapsed="false">
      <c r="A1023" s="38" t="n">
        <v>42892</v>
      </c>
      <c r="B1023" s="39" t="n">
        <v>966.5</v>
      </c>
      <c r="C1023" s="40" t="n">
        <v>7966826.46</v>
      </c>
      <c r="D1023" s="40" t="n">
        <f aca="false">MAX(D1022,C1023)</f>
        <v>8440106.46</v>
      </c>
      <c r="E1023" s="41" t="n">
        <f aca="false">C1023/D1023-1</f>
        <v>-0.0560751220666476</v>
      </c>
      <c r="F1023" s="42" t="n">
        <f aca="false">YEAR(A1023)</f>
        <v>2017</v>
      </c>
    </row>
    <row r="1024" customFormat="false" ht="15" hidden="false" customHeight="false" outlineLevel="0" collapsed="false">
      <c r="A1024" s="38" t="n">
        <v>42893</v>
      </c>
      <c r="B1024" s="39" t="n">
        <v>968.5</v>
      </c>
      <c r="C1024" s="40" t="n">
        <v>7934186.46</v>
      </c>
      <c r="D1024" s="40" t="n">
        <f aca="false">MAX(D1023,C1024)</f>
        <v>8440106.46</v>
      </c>
      <c r="E1024" s="41" t="n">
        <f aca="false">C1024/D1024-1</f>
        <v>-0.0599423718643474</v>
      </c>
      <c r="F1024" s="42" t="n">
        <f aca="false">YEAR(A1024)</f>
        <v>2017</v>
      </c>
    </row>
    <row r="1025" customFormat="false" ht="15" hidden="false" customHeight="false" outlineLevel="0" collapsed="false">
      <c r="A1025" s="38" t="n">
        <v>42894</v>
      </c>
      <c r="B1025" s="39" t="n">
        <v>966</v>
      </c>
      <c r="C1025" s="40" t="n">
        <v>7974986.46</v>
      </c>
      <c r="D1025" s="40" t="n">
        <f aca="false">MAX(D1024,C1025)</f>
        <v>8440106.46</v>
      </c>
      <c r="E1025" s="41" t="n">
        <f aca="false">C1025/D1025-1</f>
        <v>-0.0551083096172227</v>
      </c>
      <c r="F1025" s="42" t="n">
        <f aca="false">YEAR(A1025)</f>
        <v>2017</v>
      </c>
    </row>
    <row r="1026" customFormat="false" ht="15" hidden="false" customHeight="false" outlineLevel="0" collapsed="false">
      <c r="A1026" s="38" t="n">
        <v>42895</v>
      </c>
      <c r="B1026" s="39" t="n">
        <v>948.5</v>
      </c>
      <c r="C1026" s="40" t="n">
        <v>8260586.46</v>
      </c>
      <c r="D1026" s="40" t="n">
        <f aca="false">MAX(D1025,C1026)</f>
        <v>8440106.46</v>
      </c>
      <c r="E1026" s="41" t="n">
        <f aca="false">C1026/D1026-1</f>
        <v>-0.0212698738873491</v>
      </c>
      <c r="F1026" s="42" t="n">
        <f aca="false">YEAR(A1026)</f>
        <v>2017</v>
      </c>
    </row>
    <row r="1027" customFormat="false" ht="15" hidden="false" customHeight="false" outlineLevel="0" collapsed="false">
      <c r="A1027" s="38" t="n">
        <v>42898</v>
      </c>
      <c r="B1027" s="39" t="n">
        <v>964</v>
      </c>
      <c r="C1027" s="40" t="n">
        <v>8007626.46</v>
      </c>
      <c r="D1027" s="40" t="n">
        <f aca="false">MAX(D1026,C1027)</f>
        <v>8440106.46</v>
      </c>
      <c r="E1027" s="41" t="n">
        <f aca="false">C1027/D1027-1</f>
        <v>-0.0512410598195228</v>
      </c>
      <c r="F1027" s="42" t="n">
        <f aca="false">YEAR(A1027)</f>
        <v>2017</v>
      </c>
    </row>
    <row r="1028" customFormat="false" ht="15" hidden="false" customHeight="false" outlineLevel="0" collapsed="false">
      <c r="A1028" s="38" t="n">
        <v>42899</v>
      </c>
      <c r="B1028" s="39" t="n">
        <v>951.5</v>
      </c>
      <c r="C1028" s="40" t="n">
        <v>8211626.46</v>
      </c>
      <c r="D1028" s="40" t="n">
        <f aca="false">MAX(D1027,C1028)</f>
        <v>8440106.46</v>
      </c>
      <c r="E1028" s="41" t="n">
        <f aca="false">C1028/D1028-1</f>
        <v>-0.0270707485838989</v>
      </c>
      <c r="F1028" s="42" t="n">
        <f aca="false">YEAR(A1028)</f>
        <v>2017</v>
      </c>
    </row>
    <row r="1029" customFormat="false" ht="15" hidden="false" customHeight="false" outlineLevel="0" collapsed="false">
      <c r="A1029" s="38" t="n">
        <v>42900</v>
      </c>
      <c r="B1029" s="39" t="n">
        <v>982.5</v>
      </c>
      <c r="C1029" s="40" t="n">
        <v>7705706.46</v>
      </c>
      <c r="D1029" s="40" t="n">
        <f aca="false">MAX(D1028,C1029)</f>
        <v>8440106.46</v>
      </c>
      <c r="E1029" s="41" t="n">
        <f aca="false">C1029/D1029-1</f>
        <v>-0.0870131204482462</v>
      </c>
      <c r="F1029" s="42" t="n">
        <f aca="false">YEAR(A1029)</f>
        <v>2017</v>
      </c>
    </row>
    <row r="1030" customFormat="false" ht="15" hidden="false" customHeight="false" outlineLevel="0" collapsed="false">
      <c r="A1030" s="38" t="n">
        <v>42901</v>
      </c>
      <c r="B1030" s="39" t="n">
        <v>965.5</v>
      </c>
      <c r="C1030" s="40" t="n">
        <v>7983146.46</v>
      </c>
      <c r="D1030" s="40" t="n">
        <f aca="false">MAX(D1029,C1030)</f>
        <v>8440106.46</v>
      </c>
      <c r="E1030" s="41" t="n">
        <f aca="false">C1030/D1030-1</f>
        <v>-0.0541414971677977</v>
      </c>
      <c r="F1030" s="42" t="n">
        <f aca="false">YEAR(A1030)</f>
        <v>2017</v>
      </c>
    </row>
    <row r="1031" customFormat="false" ht="15" hidden="false" customHeight="false" outlineLevel="0" collapsed="false">
      <c r="A1031" s="38" t="n">
        <v>42902</v>
      </c>
      <c r="B1031" s="39" t="n">
        <v>962</v>
      </c>
      <c r="C1031" s="40" t="n">
        <v>8040266.46</v>
      </c>
      <c r="D1031" s="40" t="n">
        <f aca="false">MAX(D1030,C1031)</f>
        <v>8440106.46</v>
      </c>
      <c r="E1031" s="41" t="n">
        <f aca="false">C1031/D1031-1</f>
        <v>-0.047373810021823</v>
      </c>
      <c r="F1031" s="42" t="n">
        <f aca="false">YEAR(A1031)</f>
        <v>2017</v>
      </c>
    </row>
    <row r="1032" customFormat="false" ht="15" hidden="false" customHeight="false" outlineLevel="0" collapsed="false">
      <c r="A1032" s="38" t="n">
        <v>42905</v>
      </c>
      <c r="B1032" s="39" t="n">
        <v>996</v>
      </c>
      <c r="C1032" s="40" t="n">
        <v>7485386.46</v>
      </c>
      <c r="D1032" s="40" t="n">
        <f aca="false">MAX(D1031,C1032)</f>
        <v>8440106.46</v>
      </c>
      <c r="E1032" s="41" t="n">
        <f aca="false">C1032/D1032-1</f>
        <v>-0.11311705658272</v>
      </c>
      <c r="F1032" s="42" t="n">
        <f aca="false">YEAR(A1032)</f>
        <v>2017</v>
      </c>
    </row>
    <row r="1033" customFormat="false" ht="15" hidden="false" customHeight="false" outlineLevel="0" collapsed="false">
      <c r="A1033" s="38" t="n">
        <v>42906</v>
      </c>
      <c r="B1033" s="39" t="n">
        <v>1012</v>
      </c>
      <c r="C1033" s="40" t="n">
        <v>7224266.46</v>
      </c>
      <c r="D1033" s="40" t="n">
        <f aca="false">MAX(D1032,C1033)</f>
        <v>8440106.46</v>
      </c>
      <c r="E1033" s="41" t="n">
        <f aca="false">C1033/D1033-1</f>
        <v>-0.144055054964319</v>
      </c>
      <c r="F1033" s="42" t="n">
        <f aca="false">YEAR(A1033)</f>
        <v>2017</v>
      </c>
    </row>
    <row r="1034" customFormat="false" ht="15" hidden="false" customHeight="false" outlineLevel="0" collapsed="false">
      <c r="A1034" s="38" t="n">
        <v>42907</v>
      </c>
      <c r="B1034" s="39" t="n">
        <v>1028</v>
      </c>
      <c r="C1034" s="40" t="n">
        <v>7336863.58</v>
      </c>
      <c r="D1034" s="40" t="n">
        <f aca="false">MAX(D1033,C1034)</f>
        <v>8440106.46</v>
      </c>
      <c r="E1034" s="41" t="n">
        <f aca="false">C1034/D1034-1</f>
        <v>-0.13071433224552</v>
      </c>
      <c r="F1034" s="42" t="n">
        <f aca="false">YEAR(A1034)</f>
        <v>2017</v>
      </c>
    </row>
    <row r="1035" customFormat="false" ht="15" hidden="false" customHeight="false" outlineLevel="0" collapsed="false">
      <c r="A1035" s="38" t="n">
        <v>42908</v>
      </c>
      <c r="B1035" s="39" t="n">
        <v>1031.5</v>
      </c>
      <c r="C1035" s="40" t="n">
        <v>7336863.58</v>
      </c>
      <c r="D1035" s="40" t="n">
        <f aca="false">MAX(D1034,C1035)</f>
        <v>8440106.46</v>
      </c>
      <c r="E1035" s="41" t="n">
        <f aca="false">C1035/D1035-1</f>
        <v>-0.13071433224552</v>
      </c>
      <c r="F1035" s="42" t="n">
        <f aca="false">YEAR(A1035)</f>
        <v>2017</v>
      </c>
    </row>
    <row r="1036" customFormat="false" ht="15" hidden="false" customHeight="false" outlineLevel="0" collapsed="false">
      <c r="A1036" s="38" t="n">
        <v>42909</v>
      </c>
      <c r="B1036" s="39" t="n">
        <v>1039</v>
      </c>
      <c r="C1036" s="40" t="n">
        <v>7336863.58</v>
      </c>
      <c r="D1036" s="40" t="n">
        <f aca="false">MAX(D1035,C1036)</f>
        <v>8440106.46</v>
      </c>
      <c r="E1036" s="41" t="n">
        <f aca="false">C1036/D1036-1</f>
        <v>-0.13071433224552</v>
      </c>
      <c r="F1036" s="42" t="n">
        <f aca="false">YEAR(A1036)</f>
        <v>2017</v>
      </c>
    </row>
    <row r="1037" customFormat="false" ht="15" hidden="false" customHeight="false" outlineLevel="0" collapsed="false">
      <c r="A1037" s="38" t="n">
        <v>42912</v>
      </c>
      <c r="B1037" s="39" t="n">
        <v>1020.5</v>
      </c>
      <c r="C1037" s="40" t="n">
        <v>7336863.58</v>
      </c>
      <c r="D1037" s="40" t="n">
        <f aca="false">MAX(D1036,C1037)</f>
        <v>8440106.46</v>
      </c>
      <c r="E1037" s="41" t="n">
        <f aca="false">C1037/D1037-1</f>
        <v>-0.13071433224552</v>
      </c>
      <c r="F1037" s="42" t="n">
        <f aca="false">YEAR(A1037)</f>
        <v>2017</v>
      </c>
    </row>
    <row r="1038" customFormat="false" ht="15" hidden="false" customHeight="false" outlineLevel="0" collapsed="false">
      <c r="A1038" s="38" t="n">
        <v>42913</v>
      </c>
      <c r="B1038" s="39" t="n">
        <v>1045</v>
      </c>
      <c r="C1038" s="40" t="n">
        <v>7336863.58</v>
      </c>
      <c r="D1038" s="40" t="n">
        <f aca="false">MAX(D1037,C1038)</f>
        <v>8440106.46</v>
      </c>
      <c r="E1038" s="41" t="n">
        <f aca="false">C1038/D1038-1</f>
        <v>-0.13071433224552</v>
      </c>
      <c r="F1038" s="42" t="n">
        <f aca="false">YEAR(A1038)</f>
        <v>2017</v>
      </c>
    </row>
    <row r="1039" customFormat="false" ht="15" hidden="false" customHeight="false" outlineLevel="0" collapsed="false">
      <c r="A1039" s="38" t="n">
        <v>42914</v>
      </c>
      <c r="B1039" s="39" t="n">
        <v>1073.5</v>
      </c>
      <c r="C1039" s="40" t="n">
        <v>7336863.58</v>
      </c>
      <c r="D1039" s="40" t="n">
        <f aca="false">MAX(D1038,C1039)</f>
        <v>8440106.46</v>
      </c>
      <c r="E1039" s="41" t="n">
        <f aca="false">C1039/D1039-1</f>
        <v>-0.13071433224552</v>
      </c>
      <c r="F1039" s="42" t="n">
        <f aca="false">YEAR(A1039)</f>
        <v>2017</v>
      </c>
    </row>
    <row r="1040" customFormat="false" ht="15" hidden="false" customHeight="false" outlineLevel="0" collapsed="false">
      <c r="A1040" s="38" t="n">
        <v>42915</v>
      </c>
      <c r="B1040" s="39" t="n">
        <v>1128.5</v>
      </c>
      <c r="C1040" s="40" t="n">
        <v>7336863.58</v>
      </c>
      <c r="D1040" s="40" t="n">
        <f aca="false">MAX(D1039,C1040)</f>
        <v>8440106.46</v>
      </c>
      <c r="E1040" s="41" t="n">
        <f aca="false">C1040/D1040-1</f>
        <v>-0.13071433224552</v>
      </c>
      <c r="F1040" s="42" t="n">
        <f aca="false">YEAR(A1040)</f>
        <v>2017</v>
      </c>
    </row>
    <row r="1041" customFormat="false" ht="15" hidden="false" customHeight="false" outlineLevel="0" collapsed="false">
      <c r="A1041" s="38" t="n">
        <v>42916</v>
      </c>
      <c r="B1041" s="39" t="n">
        <v>1116</v>
      </c>
      <c r="C1041" s="40" t="n">
        <v>7336863.58</v>
      </c>
      <c r="D1041" s="40" t="n">
        <f aca="false">MAX(D1040,C1041)</f>
        <v>8440106.46</v>
      </c>
      <c r="E1041" s="41" t="n">
        <f aca="false">C1041/D1041-1</f>
        <v>-0.13071433224552</v>
      </c>
      <c r="F1041" s="42" t="n">
        <f aca="false">YEAR(A1041)</f>
        <v>2017</v>
      </c>
    </row>
    <row r="1042" customFormat="false" ht="15" hidden="false" customHeight="false" outlineLevel="0" collapsed="false">
      <c r="A1042" s="38" t="n">
        <v>42919</v>
      </c>
      <c r="B1042" s="39" t="n">
        <v>1142</v>
      </c>
      <c r="C1042" s="40" t="n">
        <v>7336863.58</v>
      </c>
      <c r="D1042" s="40" t="n">
        <f aca="false">MAX(D1041,C1042)</f>
        <v>8440106.46</v>
      </c>
      <c r="E1042" s="41" t="n">
        <f aca="false">C1042/D1042-1</f>
        <v>-0.13071433224552</v>
      </c>
      <c r="F1042" s="42" t="n">
        <f aca="false">YEAR(A1042)</f>
        <v>2017</v>
      </c>
    </row>
    <row r="1043" customFormat="false" ht="15" hidden="false" customHeight="false" outlineLevel="0" collapsed="false">
      <c r="A1043" s="38" t="n">
        <v>42920</v>
      </c>
      <c r="B1043" s="39" t="n">
        <v>1098.5</v>
      </c>
      <c r="C1043" s="40" t="n">
        <v>7336863.58</v>
      </c>
      <c r="D1043" s="40" t="n">
        <f aca="false">MAX(D1042,C1043)</f>
        <v>8440106.46</v>
      </c>
      <c r="E1043" s="41" t="n">
        <f aca="false">C1043/D1043-1</f>
        <v>-0.13071433224552</v>
      </c>
      <c r="F1043" s="42" t="n">
        <f aca="false">YEAR(A1043)</f>
        <v>2017</v>
      </c>
    </row>
    <row r="1044" customFormat="false" ht="15" hidden="false" customHeight="false" outlineLevel="0" collapsed="false">
      <c r="A1044" s="38" t="n">
        <v>42921</v>
      </c>
      <c r="B1044" s="39" t="n">
        <v>1116.5</v>
      </c>
      <c r="C1044" s="40" t="n">
        <v>7336863.58</v>
      </c>
      <c r="D1044" s="40" t="n">
        <f aca="false">MAX(D1043,C1044)</f>
        <v>8440106.46</v>
      </c>
      <c r="E1044" s="41" t="n">
        <f aca="false">C1044/D1044-1</f>
        <v>-0.13071433224552</v>
      </c>
      <c r="F1044" s="42" t="n">
        <f aca="false">YEAR(A1044)</f>
        <v>2017</v>
      </c>
    </row>
    <row r="1045" customFormat="false" ht="15" hidden="false" customHeight="false" outlineLevel="0" collapsed="false">
      <c r="A1045" s="38" t="n">
        <v>42922</v>
      </c>
      <c r="B1045" s="39" t="n">
        <v>1117.5</v>
      </c>
      <c r="C1045" s="40" t="n">
        <v>7336863.58</v>
      </c>
      <c r="D1045" s="40" t="n">
        <f aca="false">MAX(D1044,C1045)</f>
        <v>8440106.46</v>
      </c>
      <c r="E1045" s="41" t="n">
        <f aca="false">C1045/D1045-1</f>
        <v>-0.13071433224552</v>
      </c>
      <c r="F1045" s="42" t="n">
        <f aca="false">YEAR(A1045)</f>
        <v>2017</v>
      </c>
    </row>
    <row r="1046" customFormat="false" ht="15" hidden="false" customHeight="false" outlineLevel="0" collapsed="false">
      <c r="A1046" s="38" t="n">
        <v>42923</v>
      </c>
      <c r="B1046" s="39" t="n">
        <v>1121</v>
      </c>
      <c r="C1046" s="40" t="n">
        <v>7336863.58</v>
      </c>
      <c r="D1046" s="40" t="n">
        <f aca="false">MAX(D1045,C1046)</f>
        <v>8440106.46</v>
      </c>
      <c r="E1046" s="41" t="n">
        <f aca="false">C1046/D1046-1</f>
        <v>-0.13071433224552</v>
      </c>
      <c r="F1046" s="42" t="n">
        <f aca="false">YEAR(A1046)</f>
        <v>2017</v>
      </c>
    </row>
    <row r="1047" customFormat="false" ht="15" hidden="false" customHeight="false" outlineLevel="0" collapsed="false">
      <c r="A1047" s="38" t="n">
        <v>42926</v>
      </c>
      <c r="B1047" s="39" t="n">
        <v>1123</v>
      </c>
      <c r="C1047" s="40" t="n">
        <v>7336863.58</v>
      </c>
      <c r="D1047" s="40" t="n">
        <f aca="false">MAX(D1046,C1047)</f>
        <v>8440106.46</v>
      </c>
      <c r="E1047" s="41" t="n">
        <f aca="false">C1047/D1047-1</f>
        <v>-0.13071433224552</v>
      </c>
      <c r="F1047" s="42" t="n">
        <f aca="false">YEAR(A1047)</f>
        <v>2017</v>
      </c>
    </row>
    <row r="1048" customFormat="false" ht="15" hidden="false" customHeight="false" outlineLevel="0" collapsed="false">
      <c r="A1048" s="38" t="n">
        <v>42927</v>
      </c>
      <c r="B1048" s="39" t="n">
        <v>1146</v>
      </c>
      <c r="C1048" s="40" t="n">
        <v>7336863.58</v>
      </c>
      <c r="D1048" s="40" t="n">
        <f aca="false">MAX(D1047,C1048)</f>
        <v>8440106.46</v>
      </c>
      <c r="E1048" s="41" t="n">
        <f aca="false">C1048/D1048-1</f>
        <v>-0.13071433224552</v>
      </c>
      <c r="F1048" s="42" t="n">
        <f aca="false">YEAR(A1048)</f>
        <v>2017</v>
      </c>
    </row>
    <row r="1049" customFormat="false" ht="15" hidden="false" customHeight="false" outlineLevel="0" collapsed="false">
      <c r="A1049" s="38" t="n">
        <v>42928</v>
      </c>
      <c r="B1049" s="39" t="n">
        <v>1132.5</v>
      </c>
      <c r="C1049" s="40" t="n">
        <v>7336863.58</v>
      </c>
      <c r="D1049" s="40" t="n">
        <f aca="false">MAX(D1048,C1049)</f>
        <v>8440106.46</v>
      </c>
      <c r="E1049" s="41" t="n">
        <f aca="false">C1049/D1049-1</f>
        <v>-0.13071433224552</v>
      </c>
      <c r="F1049" s="42" t="n">
        <f aca="false">YEAR(A1049)</f>
        <v>2017</v>
      </c>
    </row>
    <row r="1050" customFormat="false" ht="15" hidden="false" customHeight="false" outlineLevel="0" collapsed="false">
      <c r="A1050" s="38" t="n">
        <v>42929</v>
      </c>
      <c r="B1050" s="39" t="n">
        <v>1174.5</v>
      </c>
      <c r="C1050" s="40" t="n">
        <v>7336863.58</v>
      </c>
      <c r="D1050" s="40" t="n">
        <f aca="false">MAX(D1049,C1050)</f>
        <v>8440106.46</v>
      </c>
      <c r="E1050" s="41" t="n">
        <f aca="false">C1050/D1050-1</f>
        <v>-0.13071433224552</v>
      </c>
      <c r="F1050" s="42" t="n">
        <f aca="false">YEAR(A1050)</f>
        <v>2017</v>
      </c>
    </row>
    <row r="1051" customFormat="false" ht="15" hidden="false" customHeight="false" outlineLevel="0" collapsed="false">
      <c r="A1051" s="38" t="n">
        <v>42930</v>
      </c>
      <c r="B1051" s="39" t="n">
        <v>1158.5</v>
      </c>
      <c r="C1051" s="40" t="n">
        <v>7336863.58</v>
      </c>
      <c r="D1051" s="40" t="n">
        <f aca="false">MAX(D1050,C1051)</f>
        <v>8440106.46</v>
      </c>
      <c r="E1051" s="41" t="n">
        <f aca="false">C1051/D1051-1</f>
        <v>-0.13071433224552</v>
      </c>
      <c r="F1051" s="42" t="n">
        <f aca="false">YEAR(A1051)</f>
        <v>2017</v>
      </c>
    </row>
    <row r="1052" customFormat="false" ht="15" hidden="false" customHeight="false" outlineLevel="0" collapsed="false">
      <c r="A1052" s="38" t="n">
        <v>42933</v>
      </c>
      <c r="B1052" s="39" t="n">
        <v>1207.5</v>
      </c>
      <c r="C1052" s="40" t="n">
        <v>7336863.58</v>
      </c>
      <c r="D1052" s="40" t="n">
        <f aca="false">MAX(D1051,C1052)</f>
        <v>8440106.46</v>
      </c>
      <c r="E1052" s="41" t="n">
        <f aca="false">C1052/D1052-1</f>
        <v>-0.13071433224552</v>
      </c>
      <c r="F1052" s="42" t="n">
        <f aca="false">YEAR(A1052)</f>
        <v>2017</v>
      </c>
    </row>
    <row r="1053" customFormat="false" ht="15" hidden="false" customHeight="false" outlineLevel="0" collapsed="false">
      <c r="A1053" s="38" t="n">
        <v>42934</v>
      </c>
      <c r="B1053" s="39" t="n">
        <v>1226</v>
      </c>
      <c r="C1053" s="40" t="n">
        <v>7336863.58</v>
      </c>
      <c r="D1053" s="40" t="n">
        <f aca="false">MAX(D1052,C1053)</f>
        <v>8440106.46</v>
      </c>
      <c r="E1053" s="41" t="n">
        <f aca="false">C1053/D1053-1</f>
        <v>-0.13071433224552</v>
      </c>
      <c r="F1053" s="42" t="n">
        <f aca="false">YEAR(A1053)</f>
        <v>2017</v>
      </c>
    </row>
    <row r="1054" customFormat="false" ht="15" hidden="false" customHeight="false" outlineLevel="0" collapsed="false">
      <c r="A1054" s="38" t="n">
        <v>42935</v>
      </c>
      <c r="B1054" s="39" t="n">
        <v>1237</v>
      </c>
      <c r="C1054" s="40" t="n">
        <v>7336863.58</v>
      </c>
      <c r="D1054" s="40" t="n">
        <f aca="false">MAX(D1053,C1054)</f>
        <v>8440106.46</v>
      </c>
      <c r="E1054" s="41" t="n">
        <f aca="false">C1054/D1054-1</f>
        <v>-0.13071433224552</v>
      </c>
      <c r="F1054" s="42" t="n">
        <f aca="false">YEAR(A1054)</f>
        <v>2017</v>
      </c>
    </row>
    <row r="1055" customFormat="false" ht="15" hidden="false" customHeight="false" outlineLevel="0" collapsed="false">
      <c r="A1055" s="38" t="n">
        <v>42936</v>
      </c>
      <c r="B1055" s="39" t="n">
        <v>1222</v>
      </c>
      <c r="C1055" s="40" t="n">
        <v>7336863.58</v>
      </c>
      <c r="D1055" s="40" t="n">
        <f aca="false">MAX(D1054,C1055)</f>
        <v>8440106.46</v>
      </c>
      <c r="E1055" s="41" t="n">
        <f aca="false">C1055/D1055-1</f>
        <v>-0.13071433224552</v>
      </c>
      <c r="F1055" s="42" t="n">
        <f aca="false">YEAR(A1055)</f>
        <v>2017</v>
      </c>
    </row>
    <row r="1056" customFormat="false" ht="15" hidden="false" customHeight="false" outlineLevel="0" collapsed="false">
      <c r="A1056" s="38" t="n">
        <v>42937</v>
      </c>
      <c r="B1056" s="39" t="n">
        <v>1245</v>
      </c>
      <c r="C1056" s="40" t="n">
        <v>7336863.58</v>
      </c>
      <c r="D1056" s="40" t="n">
        <f aca="false">MAX(D1055,C1056)</f>
        <v>8440106.46</v>
      </c>
      <c r="E1056" s="41" t="n">
        <f aca="false">C1056/D1056-1</f>
        <v>-0.13071433224552</v>
      </c>
      <c r="F1056" s="42" t="n">
        <f aca="false">YEAR(A1056)</f>
        <v>2017</v>
      </c>
    </row>
    <row r="1057" customFormat="false" ht="15" hidden="false" customHeight="false" outlineLevel="0" collapsed="false">
      <c r="A1057" s="38" t="n">
        <v>42940</v>
      </c>
      <c r="B1057" s="39" t="n">
        <v>1230</v>
      </c>
      <c r="C1057" s="40" t="n">
        <v>7336863.58</v>
      </c>
      <c r="D1057" s="40" t="n">
        <f aca="false">MAX(D1056,C1057)</f>
        <v>8440106.46</v>
      </c>
      <c r="E1057" s="41" t="n">
        <f aca="false">C1057/D1057-1</f>
        <v>-0.13071433224552</v>
      </c>
      <c r="F1057" s="42" t="n">
        <f aca="false">YEAR(A1057)</f>
        <v>2017</v>
      </c>
    </row>
    <row r="1058" customFormat="false" ht="15" hidden="false" customHeight="false" outlineLevel="0" collapsed="false">
      <c r="A1058" s="38" t="n">
        <v>42941</v>
      </c>
      <c r="B1058" s="39" t="n">
        <v>1249</v>
      </c>
      <c r="C1058" s="40" t="n">
        <v>7336863.58</v>
      </c>
      <c r="D1058" s="40" t="n">
        <f aca="false">MAX(D1057,C1058)</f>
        <v>8440106.46</v>
      </c>
      <c r="E1058" s="41" t="n">
        <f aca="false">C1058/D1058-1</f>
        <v>-0.13071433224552</v>
      </c>
      <c r="F1058" s="42" t="n">
        <f aca="false">YEAR(A1058)</f>
        <v>2017</v>
      </c>
    </row>
    <row r="1059" customFormat="false" ht="15" hidden="false" customHeight="false" outlineLevel="0" collapsed="false">
      <c r="A1059" s="38" t="n">
        <v>42942</v>
      </c>
      <c r="B1059" s="39" t="n">
        <v>1249.5</v>
      </c>
      <c r="C1059" s="40" t="n">
        <v>7336863.58</v>
      </c>
      <c r="D1059" s="40" t="n">
        <f aca="false">MAX(D1058,C1059)</f>
        <v>8440106.46</v>
      </c>
      <c r="E1059" s="41" t="n">
        <f aca="false">C1059/D1059-1</f>
        <v>-0.13071433224552</v>
      </c>
      <c r="F1059" s="42" t="n">
        <f aca="false">YEAR(A1059)</f>
        <v>2017</v>
      </c>
    </row>
    <row r="1060" customFormat="false" ht="15" hidden="false" customHeight="false" outlineLevel="0" collapsed="false">
      <c r="A1060" s="38" t="n">
        <v>42943</v>
      </c>
      <c r="B1060" s="39" t="n">
        <v>1265.5</v>
      </c>
      <c r="C1060" s="40" t="n">
        <v>7999625.32</v>
      </c>
      <c r="D1060" s="40" t="n">
        <f aca="false">MAX(D1059,C1060)</f>
        <v>8440106.46</v>
      </c>
      <c r="E1060" s="41" t="n">
        <f aca="false">C1060/D1060-1</f>
        <v>-0.0521890502314826</v>
      </c>
      <c r="F1060" s="42" t="n">
        <f aca="false">YEAR(A1060)</f>
        <v>2017</v>
      </c>
    </row>
    <row r="1061" customFormat="false" ht="15" hidden="false" customHeight="false" outlineLevel="0" collapsed="false">
      <c r="A1061" s="38" t="n">
        <v>42944</v>
      </c>
      <c r="B1061" s="39" t="n">
        <v>1254</v>
      </c>
      <c r="C1061" s="40" t="n">
        <v>7716035.32</v>
      </c>
      <c r="D1061" s="40" t="n">
        <f aca="false">MAX(D1060,C1061)</f>
        <v>8440106.46</v>
      </c>
      <c r="E1061" s="41" t="n">
        <f aca="false">C1061/D1061-1</f>
        <v>-0.0857893373065345</v>
      </c>
      <c r="F1061" s="42" t="n">
        <f aca="false">YEAR(A1061)</f>
        <v>2017</v>
      </c>
    </row>
    <row r="1062" customFormat="false" ht="15" hidden="false" customHeight="false" outlineLevel="0" collapsed="false">
      <c r="A1062" s="38" t="n">
        <v>42947</v>
      </c>
      <c r="B1062" s="39" t="n">
        <v>1318.5</v>
      </c>
      <c r="C1062" s="40" t="n">
        <v>9306605.32</v>
      </c>
      <c r="D1062" s="40" t="n">
        <f aca="false">MAX(D1061,C1062)</f>
        <v>9306605.32</v>
      </c>
      <c r="E1062" s="41" t="n">
        <f aca="false">C1062/D1062-1</f>
        <v>0</v>
      </c>
      <c r="F1062" s="42" t="n">
        <f aca="false">YEAR(A1062)</f>
        <v>2017</v>
      </c>
    </row>
    <row r="1063" customFormat="false" ht="15" hidden="false" customHeight="false" outlineLevel="0" collapsed="false">
      <c r="A1063" s="38" t="n">
        <v>42948</v>
      </c>
      <c r="B1063" s="39" t="n">
        <v>1299.5</v>
      </c>
      <c r="C1063" s="40" t="n">
        <v>8838065.32</v>
      </c>
      <c r="D1063" s="40" t="n">
        <f aca="false">MAX(D1062,C1063)</f>
        <v>9306605.32</v>
      </c>
      <c r="E1063" s="41" t="n">
        <f aca="false">C1063/D1063-1</f>
        <v>-0.0503448877318459</v>
      </c>
      <c r="F1063" s="42" t="n">
        <f aca="false">YEAR(A1063)</f>
        <v>2017</v>
      </c>
    </row>
    <row r="1064" customFormat="false" ht="15" hidden="false" customHeight="false" outlineLevel="0" collapsed="false">
      <c r="A1064" s="38" t="n">
        <v>42949</v>
      </c>
      <c r="B1064" s="39" t="n">
        <v>1329.5</v>
      </c>
      <c r="C1064" s="40" t="n">
        <v>9577865.32</v>
      </c>
      <c r="D1064" s="40" t="n">
        <f aca="false">MAX(D1063,C1064)</f>
        <v>9577865.32</v>
      </c>
      <c r="E1064" s="41" t="n">
        <f aca="false">C1064/D1064-1</f>
        <v>0</v>
      </c>
      <c r="F1064" s="42" t="n">
        <f aca="false">YEAR(A1064)</f>
        <v>2017</v>
      </c>
    </row>
    <row r="1065" customFormat="false" ht="15" hidden="false" customHeight="false" outlineLevel="0" collapsed="false">
      <c r="A1065" s="38" t="n">
        <v>42950</v>
      </c>
      <c r="B1065" s="39" t="n">
        <v>1276</v>
      </c>
      <c r="C1065" s="40" t="n">
        <v>8258555.32</v>
      </c>
      <c r="D1065" s="40" t="n">
        <f aca="false">MAX(D1064,C1065)</f>
        <v>9577865.32</v>
      </c>
      <c r="E1065" s="41" t="n">
        <f aca="false">C1065/D1065-1</f>
        <v>-0.137745724743601</v>
      </c>
      <c r="F1065" s="42" t="n">
        <f aca="false">YEAR(A1065)</f>
        <v>2017</v>
      </c>
    </row>
    <row r="1066" customFormat="false" ht="15" hidden="false" customHeight="false" outlineLevel="0" collapsed="false">
      <c r="A1066" s="38" t="n">
        <v>42951</v>
      </c>
      <c r="B1066" s="39" t="n">
        <v>1269.5</v>
      </c>
      <c r="C1066" s="40" t="n">
        <v>8098265.32</v>
      </c>
      <c r="D1066" s="40" t="n">
        <f aca="false">MAX(D1065,C1066)</f>
        <v>9577865.32</v>
      </c>
      <c r="E1066" s="41" t="n">
        <f aca="false">C1066/D1066-1</f>
        <v>-0.154481186628337</v>
      </c>
      <c r="F1066" s="42" t="n">
        <f aca="false">YEAR(A1066)</f>
        <v>2017</v>
      </c>
    </row>
    <row r="1067" customFormat="false" ht="15" hidden="false" customHeight="false" outlineLevel="0" collapsed="false">
      <c r="A1067" s="38" t="n">
        <v>42954</v>
      </c>
      <c r="B1067" s="39" t="n">
        <v>1244</v>
      </c>
      <c r="C1067" s="40" t="n">
        <v>7469435.32</v>
      </c>
      <c r="D1067" s="40" t="n">
        <f aca="false">MAX(D1066,C1067)</f>
        <v>9577865.32</v>
      </c>
      <c r="E1067" s="41" t="n">
        <f aca="false">C1067/D1067-1</f>
        <v>-0.220135690945381</v>
      </c>
      <c r="F1067" s="42" t="n">
        <f aca="false">YEAR(A1067)</f>
        <v>2017</v>
      </c>
    </row>
    <row r="1068" customFormat="false" ht="15" hidden="false" customHeight="false" outlineLevel="0" collapsed="false">
      <c r="A1068" s="38" t="n">
        <v>42955</v>
      </c>
      <c r="B1068" s="39" t="n">
        <v>1273.5</v>
      </c>
      <c r="C1068" s="40" t="n">
        <v>8196905.32</v>
      </c>
      <c r="D1068" s="40" t="n">
        <f aca="false">MAX(D1067,C1068)</f>
        <v>9577865.32</v>
      </c>
      <c r="E1068" s="41" t="n">
        <f aca="false">C1068/D1068-1</f>
        <v>-0.144182440853115</v>
      </c>
      <c r="F1068" s="42" t="n">
        <f aca="false">YEAR(A1068)</f>
        <v>2017</v>
      </c>
    </row>
    <row r="1069" customFormat="false" ht="15" hidden="false" customHeight="false" outlineLevel="0" collapsed="false">
      <c r="A1069" s="38" t="n">
        <v>42956</v>
      </c>
      <c r="B1069" s="39" t="n">
        <v>1321.5</v>
      </c>
      <c r="C1069" s="40" t="n">
        <v>9380585.32</v>
      </c>
      <c r="D1069" s="40" t="n">
        <f aca="false">MAX(D1068,C1069)</f>
        <v>9577865.32</v>
      </c>
      <c r="E1069" s="41" t="n">
        <f aca="false">C1069/D1069-1</f>
        <v>-0.020597491550445</v>
      </c>
      <c r="F1069" s="42" t="n">
        <f aca="false">YEAR(A1069)</f>
        <v>2017</v>
      </c>
    </row>
    <row r="1070" customFormat="false" ht="15" hidden="false" customHeight="false" outlineLevel="0" collapsed="false">
      <c r="A1070" s="38" t="n">
        <v>42957</v>
      </c>
      <c r="B1070" s="39" t="n">
        <v>1321</v>
      </c>
      <c r="C1070" s="40" t="n">
        <v>9368255.32</v>
      </c>
      <c r="D1070" s="40" t="n">
        <f aca="false">MAX(D1069,C1070)</f>
        <v>9577865.32</v>
      </c>
      <c r="E1070" s="41" t="n">
        <f aca="false">C1070/D1070-1</f>
        <v>-0.0218848347723478</v>
      </c>
      <c r="F1070" s="42" t="n">
        <f aca="false">YEAR(A1070)</f>
        <v>2017</v>
      </c>
    </row>
    <row r="1071" customFormat="false" ht="15" hidden="false" customHeight="false" outlineLevel="0" collapsed="false">
      <c r="A1071" s="38" t="n">
        <v>42958</v>
      </c>
      <c r="B1071" s="39" t="n">
        <v>1317</v>
      </c>
      <c r="C1071" s="40" t="n">
        <v>9269615.32</v>
      </c>
      <c r="D1071" s="40" t="n">
        <f aca="false">MAX(D1070,C1071)</f>
        <v>9577865.32</v>
      </c>
      <c r="E1071" s="41" t="n">
        <f aca="false">C1071/D1071-1</f>
        <v>-0.0321835805475703</v>
      </c>
      <c r="F1071" s="42" t="n">
        <f aca="false">YEAR(A1071)</f>
        <v>2017</v>
      </c>
    </row>
    <row r="1072" customFormat="false" ht="15" hidden="false" customHeight="false" outlineLevel="0" collapsed="false">
      <c r="A1072" s="38" t="n">
        <v>42961</v>
      </c>
      <c r="B1072" s="39" t="n">
        <v>1293</v>
      </c>
      <c r="C1072" s="40" t="n">
        <v>8677775.32</v>
      </c>
      <c r="D1072" s="40" t="n">
        <f aca="false">MAX(D1071,C1072)</f>
        <v>9577865.32</v>
      </c>
      <c r="E1072" s="41" t="n">
        <f aca="false">C1072/D1072-1</f>
        <v>-0.0939760551989052</v>
      </c>
      <c r="F1072" s="42" t="n">
        <f aca="false">YEAR(A1072)</f>
        <v>2017</v>
      </c>
    </row>
    <row r="1073" customFormat="false" ht="15" hidden="false" customHeight="false" outlineLevel="0" collapsed="false">
      <c r="A1073" s="38" t="n">
        <v>42962</v>
      </c>
      <c r="B1073" s="39" t="n">
        <v>1326.5</v>
      </c>
      <c r="C1073" s="40" t="n">
        <v>9503885.32</v>
      </c>
      <c r="D1073" s="40" t="n">
        <f aca="false">MAX(D1072,C1073)</f>
        <v>9577865.32</v>
      </c>
      <c r="E1073" s="41" t="n">
        <f aca="false">C1073/D1073-1</f>
        <v>-0.00772405933141684</v>
      </c>
      <c r="F1073" s="42" t="n">
        <f aca="false">YEAR(A1073)</f>
        <v>2017</v>
      </c>
    </row>
    <row r="1074" customFormat="false" ht="15" hidden="false" customHeight="false" outlineLevel="0" collapsed="false">
      <c r="A1074" s="38" t="n">
        <v>42963</v>
      </c>
      <c r="B1074" s="39" t="n">
        <v>1350.5</v>
      </c>
      <c r="C1074" s="40" t="n">
        <v>10095725.32</v>
      </c>
      <c r="D1074" s="40" t="n">
        <f aca="false">MAX(D1073,C1074)</f>
        <v>10095725.32</v>
      </c>
      <c r="E1074" s="41" t="n">
        <f aca="false">C1074/D1074-1</f>
        <v>0</v>
      </c>
      <c r="F1074" s="42" t="n">
        <f aca="false">YEAR(A1074)</f>
        <v>2017</v>
      </c>
    </row>
    <row r="1075" customFormat="false" ht="15" hidden="false" customHeight="false" outlineLevel="0" collapsed="false">
      <c r="A1075" s="38" t="n">
        <v>42964</v>
      </c>
      <c r="B1075" s="39" t="n">
        <v>1445</v>
      </c>
      <c r="C1075" s="40" t="n">
        <v>12426095.32</v>
      </c>
      <c r="D1075" s="40" t="n">
        <f aca="false">MAX(D1074,C1075)</f>
        <v>12426095.32</v>
      </c>
      <c r="E1075" s="41" t="n">
        <f aca="false">C1075/D1075-1</f>
        <v>0</v>
      </c>
      <c r="F1075" s="42" t="n">
        <f aca="false">YEAR(A1075)</f>
        <v>2017</v>
      </c>
    </row>
    <row r="1076" customFormat="false" ht="15" hidden="false" customHeight="false" outlineLevel="0" collapsed="false">
      <c r="A1076" s="38" t="n">
        <v>42965</v>
      </c>
      <c r="B1076" s="39" t="n">
        <v>1471.5</v>
      </c>
      <c r="C1076" s="40" t="n">
        <v>13079585.32</v>
      </c>
      <c r="D1076" s="40" t="n">
        <f aca="false">MAX(D1075,C1076)</f>
        <v>13079585.32</v>
      </c>
      <c r="E1076" s="41" t="n">
        <f aca="false">C1076/D1076-1</f>
        <v>0</v>
      </c>
      <c r="F1076" s="42" t="n">
        <f aca="false">YEAR(A1076)</f>
        <v>2017</v>
      </c>
    </row>
    <row r="1077" customFormat="false" ht="15" hidden="false" customHeight="false" outlineLevel="0" collapsed="false">
      <c r="A1077" s="38" t="n">
        <v>42968</v>
      </c>
      <c r="B1077" s="39" t="n">
        <v>1464</v>
      </c>
      <c r="C1077" s="40" t="n">
        <v>12894635.32</v>
      </c>
      <c r="D1077" s="40" t="n">
        <f aca="false">MAX(D1076,C1077)</f>
        <v>13079585.32</v>
      </c>
      <c r="E1077" s="41" t="n">
        <f aca="false">C1077/D1077-1</f>
        <v>-0.0141403565537505</v>
      </c>
      <c r="F1077" s="42" t="n">
        <f aca="false">YEAR(A1077)</f>
        <v>2017</v>
      </c>
    </row>
    <row r="1078" customFormat="false" ht="15" hidden="false" customHeight="false" outlineLevel="0" collapsed="false">
      <c r="A1078" s="38" t="n">
        <v>42969</v>
      </c>
      <c r="B1078" s="39" t="n">
        <v>1477</v>
      </c>
      <c r="C1078" s="40" t="n">
        <v>13215215.32</v>
      </c>
      <c r="D1078" s="40" t="n">
        <f aca="false">MAX(D1077,C1078)</f>
        <v>13215215.32</v>
      </c>
      <c r="E1078" s="41" t="n">
        <f aca="false">C1078/D1078-1</f>
        <v>0</v>
      </c>
      <c r="F1078" s="42" t="n">
        <f aca="false">YEAR(A1078)</f>
        <v>2017</v>
      </c>
    </row>
    <row r="1079" customFormat="false" ht="15" hidden="false" customHeight="false" outlineLevel="0" collapsed="false">
      <c r="A1079" s="38" t="n">
        <v>42970</v>
      </c>
      <c r="B1079" s="39" t="n">
        <v>1446.5</v>
      </c>
      <c r="C1079" s="40" t="n">
        <v>12463085.32</v>
      </c>
      <c r="D1079" s="40" t="n">
        <f aca="false">MAX(D1078,C1079)</f>
        <v>13215215.32</v>
      </c>
      <c r="E1079" s="41" t="n">
        <f aca="false">C1079/D1079-1</f>
        <v>-0.0569139421331805</v>
      </c>
      <c r="F1079" s="42" t="n">
        <f aca="false">YEAR(A1079)</f>
        <v>2017</v>
      </c>
    </row>
    <row r="1080" customFormat="false" ht="15" hidden="false" customHeight="false" outlineLevel="0" collapsed="false">
      <c r="A1080" s="38" t="n">
        <v>42971</v>
      </c>
      <c r="B1080" s="39" t="n">
        <v>1471</v>
      </c>
      <c r="C1080" s="40" t="n">
        <v>13067255.32</v>
      </c>
      <c r="D1080" s="40" t="n">
        <f aca="false">MAX(D1079,C1080)</f>
        <v>13215215.32</v>
      </c>
      <c r="E1080" s="41" t="n">
        <f aca="false">C1080/D1080-1</f>
        <v>-0.0111961853376749</v>
      </c>
      <c r="F1080" s="42" t="n">
        <f aca="false">YEAR(A1080)</f>
        <v>2017</v>
      </c>
    </row>
    <row r="1081" customFormat="false" ht="15" hidden="false" customHeight="false" outlineLevel="0" collapsed="false">
      <c r="A1081" s="38" t="n">
        <v>42972</v>
      </c>
      <c r="B1081" s="39" t="n">
        <v>1496.5</v>
      </c>
      <c r="C1081" s="40" t="n">
        <v>13696085.32</v>
      </c>
      <c r="D1081" s="40" t="n">
        <f aca="false">MAX(D1080,C1081)</f>
        <v>13696085.32</v>
      </c>
      <c r="E1081" s="41" t="n">
        <f aca="false">C1081/D1081-1</f>
        <v>0</v>
      </c>
      <c r="F1081" s="42" t="n">
        <f aca="false">YEAR(A1081)</f>
        <v>2017</v>
      </c>
    </row>
    <row r="1082" customFormat="false" ht="15" hidden="false" customHeight="false" outlineLevel="0" collapsed="false">
      <c r="A1082" s="38" t="n">
        <v>42975</v>
      </c>
      <c r="B1082" s="39" t="n">
        <v>1463.5</v>
      </c>
      <c r="C1082" s="40" t="n">
        <v>12882305.32</v>
      </c>
      <c r="D1082" s="40" t="n">
        <f aca="false">MAX(D1081,C1082)</f>
        <v>13696085.32</v>
      </c>
      <c r="E1082" s="41" t="n">
        <f aca="false">C1082/D1082-1</f>
        <v>-0.0594169779894449</v>
      </c>
      <c r="F1082" s="42" t="n">
        <f aca="false">YEAR(A1082)</f>
        <v>2017</v>
      </c>
    </row>
    <row r="1083" customFormat="false" ht="15" hidden="false" customHeight="false" outlineLevel="0" collapsed="false">
      <c r="A1083" s="38" t="n">
        <v>42976</v>
      </c>
      <c r="B1083" s="39" t="n">
        <v>1397</v>
      </c>
      <c r="C1083" s="40" t="n">
        <v>11242415.32</v>
      </c>
      <c r="D1083" s="40" t="n">
        <f aca="false">MAX(D1082,C1083)</f>
        <v>13696085.32</v>
      </c>
      <c r="E1083" s="41" t="n">
        <f aca="false">C1083/D1083-1</f>
        <v>-0.179151191210599</v>
      </c>
      <c r="F1083" s="42" t="n">
        <f aca="false">YEAR(A1083)</f>
        <v>2017</v>
      </c>
    </row>
    <row r="1084" customFormat="false" ht="15" hidden="false" customHeight="false" outlineLevel="0" collapsed="false">
      <c r="A1084" s="38" t="n">
        <v>42977</v>
      </c>
      <c r="B1084" s="39" t="n">
        <v>1388.5</v>
      </c>
      <c r="C1084" s="40" t="n">
        <v>11032805.32</v>
      </c>
      <c r="D1084" s="40" t="n">
        <f aca="false">MAX(D1083,C1084)</f>
        <v>13696085.32</v>
      </c>
      <c r="E1084" s="41" t="n">
        <f aca="false">C1084/D1084-1</f>
        <v>-0.194455564329093</v>
      </c>
      <c r="F1084" s="42" t="n">
        <f aca="false">YEAR(A1084)</f>
        <v>2017</v>
      </c>
    </row>
    <row r="1085" customFormat="false" ht="15" hidden="false" customHeight="false" outlineLevel="0" collapsed="false">
      <c r="A1085" s="38" t="n">
        <v>42978</v>
      </c>
      <c r="B1085" s="39" t="n">
        <v>1412.5</v>
      </c>
      <c r="C1085" s="40" t="n">
        <v>11624645.32</v>
      </c>
      <c r="D1085" s="40" t="n">
        <f aca="false">MAX(D1084,C1085)</f>
        <v>13696085.32</v>
      </c>
      <c r="E1085" s="41" t="n">
        <f aca="false">C1085/D1085-1</f>
        <v>-0.151243216700405</v>
      </c>
      <c r="F1085" s="42" t="n">
        <f aca="false">YEAR(A1085)</f>
        <v>2017</v>
      </c>
    </row>
    <row r="1086" customFormat="false" ht="15" hidden="false" customHeight="false" outlineLevel="0" collapsed="false">
      <c r="A1086" s="38" t="n">
        <v>42979</v>
      </c>
      <c r="B1086" s="39" t="n">
        <v>1436.5</v>
      </c>
      <c r="C1086" s="40" t="n">
        <v>12216485.32</v>
      </c>
      <c r="D1086" s="40" t="n">
        <f aca="false">MAX(D1085,C1086)</f>
        <v>13696085.32</v>
      </c>
      <c r="E1086" s="41" t="n">
        <f aca="false">C1086/D1086-1</f>
        <v>-0.108030869071718</v>
      </c>
      <c r="F1086" s="42" t="n">
        <f aca="false">YEAR(A1086)</f>
        <v>2017</v>
      </c>
    </row>
    <row r="1087" customFormat="false" ht="15" hidden="false" customHeight="false" outlineLevel="0" collapsed="false">
      <c r="A1087" s="38" t="n">
        <v>42982</v>
      </c>
      <c r="B1087" s="39" t="n">
        <v>1391</v>
      </c>
      <c r="C1087" s="40" t="n">
        <v>11094455.32</v>
      </c>
      <c r="D1087" s="40" t="n">
        <f aca="false">MAX(D1086,C1087)</f>
        <v>13696085.32</v>
      </c>
      <c r="E1087" s="41" t="n">
        <f aca="false">C1087/D1087-1</f>
        <v>-0.189954278117771</v>
      </c>
      <c r="F1087" s="42" t="n">
        <f aca="false">YEAR(A1087)</f>
        <v>2017</v>
      </c>
    </row>
    <row r="1088" customFormat="false" ht="15" hidden="false" customHeight="false" outlineLevel="0" collapsed="false">
      <c r="A1088" s="38" t="n">
        <v>42983</v>
      </c>
      <c r="B1088" s="39" t="n">
        <v>1419</v>
      </c>
      <c r="C1088" s="40" t="n">
        <v>11784935.32</v>
      </c>
      <c r="D1088" s="40" t="n">
        <f aca="false">MAX(D1087,C1088)</f>
        <v>13696085.32</v>
      </c>
      <c r="E1088" s="41" t="n">
        <f aca="false">C1088/D1088-1</f>
        <v>-0.139539872550969</v>
      </c>
      <c r="F1088" s="42" t="n">
        <f aca="false">YEAR(A1088)</f>
        <v>2017</v>
      </c>
    </row>
    <row r="1089" customFormat="false" ht="15" hidden="false" customHeight="false" outlineLevel="0" collapsed="false">
      <c r="A1089" s="38" t="n">
        <v>42984</v>
      </c>
      <c r="B1089" s="39" t="n">
        <v>1388.5</v>
      </c>
      <c r="C1089" s="40" t="n">
        <v>11032805.32</v>
      </c>
      <c r="D1089" s="40" t="n">
        <f aca="false">MAX(D1088,C1089)</f>
        <v>13696085.32</v>
      </c>
      <c r="E1089" s="41" t="n">
        <f aca="false">C1089/D1089-1</f>
        <v>-0.194455564329093</v>
      </c>
      <c r="F1089" s="42" t="n">
        <f aca="false">YEAR(A1089)</f>
        <v>2017</v>
      </c>
    </row>
    <row r="1090" customFormat="false" ht="15" hidden="false" customHeight="false" outlineLevel="0" collapsed="false">
      <c r="A1090" s="38" t="n">
        <v>42985</v>
      </c>
      <c r="B1090" s="39" t="n">
        <v>1392</v>
      </c>
      <c r="C1090" s="40" t="n">
        <v>11119115.32</v>
      </c>
      <c r="D1090" s="40" t="n">
        <f aca="false">MAX(D1089,C1090)</f>
        <v>13696085.32</v>
      </c>
      <c r="E1090" s="41" t="n">
        <f aca="false">C1090/D1090-1</f>
        <v>-0.188153763633242</v>
      </c>
      <c r="F1090" s="42" t="n">
        <f aca="false">YEAR(A1090)</f>
        <v>2017</v>
      </c>
    </row>
    <row r="1091" customFormat="false" ht="15" hidden="false" customHeight="false" outlineLevel="0" collapsed="false">
      <c r="A1091" s="38" t="n">
        <v>42986</v>
      </c>
      <c r="B1091" s="39" t="n">
        <v>1401</v>
      </c>
      <c r="C1091" s="40" t="n">
        <v>10840833.1</v>
      </c>
      <c r="D1091" s="40" t="n">
        <f aca="false">MAX(D1090,C1091)</f>
        <v>13696085.32</v>
      </c>
      <c r="E1091" s="41" t="n">
        <f aca="false">C1091/D1091-1</f>
        <v>-0.208472140271393</v>
      </c>
      <c r="F1091" s="42" t="n">
        <f aca="false">YEAR(A1091)</f>
        <v>2017</v>
      </c>
    </row>
    <row r="1092" customFormat="false" ht="15" hidden="false" customHeight="false" outlineLevel="0" collapsed="false">
      <c r="A1092" s="38" t="n">
        <v>42989</v>
      </c>
      <c r="B1092" s="39" t="n">
        <v>1432</v>
      </c>
      <c r="C1092" s="40" t="n">
        <v>9810393.1</v>
      </c>
      <c r="D1092" s="40" t="n">
        <f aca="false">MAX(D1091,C1092)</f>
        <v>13696085.32</v>
      </c>
      <c r="E1092" s="41" t="n">
        <f aca="false">C1092/D1092-1</f>
        <v>-0.28370823700447</v>
      </c>
      <c r="F1092" s="42" t="n">
        <f aca="false">YEAR(A1092)</f>
        <v>2017</v>
      </c>
    </row>
    <row r="1093" customFormat="false" ht="15" hidden="false" customHeight="false" outlineLevel="0" collapsed="false">
      <c r="A1093" s="38" t="n">
        <v>42990</v>
      </c>
      <c r="B1093" s="39" t="n">
        <v>1458.5</v>
      </c>
      <c r="C1093" s="40" t="n">
        <v>8929533.1</v>
      </c>
      <c r="D1093" s="40" t="n">
        <f aca="false">MAX(D1092,C1093)</f>
        <v>13696085.32</v>
      </c>
      <c r="E1093" s="41" t="n">
        <f aca="false">C1093/D1093-1</f>
        <v>-0.348022964856939</v>
      </c>
      <c r="F1093" s="42" t="n">
        <f aca="false">YEAR(A1093)</f>
        <v>2017</v>
      </c>
    </row>
    <row r="1094" customFormat="false" ht="15" hidden="false" customHeight="false" outlineLevel="0" collapsed="false">
      <c r="A1094" s="38" t="n">
        <v>42991</v>
      </c>
      <c r="B1094" s="39" t="n">
        <v>1422</v>
      </c>
      <c r="C1094" s="40" t="n">
        <v>10142793.1</v>
      </c>
      <c r="D1094" s="40" t="n">
        <f aca="false">MAX(D1093,C1094)</f>
        <v>13696085.32</v>
      </c>
      <c r="E1094" s="41" t="n">
        <f aca="false">C1094/D1094-1</f>
        <v>-0.259438528380897</v>
      </c>
      <c r="F1094" s="42" t="n">
        <f aca="false">YEAR(A1094)</f>
        <v>2017</v>
      </c>
    </row>
    <row r="1095" customFormat="false" ht="15" hidden="false" customHeight="false" outlineLevel="0" collapsed="false">
      <c r="A1095" s="38" t="n">
        <v>42992</v>
      </c>
      <c r="B1095" s="39" t="n">
        <v>1396.5</v>
      </c>
      <c r="C1095" s="40" t="n">
        <v>10990413.1</v>
      </c>
      <c r="D1095" s="40" t="n">
        <f aca="false">MAX(D1094,C1095)</f>
        <v>13696085.32</v>
      </c>
      <c r="E1095" s="41" t="n">
        <f aca="false">C1095/D1095-1</f>
        <v>-0.197550771390785</v>
      </c>
      <c r="F1095" s="42" t="n">
        <f aca="false">YEAR(A1095)</f>
        <v>2017</v>
      </c>
    </row>
    <row r="1096" customFormat="false" ht="15" hidden="false" customHeight="false" outlineLevel="0" collapsed="false">
      <c r="A1096" s="38" t="n">
        <v>42993</v>
      </c>
      <c r="B1096" s="39" t="n">
        <v>1312</v>
      </c>
      <c r="C1096" s="40" t="n">
        <v>13799193.1</v>
      </c>
      <c r="D1096" s="40" t="n">
        <f aca="false">MAX(D1095,C1096)</f>
        <v>13799193.1</v>
      </c>
      <c r="E1096" s="41" t="n">
        <f aca="false">C1096/D1096-1</f>
        <v>0</v>
      </c>
      <c r="F1096" s="42" t="n">
        <f aca="false">YEAR(A1096)</f>
        <v>2017</v>
      </c>
    </row>
    <row r="1097" customFormat="false" ht="15" hidden="false" customHeight="false" outlineLevel="0" collapsed="false">
      <c r="A1097" s="38" t="n">
        <v>42996</v>
      </c>
      <c r="B1097" s="39" t="n">
        <v>1277</v>
      </c>
      <c r="C1097" s="40" t="n">
        <v>14962593.1</v>
      </c>
      <c r="D1097" s="40" t="n">
        <f aca="false">MAX(D1096,C1097)</f>
        <v>14962593.1</v>
      </c>
      <c r="E1097" s="41" t="n">
        <f aca="false">C1097/D1097-1</f>
        <v>0</v>
      </c>
      <c r="F1097" s="42" t="n">
        <f aca="false">YEAR(A1097)</f>
        <v>2017</v>
      </c>
    </row>
    <row r="1098" customFormat="false" ht="15" hidden="false" customHeight="false" outlineLevel="0" collapsed="false">
      <c r="A1098" s="38" t="n">
        <v>42997</v>
      </c>
      <c r="B1098" s="39" t="n">
        <v>1271</v>
      </c>
      <c r="C1098" s="40" t="n">
        <v>15162033.1</v>
      </c>
      <c r="D1098" s="40" t="n">
        <f aca="false">MAX(D1097,C1098)</f>
        <v>15162033.1</v>
      </c>
      <c r="E1098" s="41" t="n">
        <f aca="false">C1098/D1098-1</f>
        <v>0</v>
      </c>
      <c r="F1098" s="42" t="n">
        <f aca="false">YEAR(A1098)</f>
        <v>2017</v>
      </c>
    </row>
    <row r="1099" customFormat="false" ht="15" hidden="false" customHeight="false" outlineLevel="0" collapsed="false">
      <c r="A1099" s="38" t="n">
        <v>42998</v>
      </c>
      <c r="B1099" s="39" t="n">
        <v>1306.5</v>
      </c>
      <c r="C1099" s="40" t="n">
        <v>13982013.1</v>
      </c>
      <c r="D1099" s="40" t="n">
        <f aca="false">MAX(D1098,C1099)</f>
        <v>15162033.1</v>
      </c>
      <c r="E1099" s="41" t="n">
        <f aca="false">C1099/D1099-1</f>
        <v>-0.0778272934913986</v>
      </c>
      <c r="F1099" s="42" t="n">
        <f aca="false">YEAR(A1099)</f>
        <v>2017</v>
      </c>
    </row>
    <row r="1100" customFormat="false" ht="15" hidden="false" customHeight="false" outlineLevel="0" collapsed="false">
      <c r="A1100" s="38" t="n">
        <v>42999</v>
      </c>
      <c r="B1100" s="39" t="n">
        <v>1216.5</v>
      </c>
      <c r="C1100" s="40" t="n">
        <v>16973613.1</v>
      </c>
      <c r="D1100" s="40" t="n">
        <f aca="false">MAX(D1099,C1100)</f>
        <v>16973613.1</v>
      </c>
      <c r="E1100" s="41" t="n">
        <f aca="false">C1100/D1100-1</f>
        <v>0</v>
      </c>
      <c r="F1100" s="42" t="n">
        <f aca="false">YEAR(A1100)</f>
        <v>2017</v>
      </c>
    </row>
    <row r="1101" customFormat="false" ht="15" hidden="false" customHeight="false" outlineLevel="0" collapsed="false">
      <c r="A1101" s="38" t="n">
        <v>43000</v>
      </c>
      <c r="B1101" s="39" t="n">
        <v>1208</v>
      </c>
      <c r="C1101" s="40" t="n">
        <v>17256153.1</v>
      </c>
      <c r="D1101" s="40" t="n">
        <f aca="false">MAX(D1100,C1101)</f>
        <v>17256153.1</v>
      </c>
      <c r="E1101" s="41" t="n">
        <f aca="false">C1101/D1101-1</f>
        <v>0</v>
      </c>
      <c r="F1101" s="42" t="n">
        <f aca="false">YEAR(A1101)</f>
        <v>2017</v>
      </c>
    </row>
    <row r="1102" customFormat="false" ht="15" hidden="false" customHeight="false" outlineLevel="0" collapsed="false">
      <c r="A1102" s="38" t="n">
        <v>43003</v>
      </c>
      <c r="B1102" s="39" t="n">
        <v>1172</v>
      </c>
      <c r="C1102" s="40" t="n">
        <v>18452793.1</v>
      </c>
      <c r="D1102" s="40" t="n">
        <f aca="false">MAX(D1101,C1102)</f>
        <v>18452793.1</v>
      </c>
      <c r="E1102" s="41" t="n">
        <f aca="false">C1102/D1102-1</f>
        <v>0</v>
      </c>
      <c r="F1102" s="42" t="n">
        <f aca="false">YEAR(A1102)</f>
        <v>2017</v>
      </c>
    </row>
    <row r="1103" customFormat="false" ht="15" hidden="false" customHeight="false" outlineLevel="0" collapsed="false">
      <c r="A1103" s="38" t="n">
        <v>43004</v>
      </c>
      <c r="B1103" s="39" t="n">
        <v>1158.5</v>
      </c>
      <c r="C1103" s="40" t="n">
        <v>18901533.1</v>
      </c>
      <c r="D1103" s="40" t="n">
        <f aca="false">MAX(D1102,C1103)</f>
        <v>18901533.1</v>
      </c>
      <c r="E1103" s="41" t="n">
        <f aca="false">C1103/D1103-1</f>
        <v>0</v>
      </c>
      <c r="F1103" s="42" t="n">
        <f aca="false">YEAR(A1103)</f>
        <v>2017</v>
      </c>
    </row>
    <row r="1104" customFormat="false" ht="15" hidden="false" customHeight="false" outlineLevel="0" collapsed="false">
      <c r="A1104" s="38" t="n">
        <v>43005</v>
      </c>
      <c r="B1104" s="39" t="n">
        <v>1170</v>
      </c>
      <c r="C1104" s="40" t="n">
        <v>18519273.1</v>
      </c>
      <c r="D1104" s="40" t="n">
        <f aca="false">MAX(D1103,C1104)</f>
        <v>18901533.1</v>
      </c>
      <c r="E1104" s="41" t="n">
        <f aca="false">C1104/D1104-1</f>
        <v>-0.0202237563470447</v>
      </c>
      <c r="F1104" s="42" t="n">
        <f aca="false">YEAR(A1104)</f>
        <v>2017</v>
      </c>
    </row>
    <row r="1105" customFormat="false" ht="15" hidden="false" customHeight="false" outlineLevel="0" collapsed="false">
      <c r="A1105" s="38" t="n">
        <v>43006</v>
      </c>
      <c r="B1105" s="39" t="n">
        <v>1121</v>
      </c>
      <c r="C1105" s="40" t="n">
        <v>20148033.1</v>
      </c>
      <c r="D1105" s="40" t="n">
        <f aca="false">MAX(D1104,C1105)</f>
        <v>20148033.1</v>
      </c>
      <c r="E1105" s="41" t="n">
        <f aca="false">C1105/D1105-1</f>
        <v>0</v>
      </c>
      <c r="F1105" s="42" t="n">
        <f aca="false">YEAR(A1105)</f>
        <v>2017</v>
      </c>
    </row>
    <row r="1106" customFormat="false" ht="15" hidden="false" customHeight="false" outlineLevel="0" collapsed="false">
      <c r="A1106" s="38" t="n">
        <v>43007</v>
      </c>
      <c r="B1106" s="39" t="n">
        <v>1130.5</v>
      </c>
      <c r="C1106" s="40" t="n">
        <v>19832253.1</v>
      </c>
      <c r="D1106" s="40" t="n">
        <f aca="false">MAX(D1105,C1106)</f>
        <v>20148033.1</v>
      </c>
      <c r="E1106" s="41" t="n">
        <f aca="false">C1106/D1106-1</f>
        <v>-0.0156729939062885</v>
      </c>
      <c r="F1106" s="42" t="n">
        <f aca="false">YEAR(A1106)</f>
        <v>2017</v>
      </c>
    </row>
    <row r="1107" customFormat="false" ht="15" hidden="false" customHeight="false" outlineLevel="0" collapsed="false">
      <c r="A1107" s="38" t="n">
        <v>43017</v>
      </c>
      <c r="B1107" s="39" t="n">
        <v>1088.5</v>
      </c>
      <c r="C1107" s="40" t="n">
        <v>21228333.1</v>
      </c>
      <c r="D1107" s="40" t="n">
        <f aca="false">MAX(D1106,C1107)</f>
        <v>21228333.1</v>
      </c>
      <c r="E1107" s="41" t="n">
        <f aca="false">C1107/D1107-1</f>
        <v>0</v>
      </c>
      <c r="F1107" s="42" t="n">
        <f aca="false">YEAR(A1107)</f>
        <v>2017</v>
      </c>
    </row>
    <row r="1108" customFormat="false" ht="15" hidden="false" customHeight="false" outlineLevel="0" collapsed="false">
      <c r="A1108" s="38" t="n">
        <v>43018</v>
      </c>
      <c r="B1108" s="39" t="n">
        <v>1075</v>
      </c>
      <c r="C1108" s="40" t="n">
        <v>21677073.1</v>
      </c>
      <c r="D1108" s="40" t="n">
        <f aca="false">MAX(D1107,C1108)</f>
        <v>21677073.1</v>
      </c>
      <c r="E1108" s="41" t="n">
        <f aca="false">C1108/D1108-1</f>
        <v>0</v>
      </c>
      <c r="F1108" s="42" t="n">
        <f aca="false">YEAR(A1108)</f>
        <v>2017</v>
      </c>
    </row>
    <row r="1109" customFormat="false" ht="15" hidden="false" customHeight="false" outlineLevel="0" collapsed="false">
      <c r="A1109" s="38" t="n">
        <v>43019</v>
      </c>
      <c r="B1109" s="39" t="n">
        <v>1082.5</v>
      </c>
      <c r="C1109" s="40" t="n">
        <v>21427773.1</v>
      </c>
      <c r="D1109" s="40" t="n">
        <f aca="false">MAX(D1108,C1109)</f>
        <v>21677073.1</v>
      </c>
      <c r="E1109" s="41" t="n">
        <f aca="false">C1109/D1109-1</f>
        <v>-0.0115006301288895</v>
      </c>
      <c r="F1109" s="42" t="n">
        <f aca="false">YEAR(A1109)</f>
        <v>2017</v>
      </c>
    </row>
    <row r="1110" customFormat="false" ht="15" hidden="false" customHeight="false" outlineLevel="0" collapsed="false">
      <c r="A1110" s="38" t="n">
        <v>43020</v>
      </c>
      <c r="B1110" s="39" t="n">
        <v>1139.5</v>
      </c>
      <c r="C1110" s="40" t="n">
        <v>19533093.1</v>
      </c>
      <c r="D1110" s="40" t="n">
        <f aca="false">MAX(D1109,C1110)</f>
        <v>21677073.1</v>
      </c>
      <c r="E1110" s="41" t="n">
        <f aca="false">C1110/D1110-1</f>
        <v>-0.0989054191084496</v>
      </c>
      <c r="F1110" s="42" t="n">
        <f aca="false">YEAR(A1110)</f>
        <v>2017</v>
      </c>
    </row>
    <row r="1111" customFormat="false" ht="15" hidden="false" customHeight="false" outlineLevel="0" collapsed="false">
      <c r="A1111" s="38" t="n">
        <v>43021</v>
      </c>
      <c r="B1111" s="39" t="n">
        <v>1193.5</v>
      </c>
      <c r="C1111" s="40" t="n">
        <v>17738133.1</v>
      </c>
      <c r="D1111" s="40" t="n">
        <f aca="false">MAX(D1110,C1111)</f>
        <v>21677073.1</v>
      </c>
      <c r="E1111" s="41" t="n">
        <f aca="false">C1111/D1111-1</f>
        <v>-0.181709956036454</v>
      </c>
      <c r="F1111" s="42" t="n">
        <f aca="false">YEAR(A1111)</f>
        <v>2017</v>
      </c>
    </row>
    <row r="1112" customFormat="false" ht="15" hidden="false" customHeight="false" outlineLevel="0" collapsed="false">
      <c r="A1112" s="38" t="n">
        <v>43024</v>
      </c>
      <c r="B1112" s="39" t="n">
        <v>1172.5</v>
      </c>
      <c r="C1112" s="40" t="n">
        <v>18436173.1</v>
      </c>
      <c r="D1112" s="40" t="n">
        <f aca="false">MAX(D1111,C1112)</f>
        <v>21677073.1</v>
      </c>
      <c r="E1112" s="41" t="n">
        <f aca="false">C1112/D1112-1</f>
        <v>-0.149508191675563</v>
      </c>
      <c r="F1112" s="42" t="n">
        <f aca="false">YEAR(A1112)</f>
        <v>2017</v>
      </c>
    </row>
    <row r="1113" customFormat="false" ht="15" hidden="false" customHeight="false" outlineLevel="0" collapsed="false">
      <c r="A1113" s="38" t="n">
        <v>43025</v>
      </c>
      <c r="B1113" s="39" t="n">
        <v>1157.5</v>
      </c>
      <c r="C1113" s="40" t="n">
        <v>18934773.1</v>
      </c>
      <c r="D1113" s="40" t="n">
        <f aca="false">MAX(D1112,C1113)</f>
        <v>21677073.1</v>
      </c>
      <c r="E1113" s="41" t="n">
        <f aca="false">C1113/D1113-1</f>
        <v>-0.126506931417784</v>
      </c>
      <c r="F1113" s="42" t="n">
        <f aca="false">YEAR(A1113)</f>
        <v>2017</v>
      </c>
    </row>
    <row r="1114" customFormat="false" ht="15" hidden="false" customHeight="false" outlineLevel="0" collapsed="false">
      <c r="A1114" s="38" t="n">
        <v>43026</v>
      </c>
      <c r="B1114" s="39" t="n">
        <v>1160</v>
      </c>
      <c r="C1114" s="40" t="n">
        <v>18851673.1</v>
      </c>
      <c r="D1114" s="40" t="n">
        <f aca="false">MAX(D1113,C1114)</f>
        <v>21677073.1</v>
      </c>
      <c r="E1114" s="41" t="n">
        <f aca="false">C1114/D1114-1</f>
        <v>-0.130340474794081</v>
      </c>
      <c r="F1114" s="42" t="n">
        <f aca="false">YEAR(A1114)</f>
        <v>2017</v>
      </c>
    </row>
    <row r="1115" customFormat="false" ht="15" hidden="false" customHeight="false" outlineLevel="0" collapsed="false">
      <c r="A1115" s="38" t="n">
        <v>43027</v>
      </c>
      <c r="B1115" s="39" t="n">
        <v>1098.5</v>
      </c>
      <c r="C1115" s="40" t="n">
        <v>20895933.1</v>
      </c>
      <c r="D1115" s="40" t="n">
        <f aca="false">MAX(D1114,C1115)</f>
        <v>21677073.1</v>
      </c>
      <c r="E1115" s="41" t="n">
        <f aca="false">C1115/D1115-1</f>
        <v>-0.0360353077371871</v>
      </c>
      <c r="F1115" s="42" t="n">
        <f aca="false">YEAR(A1115)</f>
        <v>2017</v>
      </c>
    </row>
    <row r="1116" customFormat="false" ht="15" hidden="false" customHeight="false" outlineLevel="0" collapsed="false">
      <c r="A1116" s="38" t="n">
        <v>43028</v>
      </c>
      <c r="B1116" s="39" t="n">
        <v>1155</v>
      </c>
      <c r="C1116" s="40" t="n">
        <v>19017873.1</v>
      </c>
      <c r="D1116" s="40" t="n">
        <f aca="false">MAX(D1115,C1116)</f>
        <v>21677073.1</v>
      </c>
      <c r="E1116" s="41" t="n">
        <f aca="false">C1116/D1116-1</f>
        <v>-0.122673388041488</v>
      </c>
      <c r="F1116" s="42" t="n">
        <f aca="false">YEAR(A1116)</f>
        <v>2017</v>
      </c>
    </row>
    <row r="1117" customFormat="false" ht="15" hidden="false" customHeight="false" outlineLevel="0" collapsed="false">
      <c r="A1117" s="38" t="n">
        <v>43031</v>
      </c>
      <c r="B1117" s="39" t="n">
        <v>1126</v>
      </c>
      <c r="C1117" s="40" t="n">
        <v>19981833.1</v>
      </c>
      <c r="D1117" s="40" t="n">
        <f aca="false">MAX(D1116,C1117)</f>
        <v>21677073.1</v>
      </c>
      <c r="E1117" s="41" t="n">
        <f aca="false">C1117/D1117-1</f>
        <v>-0.0782042848764486</v>
      </c>
      <c r="F1117" s="42" t="n">
        <f aca="false">YEAR(A1117)</f>
        <v>2017</v>
      </c>
    </row>
    <row r="1118" customFormat="false" ht="15" hidden="false" customHeight="false" outlineLevel="0" collapsed="false">
      <c r="A1118" s="38" t="n">
        <v>43032</v>
      </c>
      <c r="B1118" s="39" t="n">
        <v>1094</v>
      </c>
      <c r="C1118" s="40" t="n">
        <v>21045513.1</v>
      </c>
      <c r="D1118" s="40" t="n">
        <f aca="false">MAX(D1117,C1118)</f>
        <v>21677073.1</v>
      </c>
      <c r="E1118" s="41" t="n">
        <f aca="false">C1118/D1118-1</f>
        <v>-0.0291349296598534</v>
      </c>
      <c r="F1118" s="42" t="n">
        <f aca="false">YEAR(A1118)</f>
        <v>2017</v>
      </c>
    </row>
    <row r="1119" customFormat="false" ht="15" hidden="false" customHeight="false" outlineLevel="0" collapsed="false">
      <c r="A1119" s="38" t="n">
        <v>43033</v>
      </c>
      <c r="B1119" s="39" t="n">
        <v>1106.5</v>
      </c>
      <c r="C1119" s="40" t="n">
        <v>20630013.1</v>
      </c>
      <c r="D1119" s="40" t="n">
        <f aca="false">MAX(D1118,C1119)</f>
        <v>21677073.1</v>
      </c>
      <c r="E1119" s="41" t="n">
        <f aca="false">C1119/D1119-1</f>
        <v>-0.0483026465413359</v>
      </c>
      <c r="F1119" s="42" t="n">
        <f aca="false">YEAR(A1119)</f>
        <v>2017</v>
      </c>
    </row>
    <row r="1120" customFormat="false" ht="15" hidden="false" customHeight="false" outlineLevel="0" collapsed="false">
      <c r="A1120" s="38" t="n">
        <v>43034</v>
      </c>
      <c r="B1120" s="39" t="n">
        <v>1107</v>
      </c>
      <c r="C1120" s="40" t="n">
        <v>20613393.1</v>
      </c>
      <c r="D1120" s="40" t="n">
        <f aca="false">MAX(D1119,C1120)</f>
        <v>21677073.1</v>
      </c>
      <c r="E1120" s="41" t="n">
        <f aca="false">C1120/D1120-1</f>
        <v>-0.0490693552165952</v>
      </c>
      <c r="F1120" s="42" t="n">
        <f aca="false">YEAR(A1120)</f>
        <v>2017</v>
      </c>
    </row>
    <row r="1121" customFormat="false" ht="15" hidden="false" customHeight="false" outlineLevel="0" collapsed="false">
      <c r="A1121" s="38" t="n">
        <v>43035</v>
      </c>
      <c r="B1121" s="39" t="n">
        <v>1099.5</v>
      </c>
      <c r="C1121" s="40" t="n">
        <v>20862693.1</v>
      </c>
      <c r="D1121" s="40" t="n">
        <f aca="false">MAX(D1120,C1121)</f>
        <v>21677073.1</v>
      </c>
      <c r="E1121" s="41" t="n">
        <f aca="false">C1121/D1121-1</f>
        <v>-0.0375687250877057</v>
      </c>
      <c r="F1121" s="42" t="n">
        <f aca="false">YEAR(A1121)</f>
        <v>2017</v>
      </c>
    </row>
    <row r="1122" customFormat="false" ht="15" hidden="false" customHeight="false" outlineLevel="0" collapsed="false">
      <c r="A1122" s="38" t="n">
        <v>43038</v>
      </c>
      <c r="B1122" s="39" t="n">
        <v>1096.5</v>
      </c>
      <c r="C1122" s="40" t="n">
        <v>20962413.1</v>
      </c>
      <c r="D1122" s="40" t="n">
        <f aca="false">MAX(D1121,C1122)</f>
        <v>21677073.1</v>
      </c>
      <c r="E1122" s="41" t="n">
        <f aca="false">C1122/D1122-1</f>
        <v>-0.0329684730361499</v>
      </c>
      <c r="F1122" s="42" t="n">
        <f aca="false">YEAR(A1122)</f>
        <v>2017</v>
      </c>
    </row>
    <row r="1123" customFormat="false" ht="15" hidden="false" customHeight="false" outlineLevel="0" collapsed="false">
      <c r="A1123" s="38" t="n">
        <v>43039</v>
      </c>
      <c r="B1123" s="39" t="n">
        <v>1069</v>
      </c>
      <c r="C1123" s="40" t="n">
        <v>21876513.1</v>
      </c>
      <c r="D1123" s="40" t="n">
        <f aca="false">MAX(D1122,C1123)</f>
        <v>21876513.1</v>
      </c>
      <c r="E1123" s="41" t="n">
        <f aca="false">C1123/D1123-1</f>
        <v>0</v>
      </c>
      <c r="F1123" s="42" t="n">
        <f aca="false">YEAR(A1123)</f>
        <v>2017</v>
      </c>
    </row>
    <row r="1124" customFormat="false" ht="15" hidden="false" customHeight="false" outlineLevel="0" collapsed="false">
      <c r="A1124" s="38" t="n">
        <v>43040</v>
      </c>
      <c r="B1124" s="39" t="n">
        <v>1083.5</v>
      </c>
      <c r="C1124" s="40" t="n">
        <v>21394533.1</v>
      </c>
      <c r="D1124" s="40" t="n">
        <f aca="false">MAX(D1123,C1124)</f>
        <v>21876513.1</v>
      </c>
      <c r="E1124" s="41" t="n">
        <f aca="false">C1124/D1124-1</f>
        <v>-0.0220318474793865</v>
      </c>
      <c r="F1124" s="42" t="n">
        <f aca="false">YEAR(A1124)</f>
        <v>2017</v>
      </c>
    </row>
    <row r="1125" customFormat="false" ht="15" hidden="false" customHeight="false" outlineLevel="0" collapsed="false">
      <c r="A1125" s="38" t="n">
        <v>43041</v>
      </c>
      <c r="B1125" s="39" t="n">
        <v>1145</v>
      </c>
      <c r="C1125" s="40" t="n">
        <v>19350273.1</v>
      </c>
      <c r="D1125" s="40" t="n">
        <f aca="false">MAX(D1124,C1125)</f>
        <v>21876513.1</v>
      </c>
      <c r="E1125" s="41" t="n">
        <f aca="false">C1125/D1125-1</f>
        <v>-0.115477269547129</v>
      </c>
      <c r="F1125" s="42" t="n">
        <f aca="false">YEAR(A1125)</f>
        <v>2017</v>
      </c>
    </row>
    <row r="1126" customFormat="false" ht="15" hidden="false" customHeight="false" outlineLevel="0" collapsed="false">
      <c r="A1126" s="38" t="n">
        <v>43042</v>
      </c>
      <c r="B1126" s="39" t="n">
        <v>1135.5</v>
      </c>
      <c r="C1126" s="40" t="n">
        <v>19666053.1</v>
      </c>
      <c r="D1126" s="40" t="n">
        <f aca="false">MAX(D1125,C1126)</f>
        <v>21876513.1</v>
      </c>
      <c r="E1126" s="41" t="n">
        <f aca="false">C1126/D1126-1</f>
        <v>-0.101042610853738</v>
      </c>
      <c r="F1126" s="42" t="n">
        <f aca="false">YEAR(A1126)</f>
        <v>2017</v>
      </c>
    </row>
    <row r="1127" customFormat="false" ht="15" hidden="false" customHeight="false" outlineLevel="0" collapsed="false">
      <c r="A1127" s="38" t="n">
        <v>43045</v>
      </c>
      <c r="B1127" s="39" t="n">
        <v>1170</v>
      </c>
      <c r="C1127" s="40" t="n">
        <v>18519273.1</v>
      </c>
      <c r="D1127" s="40" t="n">
        <f aca="false">MAX(D1126,C1127)</f>
        <v>21876513.1</v>
      </c>
      <c r="E1127" s="41" t="n">
        <f aca="false">C1127/D1127-1</f>
        <v>-0.153463213477106</v>
      </c>
      <c r="F1127" s="42" t="n">
        <f aca="false">YEAR(A1127)</f>
        <v>2017</v>
      </c>
    </row>
    <row r="1128" customFormat="false" ht="15" hidden="false" customHeight="false" outlineLevel="0" collapsed="false">
      <c r="A1128" s="38" t="n">
        <v>43046</v>
      </c>
      <c r="B1128" s="39" t="n">
        <v>1188.5</v>
      </c>
      <c r="C1128" s="40" t="n">
        <v>17904333.1</v>
      </c>
      <c r="D1128" s="40" t="n">
        <f aca="false">MAX(D1127,C1128)</f>
        <v>21876513.1</v>
      </c>
      <c r="E1128" s="41" t="n">
        <f aca="false">C1128/D1128-1</f>
        <v>-0.181572811985288</v>
      </c>
      <c r="F1128" s="42" t="n">
        <f aca="false">YEAR(A1128)</f>
        <v>2017</v>
      </c>
    </row>
    <row r="1129" customFormat="false" ht="15" hidden="false" customHeight="false" outlineLevel="0" collapsed="false">
      <c r="A1129" s="38" t="n">
        <v>43047</v>
      </c>
      <c r="B1129" s="39" t="n">
        <v>1189.5</v>
      </c>
      <c r="C1129" s="40" t="n">
        <v>18099836.93</v>
      </c>
      <c r="D1129" s="40" t="n">
        <f aca="false">MAX(D1128,C1129)</f>
        <v>21876513.1</v>
      </c>
      <c r="E1129" s="41" t="n">
        <f aca="false">C1129/D1129-1</f>
        <v>-0.172636112196509</v>
      </c>
      <c r="F1129" s="42" t="n">
        <f aca="false">YEAR(A1129)</f>
        <v>2017</v>
      </c>
    </row>
    <row r="1130" customFormat="false" ht="15" hidden="false" customHeight="false" outlineLevel="0" collapsed="false">
      <c r="A1130" s="38" t="n">
        <v>43048</v>
      </c>
      <c r="B1130" s="39" t="n">
        <v>1210.5</v>
      </c>
      <c r="C1130" s="40" t="n">
        <v>18099836.93</v>
      </c>
      <c r="D1130" s="40" t="n">
        <f aca="false">MAX(D1129,C1130)</f>
        <v>21876513.1</v>
      </c>
      <c r="E1130" s="41" t="n">
        <f aca="false">C1130/D1130-1</f>
        <v>-0.172636112196509</v>
      </c>
      <c r="F1130" s="42" t="n">
        <f aca="false">YEAR(A1130)</f>
        <v>2017</v>
      </c>
    </row>
    <row r="1131" customFormat="false" ht="15" hidden="false" customHeight="false" outlineLevel="0" collapsed="false">
      <c r="A1131" s="38" t="n">
        <v>43049</v>
      </c>
      <c r="B1131" s="39" t="n">
        <v>1217.5</v>
      </c>
      <c r="C1131" s="40" t="n">
        <v>18099836.93</v>
      </c>
      <c r="D1131" s="40" t="n">
        <f aca="false">MAX(D1130,C1131)</f>
        <v>21876513.1</v>
      </c>
      <c r="E1131" s="41" t="n">
        <f aca="false">C1131/D1131-1</f>
        <v>-0.172636112196509</v>
      </c>
      <c r="F1131" s="42" t="n">
        <f aca="false">YEAR(A1131)</f>
        <v>2017</v>
      </c>
    </row>
    <row r="1132" customFormat="false" ht="15" hidden="false" customHeight="false" outlineLevel="0" collapsed="false">
      <c r="A1132" s="38" t="n">
        <v>43052</v>
      </c>
      <c r="B1132" s="39" t="n">
        <v>1215.5</v>
      </c>
      <c r="C1132" s="40" t="n">
        <v>18099836.93</v>
      </c>
      <c r="D1132" s="40" t="n">
        <f aca="false">MAX(D1131,C1132)</f>
        <v>21876513.1</v>
      </c>
      <c r="E1132" s="41" t="n">
        <f aca="false">C1132/D1132-1</f>
        <v>-0.172636112196509</v>
      </c>
      <c r="F1132" s="42" t="n">
        <f aca="false">YEAR(A1132)</f>
        <v>2017</v>
      </c>
    </row>
    <row r="1133" customFormat="false" ht="15" hidden="false" customHeight="false" outlineLevel="0" collapsed="false">
      <c r="A1133" s="38" t="n">
        <v>43053</v>
      </c>
      <c r="B1133" s="39" t="n">
        <v>1218.5</v>
      </c>
      <c r="C1133" s="40" t="n">
        <v>18099836.93</v>
      </c>
      <c r="D1133" s="40" t="n">
        <f aca="false">MAX(D1132,C1133)</f>
        <v>21876513.1</v>
      </c>
      <c r="E1133" s="41" t="n">
        <f aca="false">C1133/D1133-1</f>
        <v>-0.172636112196509</v>
      </c>
      <c r="F1133" s="42" t="n">
        <f aca="false">YEAR(A1133)</f>
        <v>2017</v>
      </c>
    </row>
    <row r="1134" customFormat="false" ht="15" hidden="false" customHeight="false" outlineLevel="0" collapsed="false">
      <c r="A1134" s="38" t="n">
        <v>43054</v>
      </c>
      <c r="B1134" s="39" t="n">
        <v>1167.5</v>
      </c>
      <c r="C1134" s="40" t="n">
        <v>18099836.93</v>
      </c>
      <c r="D1134" s="40" t="n">
        <f aca="false">MAX(D1133,C1134)</f>
        <v>21876513.1</v>
      </c>
      <c r="E1134" s="41" t="n">
        <f aca="false">C1134/D1134-1</f>
        <v>-0.172636112196509</v>
      </c>
      <c r="F1134" s="42" t="n">
        <f aca="false">YEAR(A1134)</f>
        <v>2017</v>
      </c>
    </row>
    <row r="1135" customFormat="false" ht="15" hidden="false" customHeight="false" outlineLevel="0" collapsed="false">
      <c r="A1135" s="38" t="n">
        <v>43055</v>
      </c>
      <c r="B1135" s="39" t="n">
        <v>1168</v>
      </c>
      <c r="C1135" s="40" t="n">
        <v>18099836.93</v>
      </c>
      <c r="D1135" s="40" t="n">
        <f aca="false">MAX(D1134,C1135)</f>
        <v>21876513.1</v>
      </c>
      <c r="E1135" s="41" t="n">
        <f aca="false">C1135/D1135-1</f>
        <v>-0.172636112196509</v>
      </c>
      <c r="F1135" s="42" t="n">
        <f aca="false">YEAR(A1135)</f>
        <v>2017</v>
      </c>
    </row>
    <row r="1136" customFormat="false" ht="15" hidden="false" customHeight="false" outlineLevel="0" collapsed="false">
      <c r="A1136" s="38" t="n">
        <v>43056</v>
      </c>
      <c r="B1136" s="39" t="n">
        <v>1176.5</v>
      </c>
      <c r="C1136" s="40" t="n">
        <v>18099836.93</v>
      </c>
      <c r="D1136" s="40" t="n">
        <f aca="false">MAX(D1135,C1136)</f>
        <v>21876513.1</v>
      </c>
      <c r="E1136" s="41" t="n">
        <f aca="false">C1136/D1136-1</f>
        <v>-0.172636112196509</v>
      </c>
      <c r="F1136" s="42" t="n">
        <f aca="false">YEAR(A1136)</f>
        <v>2017</v>
      </c>
    </row>
    <row r="1137" customFormat="false" ht="15" hidden="false" customHeight="false" outlineLevel="0" collapsed="false">
      <c r="A1137" s="38" t="n">
        <v>43059</v>
      </c>
      <c r="B1137" s="39" t="n">
        <v>1209.5</v>
      </c>
      <c r="C1137" s="40" t="n">
        <v>18099836.93</v>
      </c>
      <c r="D1137" s="40" t="n">
        <f aca="false">MAX(D1136,C1137)</f>
        <v>21876513.1</v>
      </c>
      <c r="E1137" s="41" t="n">
        <f aca="false">C1137/D1137-1</f>
        <v>-0.172636112196509</v>
      </c>
      <c r="F1137" s="42" t="n">
        <f aca="false">YEAR(A1137)</f>
        <v>2017</v>
      </c>
    </row>
    <row r="1138" customFormat="false" ht="15" hidden="false" customHeight="false" outlineLevel="0" collapsed="false">
      <c r="A1138" s="38" t="n">
        <v>43060</v>
      </c>
      <c r="B1138" s="39" t="n">
        <v>1230</v>
      </c>
      <c r="C1138" s="40" t="n">
        <v>18099836.93</v>
      </c>
      <c r="D1138" s="40" t="n">
        <f aca="false">MAX(D1137,C1138)</f>
        <v>21876513.1</v>
      </c>
      <c r="E1138" s="41" t="n">
        <f aca="false">C1138/D1138-1</f>
        <v>-0.172636112196509</v>
      </c>
      <c r="F1138" s="42" t="n">
        <f aca="false">YEAR(A1138)</f>
        <v>2017</v>
      </c>
    </row>
    <row r="1139" customFormat="false" ht="15" hidden="false" customHeight="false" outlineLevel="0" collapsed="false">
      <c r="A1139" s="38" t="n">
        <v>43061</v>
      </c>
      <c r="B1139" s="39" t="n">
        <v>1301</v>
      </c>
      <c r="C1139" s="40" t="n">
        <v>22411118.68</v>
      </c>
      <c r="D1139" s="40" t="n">
        <f aca="false">MAX(D1138,C1139)</f>
        <v>22411118.68</v>
      </c>
      <c r="E1139" s="41" t="n">
        <f aca="false">C1139/D1139-1</f>
        <v>0</v>
      </c>
      <c r="F1139" s="42" t="n">
        <f aca="false">YEAR(A1139)</f>
        <v>2017</v>
      </c>
    </row>
    <row r="1140" customFormat="false" ht="15" hidden="false" customHeight="false" outlineLevel="0" collapsed="false">
      <c r="A1140" s="38" t="n">
        <v>43062</v>
      </c>
      <c r="B1140" s="39" t="n">
        <v>1297</v>
      </c>
      <c r="C1140" s="40" t="n">
        <v>22166078.68</v>
      </c>
      <c r="D1140" s="40" t="n">
        <f aca="false">MAX(D1139,C1140)</f>
        <v>22411118.68</v>
      </c>
      <c r="E1140" s="41" t="n">
        <f aca="false">C1140/D1140-1</f>
        <v>-0.0109338584788575</v>
      </c>
      <c r="F1140" s="42" t="n">
        <f aca="false">YEAR(A1140)</f>
        <v>2017</v>
      </c>
    </row>
    <row r="1141" customFormat="false" ht="15" hidden="false" customHeight="false" outlineLevel="0" collapsed="false">
      <c r="A1141" s="38" t="n">
        <v>43063</v>
      </c>
      <c r="B1141" s="39" t="n">
        <v>1334.5</v>
      </c>
      <c r="C1141" s="40" t="n">
        <v>24463328.68</v>
      </c>
      <c r="D1141" s="40" t="n">
        <f aca="false">MAX(D1140,C1141)</f>
        <v>24463328.68</v>
      </c>
      <c r="E1141" s="41" t="n">
        <f aca="false">C1141/D1141-1</f>
        <v>0</v>
      </c>
      <c r="F1141" s="42" t="n">
        <f aca="false">YEAR(A1141)</f>
        <v>2017</v>
      </c>
    </row>
    <row r="1142" customFormat="false" ht="15" hidden="false" customHeight="false" outlineLevel="0" collapsed="false">
      <c r="A1142" s="38" t="n">
        <v>43066</v>
      </c>
      <c r="B1142" s="39" t="n">
        <v>1309</v>
      </c>
      <c r="C1142" s="40" t="n">
        <v>22901198.68</v>
      </c>
      <c r="D1142" s="40" t="n">
        <f aca="false">MAX(D1141,C1142)</f>
        <v>24463328.68</v>
      </c>
      <c r="E1142" s="41" t="n">
        <f aca="false">C1142/D1142-1</f>
        <v>-0.0638559870749363</v>
      </c>
      <c r="F1142" s="42" t="n">
        <f aca="false">YEAR(A1142)</f>
        <v>2017</v>
      </c>
    </row>
    <row r="1143" customFormat="false" ht="15" hidden="false" customHeight="false" outlineLevel="0" collapsed="false">
      <c r="A1143" s="38" t="n">
        <v>43067</v>
      </c>
      <c r="B1143" s="39" t="n">
        <v>1335</v>
      </c>
      <c r="C1143" s="40" t="n">
        <v>24493958.68</v>
      </c>
      <c r="D1143" s="40" t="n">
        <f aca="false">MAX(D1142,C1143)</f>
        <v>24493958.68</v>
      </c>
      <c r="E1143" s="41" t="n">
        <f aca="false">C1143/D1143-1</f>
        <v>0</v>
      </c>
      <c r="F1143" s="42" t="n">
        <f aca="false">YEAR(A1143)</f>
        <v>2017</v>
      </c>
    </row>
    <row r="1144" customFormat="false" ht="15" hidden="false" customHeight="false" outlineLevel="0" collapsed="false">
      <c r="A1144" s="38" t="n">
        <v>43068</v>
      </c>
      <c r="B1144" s="39" t="n">
        <v>1332</v>
      </c>
      <c r="C1144" s="40" t="n">
        <v>24310178.68</v>
      </c>
      <c r="D1144" s="40" t="n">
        <f aca="false">MAX(D1143,C1144)</f>
        <v>24493958.68</v>
      </c>
      <c r="E1144" s="41" t="n">
        <f aca="false">C1144/D1144-1</f>
        <v>-0.00750307463162581</v>
      </c>
      <c r="F1144" s="42" t="n">
        <f aca="false">YEAR(A1144)</f>
        <v>2017</v>
      </c>
    </row>
    <row r="1145" customFormat="false" ht="15" hidden="false" customHeight="false" outlineLevel="0" collapsed="false">
      <c r="A1145" s="38" t="n">
        <v>43069</v>
      </c>
      <c r="B1145" s="39" t="n">
        <v>1374.5</v>
      </c>
      <c r="C1145" s="40" t="n">
        <v>26913728.68</v>
      </c>
      <c r="D1145" s="40" t="n">
        <f aca="false">MAX(D1144,C1145)</f>
        <v>26913728.68</v>
      </c>
      <c r="E1145" s="41" t="n">
        <f aca="false">C1145/D1145-1</f>
        <v>0</v>
      </c>
      <c r="F1145" s="42" t="n">
        <f aca="false">YEAR(A1145)</f>
        <v>2017</v>
      </c>
    </row>
    <row r="1146" customFormat="false" ht="15" hidden="false" customHeight="false" outlineLevel="0" collapsed="false">
      <c r="A1146" s="38" t="n">
        <v>43070</v>
      </c>
      <c r="B1146" s="39" t="n">
        <v>1390</v>
      </c>
      <c r="C1146" s="40" t="n">
        <v>27863258.68</v>
      </c>
      <c r="D1146" s="40" t="n">
        <f aca="false">MAX(D1145,C1146)</f>
        <v>27863258.68</v>
      </c>
      <c r="E1146" s="41" t="n">
        <f aca="false">C1146/D1146-1</f>
        <v>0</v>
      </c>
      <c r="F1146" s="42" t="n">
        <f aca="false">YEAR(A1146)</f>
        <v>2017</v>
      </c>
    </row>
    <row r="1147" customFormat="false" ht="15" hidden="false" customHeight="false" outlineLevel="0" collapsed="false">
      <c r="A1147" s="38" t="n">
        <v>43073</v>
      </c>
      <c r="B1147" s="39" t="n">
        <v>1370</v>
      </c>
      <c r="C1147" s="40" t="n">
        <v>26638058.68</v>
      </c>
      <c r="D1147" s="40" t="n">
        <f aca="false">MAX(D1146,C1147)</f>
        <v>27863258.68</v>
      </c>
      <c r="E1147" s="41" t="n">
        <f aca="false">C1147/D1147-1</f>
        <v>-0.0439718847702275</v>
      </c>
      <c r="F1147" s="42" t="n">
        <f aca="false">YEAR(A1147)</f>
        <v>2017</v>
      </c>
    </row>
    <row r="1148" customFormat="false" ht="15" hidden="false" customHeight="false" outlineLevel="0" collapsed="false">
      <c r="A1148" s="38" t="n">
        <v>43074</v>
      </c>
      <c r="B1148" s="39" t="n">
        <v>1342</v>
      </c>
      <c r="C1148" s="40" t="n">
        <v>24922778.68</v>
      </c>
      <c r="D1148" s="40" t="n">
        <f aca="false">MAX(D1147,C1148)</f>
        <v>27863258.68</v>
      </c>
      <c r="E1148" s="41" t="n">
        <f aca="false">C1148/D1148-1</f>
        <v>-0.105532523448546</v>
      </c>
      <c r="F1148" s="42" t="n">
        <f aca="false">YEAR(A1148)</f>
        <v>2017</v>
      </c>
    </row>
    <row r="1149" customFormat="false" ht="15" hidden="false" customHeight="false" outlineLevel="0" collapsed="false">
      <c r="A1149" s="38" t="n">
        <v>43075</v>
      </c>
      <c r="B1149" s="39" t="n">
        <v>1352.5</v>
      </c>
      <c r="C1149" s="40" t="n">
        <v>25566008.68</v>
      </c>
      <c r="D1149" s="40" t="n">
        <f aca="false">MAX(D1148,C1149)</f>
        <v>27863258.68</v>
      </c>
      <c r="E1149" s="41" t="n">
        <f aca="false">C1149/D1149-1</f>
        <v>-0.0824472839441764</v>
      </c>
      <c r="F1149" s="42" t="n">
        <f aca="false">YEAR(A1149)</f>
        <v>2017</v>
      </c>
    </row>
    <row r="1150" customFormat="false" ht="15" hidden="false" customHeight="false" outlineLevel="0" collapsed="false">
      <c r="A1150" s="38" t="n">
        <v>43076</v>
      </c>
      <c r="B1150" s="39" t="n">
        <v>1249.5</v>
      </c>
      <c r="C1150" s="40" t="n">
        <v>19256228.68</v>
      </c>
      <c r="D1150" s="40" t="n">
        <f aca="false">MAX(D1149,C1150)</f>
        <v>27863258.68</v>
      </c>
      <c r="E1150" s="41" t="n">
        <f aca="false">C1150/D1150-1</f>
        <v>-0.308902490510848</v>
      </c>
      <c r="F1150" s="42" t="n">
        <f aca="false">YEAR(A1150)</f>
        <v>2017</v>
      </c>
    </row>
    <row r="1151" customFormat="false" ht="15" hidden="false" customHeight="false" outlineLevel="0" collapsed="false">
      <c r="A1151" s="38" t="n">
        <v>43077</v>
      </c>
      <c r="B1151" s="39" t="n">
        <v>1262</v>
      </c>
      <c r="C1151" s="40" t="n">
        <v>20021978.68</v>
      </c>
      <c r="D1151" s="40" t="n">
        <f aca="false">MAX(D1150,C1151)</f>
        <v>27863258.68</v>
      </c>
      <c r="E1151" s="41" t="n">
        <f aca="false">C1151/D1151-1</f>
        <v>-0.281420062529456</v>
      </c>
      <c r="F1151" s="42" t="n">
        <f aca="false">YEAR(A1151)</f>
        <v>2017</v>
      </c>
    </row>
    <row r="1152" customFormat="false" ht="15" hidden="false" customHeight="false" outlineLevel="0" collapsed="false">
      <c r="A1152" s="38" t="n">
        <v>43080</v>
      </c>
      <c r="B1152" s="39" t="n">
        <v>1277</v>
      </c>
      <c r="C1152" s="40" t="n">
        <v>20940878.68</v>
      </c>
      <c r="D1152" s="40" t="n">
        <f aca="false">MAX(D1151,C1152)</f>
        <v>27863258.68</v>
      </c>
      <c r="E1152" s="41" t="n">
        <f aca="false">C1152/D1152-1</f>
        <v>-0.248441148951785</v>
      </c>
      <c r="F1152" s="42" t="n">
        <f aca="false">YEAR(A1152)</f>
        <v>2017</v>
      </c>
    </row>
    <row r="1153" customFormat="false" ht="15" hidden="false" customHeight="false" outlineLevel="0" collapsed="false">
      <c r="A1153" s="38" t="n">
        <v>43081</v>
      </c>
      <c r="B1153" s="39" t="n">
        <v>1284.5</v>
      </c>
      <c r="C1153" s="40" t="n">
        <v>21400328.68</v>
      </c>
      <c r="D1153" s="40" t="n">
        <f aca="false">MAX(D1152,C1153)</f>
        <v>27863258.68</v>
      </c>
      <c r="E1153" s="41" t="n">
        <f aca="false">C1153/D1153-1</f>
        <v>-0.23195169216295</v>
      </c>
      <c r="F1153" s="42" t="n">
        <f aca="false">YEAR(A1153)</f>
        <v>2017</v>
      </c>
    </row>
    <row r="1154" customFormat="false" ht="15" hidden="false" customHeight="false" outlineLevel="0" collapsed="false">
      <c r="A1154" s="38" t="n">
        <v>43082</v>
      </c>
      <c r="B1154" s="39" t="n">
        <v>1285</v>
      </c>
      <c r="C1154" s="40" t="n">
        <v>21430958.68</v>
      </c>
      <c r="D1154" s="40" t="n">
        <f aca="false">MAX(D1153,C1154)</f>
        <v>27863258.68</v>
      </c>
      <c r="E1154" s="41" t="n">
        <f aca="false">C1154/D1154-1</f>
        <v>-0.230852395043694</v>
      </c>
      <c r="F1154" s="42" t="n">
        <f aca="false">YEAR(A1154)</f>
        <v>2017</v>
      </c>
    </row>
    <row r="1155" customFormat="false" ht="15" hidden="false" customHeight="false" outlineLevel="0" collapsed="false">
      <c r="A1155" s="38" t="n">
        <v>43083</v>
      </c>
      <c r="B1155" s="39" t="n">
        <v>1240.5</v>
      </c>
      <c r="C1155" s="40" t="n">
        <v>18704888.68</v>
      </c>
      <c r="D1155" s="40" t="n">
        <f aca="false">MAX(D1154,C1155)</f>
        <v>27863258.68</v>
      </c>
      <c r="E1155" s="41" t="n">
        <f aca="false">C1155/D1155-1</f>
        <v>-0.32868983865745</v>
      </c>
      <c r="F1155" s="42" t="n">
        <f aca="false">YEAR(A1155)</f>
        <v>2017</v>
      </c>
    </row>
    <row r="1156" customFormat="false" ht="15" hidden="false" customHeight="false" outlineLevel="0" collapsed="false">
      <c r="A1156" s="38" t="n">
        <v>43084</v>
      </c>
      <c r="B1156" s="39" t="n">
        <v>1271.5</v>
      </c>
      <c r="C1156" s="40" t="n">
        <v>20603948.68</v>
      </c>
      <c r="D1156" s="40" t="n">
        <f aca="false">MAX(D1155,C1156)</f>
        <v>27863258.68</v>
      </c>
      <c r="E1156" s="41" t="n">
        <f aca="false">C1156/D1156-1</f>
        <v>-0.260533417263598</v>
      </c>
      <c r="F1156" s="42" t="n">
        <f aca="false">YEAR(A1156)</f>
        <v>2017</v>
      </c>
    </row>
    <row r="1157" customFormat="false" ht="15" hidden="false" customHeight="false" outlineLevel="0" collapsed="false">
      <c r="A1157" s="38" t="n">
        <v>43087</v>
      </c>
      <c r="B1157" s="39" t="n">
        <v>1351</v>
      </c>
      <c r="C1157" s="40" t="n">
        <v>21178061.06</v>
      </c>
      <c r="D1157" s="40" t="n">
        <f aca="false">MAX(D1156,C1157)</f>
        <v>27863258.68</v>
      </c>
      <c r="E1157" s="41" t="n">
        <f aca="false">C1157/D1157-1</f>
        <v>-0.239928778495624</v>
      </c>
      <c r="F1157" s="42" t="n">
        <f aca="false">YEAR(A1157)</f>
        <v>2017</v>
      </c>
    </row>
    <row r="1158" customFormat="false" ht="15" hidden="false" customHeight="false" outlineLevel="0" collapsed="false">
      <c r="A1158" s="38" t="n">
        <v>43088</v>
      </c>
      <c r="B1158" s="39" t="n">
        <v>1377</v>
      </c>
      <c r="C1158" s="40" t="n">
        <v>21178061.06</v>
      </c>
      <c r="D1158" s="40" t="n">
        <f aca="false">MAX(D1157,C1158)</f>
        <v>27863258.68</v>
      </c>
      <c r="E1158" s="41" t="n">
        <f aca="false">C1158/D1158-1</f>
        <v>-0.239928778495624</v>
      </c>
      <c r="F1158" s="42" t="n">
        <f aca="false">YEAR(A1158)</f>
        <v>2017</v>
      </c>
    </row>
    <row r="1159" customFormat="false" ht="15" hidden="false" customHeight="false" outlineLevel="0" collapsed="false">
      <c r="A1159" s="38" t="n">
        <v>43089</v>
      </c>
      <c r="B1159" s="39" t="n">
        <v>1375</v>
      </c>
      <c r="C1159" s="40" t="n">
        <v>21178061.06</v>
      </c>
      <c r="D1159" s="40" t="n">
        <f aca="false">MAX(D1158,C1159)</f>
        <v>27863258.68</v>
      </c>
      <c r="E1159" s="41" t="n">
        <f aca="false">C1159/D1159-1</f>
        <v>-0.239928778495624</v>
      </c>
      <c r="F1159" s="42" t="n">
        <f aca="false">YEAR(A1159)</f>
        <v>2017</v>
      </c>
    </row>
    <row r="1160" customFormat="false" ht="15" hidden="false" customHeight="false" outlineLevel="0" collapsed="false">
      <c r="A1160" s="38" t="n">
        <v>43090</v>
      </c>
      <c r="B1160" s="39" t="n">
        <v>1371</v>
      </c>
      <c r="C1160" s="40" t="n">
        <v>21178061.06</v>
      </c>
      <c r="D1160" s="40" t="n">
        <f aca="false">MAX(D1159,C1160)</f>
        <v>27863258.68</v>
      </c>
      <c r="E1160" s="41" t="n">
        <f aca="false">C1160/D1160-1</f>
        <v>-0.239928778495624</v>
      </c>
      <c r="F1160" s="42" t="n">
        <f aca="false">YEAR(A1160)</f>
        <v>2017</v>
      </c>
    </row>
    <row r="1161" customFormat="false" ht="15" hidden="false" customHeight="false" outlineLevel="0" collapsed="false">
      <c r="A1161" s="38" t="n">
        <v>43091</v>
      </c>
      <c r="B1161" s="39" t="n">
        <v>1388.5</v>
      </c>
      <c r="C1161" s="40" t="n">
        <v>21178061.06</v>
      </c>
      <c r="D1161" s="40" t="n">
        <f aca="false">MAX(D1160,C1161)</f>
        <v>27863258.68</v>
      </c>
      <c r="E1161" s="41" t="n">
        <f aca="false">C1161/D1161-1</f>
        <v>-0.239928778495624</v>
      </c>
      <c r="F1161" s="42" t="n">
        <f aca="false">YEAR(A1161)</f>
        <v>2017</v>
      </c>
    </row>
    <row r="1162" customFormat="false" ht="15" hidden="false" customHeight="false" outlineLevel="0" collapsed="false">
      <c r="A1162" s="38" t="n">
        <v>43094</v>
      </c>
      <c r="B1162" s="39" t="n">
        <v>1314.5</v>
      </c>
      <c r="C1162" s="40" t="n">
        <v>21178061.06</v>
      </c>
      <c r="D1162" s="40" t="n">
        <f aca="false">MAX(D1161,C1162)</f>
        <v>27863258.68</v>
      </c>
      <c r="E1162" s="41" t="n">
        <f aca="false">C1162/D1162-1</f>
        <v>-0.239928778495624</v>
      </c>
      <c r="F1162" s="42" t="n">
        <f aca="false">YEAR(A1162)</f>
        <v>2017</v>
      </c>
    </row>
    <row r="1163" customFormat="false" ht="15" hidden="false" customHeight="false" outlineLevel="0" collapsed="false">
      <c r="A1163" s="38" t="n">
        <v>43095</v>
      </c>
      <c r="B1163" s="39" t="n">
        <v>1324.5</v>
      </c>
      <c r="C1163" s="40" t="n">
        <v>21178061.06</v>
      </c>
      <c r="D1163" s="40" t="n">
        <f aca="false">MAX(D1162,C1163)</f>
        <v>27863258.68</v>
      </c>
      <c r="E1163" s="41" t="n">
        <f aca="false">C1163/D1163-1</f>
        <v>-0.239928778495624</v>
      </c>
      <c r="F1163" s="42" t="n">
        <f aca="false">YEAR(A1163)</f>
        <v>2017</v>
      </c>
    </row>
    <row r="1164" customFormat="false" ht="15" hidden="false" customHeight="false" outlineLevel="0" collapsed="false">
      <c r="A1164" s="38" t="n">
        <v>43096</v>
      </c>
      <c r="B1164" s="39" t="n">
        <v>1292.5</v>
      </c>
      <c r="C1164" s="40" t="n">
        <v>21178061.06</v>
      </c>
      <c r="D1164" s="40" t="n">
        <f aca="false">MAX(D1163,C1164)</f>
        <v>27863258.68</v>
      </c>
      <c r="E1164" s="41" t="n">
        <f aca="false">C1164/D1164-1</f>
        <v>-0.239928778495624</v>
      </c>
      <c r="F1164" s="42" t="n">
        <f aca="false">YEAR(A1164)</f>
        <v>2017</v>
      </c>
    </row>
    <row r="1165" customFormat="false" ht="15" hidden="false" customHeight="false" outlineLevel="0" collapsed="false">
      <c r="A1165" s="38" t="n">
        <v>43097</v>
      </c>
      <c r="B1165" s="39" t="n">
        <v>1301</v>
      </c>
      <c r="C1165" s="40" t="n">
        <v>20348432.9</v>
      </c>
      <c r="D1165" s="40" t="n">
        <f aca="false">MAX(D1164,C1165)</f>
        <v>27863258.68</v>
      </c>
      <c r="E1165" s="41" t="n">
        <f aca="false">C1165/D1165-1</f>
        <v>-0.269703765317087</v>
      </c>
      <c r="F1165" s="42" t="n">
        <f aca="false">YEAR(A1165)</f>
        <v>2017</v>
      </c>
    </row>
    <row r="1166" customFormat="false" ht="15" hidden="false" customHeight="false" outlineLevel="0" collapsed="false">
      <c r="A1166" s="38" t="n">
        <v>43098</v>
      </c>
      <c r="B1166" s="39" t="n">
        <v>1312.5</v>
      </c>
      <c r="C1166" s="40" t="n">
        <v>19561832.9</v>
      </c>
      <c r="D1166" s="40" t="n">
        <f aca="false">MAX(D1165,C1166)</f>
        <v>27863258.68</v>
      </c>
      <c r="E1166" s="41" t="n">
        <f aca="false">C1166/D1166-1</f>
        <v>-0.297934490553996</v>
      </c>
      <c r="F1166" s="42" t="n">
        <f aca="false">YEAR(A1166)</f>
        <v>2017</v>
      </c>
    </row>
    <row r="1167" customFormat="false" ht="15" hidden="false" customHeight="false" outlineLevel="0" collapsed="false">
      <c r="A1167" s="38" t="n">
        <v>43102</v>
      </c>
      <c r="B1167" s="39" t="n">
        <v>1336.5</v>
      </c>
      <c r="C1167" s="40" t="n">
        <v>17920232.9</v>
      </c>
      <c r="D1167" s="40" t="n">
        <f aca="false">MAX(D1166,C1167)</f>
        <v>27863258.68</v>
      </c>
      <c r="E1167" s="41" t="n">
        <f aca="false">C1167/D1167-1</f>
        <v>-0.356850786700589</v>
      </c>
      <c r="F1167" s="42" t="n">
        <f aca="false">YEAR(A1167)</f>
        <v>2018</v>
      </c>
    </row>
    <row r="1168" customFormat="false" ht="15" hidden="false" customHeight="false" outlineLevel="0" collapsed="false">
      <c r="A1168" s="38" t="n">
        <v>43103</v>
      </c>
      <c r="B1168" s="39" t="n">
        <v>1350.5</v>
      </c>
      <c r="C1168" s="40" t="n">
        <v>16962632.9</v>
      </c>
      <c r="D1168" s="40" t="n">
        <f aca="false">MAX(D1167,C1168)</f>
        <v>27863258.68</v>
      </c>
      <c r="E1168" s="41" t="n">
        <f aca="false">C1168/D1168-1</f>
        <v>-0.391218626119434</v>
      </c>
      <c r="F1168" s="42" t="n">
        <f aca="false">YEAR(A1168)</f>
        <v>2018</v>
      </c>
    </row>
    <row r="1169" customFormat="false" ht="15" hidden="false" customHeight="false" outlineLevel="0" collapsed="false">
      <c r="A1169" s="38" t="n">
        <v>43104</v>
      </c>
      <c r="B1169" s="39" t="n">
        <v>1365.5</v>
      </c>
      <c r="C1169" s="40" t="n">
        <v>15936632.9</v>
      </c>
      <c r="D1169" s="40" t="n">
        <f aca="false">MAX(D1168,C1169)</f>
        <v>27863258.68</v>
      </c>
      <c r="E1169" s="41" t="n">
        <f aca="false">C1169/D1169-1</f>
        <v>-0.428041311211055</v>
      </c>
      <c r="F1169" s="42" t="n">
        <f aca="false">YEAR(A1169)</f>
        <v>2018</v>
      </c>
    </row>
    <row r="1170" customFormat="false" ht="15" hidden="false" customHeight="false" outlineLevel="0" collapsed="false">
      <c r="A1170" s="38" t="n">
        <v>43105</v>
      </c>
      <c r="B1170" s="39" t="n">
        <v>1358.5</v>
      </c>
      <c r="C1170" s="40" t="n">
        <v>16415432.9</v>
      </c>
      <c r="D1170" s="40" t="n">
        <f aca="false">MAX(D1169,C1170)</f>
        <v>27863258.68</v>
      </c>
      <c r="E1170" s="41" t="n">
        <f aca="false">C1170/D1170-1</f>
        <v>-0.410857391501632</v>
      </c>
      <c r="F1170" s="42" t="n">
        <f aca="false">YEAR(A1170)</f>
        <v>2018</v>
      </c>
    </row>
    <row r="1171" customFormat="false" ht="15" hidden="false" customHeight="false" outlineLevel="0" collapsed="false">
      <c r="A1171" s="38" t="n">
        <v>43108</v>
      </c>
      <c r="B1171" s="39" t="n">
        <v>1388.5</v>
      </c>
      <c r="C1171" s="40" t="n">
        <v>14363432.9</v>
      </c>
      <c r="D1171" s="40" t="n">
        <f aca="false">MAX(D1170,C1171)</f>
        <v>27863258.68</v>
      </c>
      <c r="E1171" s="41" t="n">
        <f aca="false">C1171/D1171-1</f>
        <v>-0.484502761684873</v>
      </c>
      <c r="F1171" s="42" t="n">
        <f aca="false">YEAR(A1171)</f>
        <v>2018</v>
      </c>
    </row>
    <row r="1172" customFormat="false" ht="15" hidden="false" customHeight="false" outlineLevel="0" collapsed="false">
      <c r="A1172" s="38" t="n">
        <v>43109</v>
      </c>
      <c r="B1172" s="39" t="n">
        <v>1382.5</v>
      </c>
      <c r="C1172" s="40" t="n">
        <v>14773832.9</v>
      </c>
      <c r="D1172" s="40" t="n">
        <f aca="false">MAX(D1171,C1172)</f>
        <v>27863258.68</v>
      </c>
      <c r="E1172" s="41" t="n">
        <f aca="false">C1172/D1172-1</f>
        <v>-0.469773687648224</v>
      </c>
      <c r="F1172" s="42" t="n">
        <f aca="false">YEAR(A1172)</f>
        <v>2018</v>
      </c>
    </row>
    <row r="1173" customFormat="false" ht="15" hidden="false" customHeight="false" outlineLevel="0" collapsed="false">
      <c r="A1173" s="38" t="n">
        <v>43110</v>
      </c>
      <c r="B1173" s="39" t="n">
        <v>1355.5</v>
      </c>
      <c r="C1173" s="40" t="n">
        <v>16620632.9</v>
      </c>
      <c r="D1173" s="40" t="n">
        <f aca="false">MAX(D1172,C1173)</f>
        <v>27863258.68</v>
      </c>
      <c r="E1173" s="41" t="n">
        <f aca="false">C1173/D1173-1</f>
        <v>-0.403492854483308</v>
      </c>
      <c r="F1173" s="42" t="n">
        <f aca="false">YEAR(A1173)</f>
        <v>2018</v>
      </c>
    </row>
    <row r="1174" customFormat="false" ht="15" hidden="false" customHeight="false" outlineLevel="0" collapsed="false">
      <c r="A1174" s="38" t="n">
        <v>43111</v>
      </c>
      <c r="B1174" s="39" t="n">
        <v>1375.5</v>
      </c>
      <c r="C1174" s="40" t="n">
        <v>15252632.9</v>
      </c>
      <c r="D1174" s="40" t="n">
        <f aca="false">MAX(D1173,C1174)</f>
        <v>27863258.68</v>
      </c>
      <c r="E1174" s="41" t="n">
        <f aca="false">C1174/D1174-1</f>
        <v>-0.452589767938802</v>
      </c>
      <c r="F1174" s="42" t="n">
        <f aca="false">YEAR(A1174)</f>
        <v>2018</v>
      </c>
    </row>
    <row r="1175" customFormat="false" ht="15" hidden="false" customHeight="false" outlineLevel="0" collapsed="false">
      <c r="A1175" s="38" t="n">
        <v>43112</v>
      </c>
      <c r="B1175" s="39" t="n">
        <v>1344</v>
      </c>
      <c r="C1175" s="40" t="n">
        <v>17407232.9</v>
      </c>
      <c r="D1175" s="40" t="n">
        <f aca="false">MAX(D1174,C1175)</f>
        <v>27863258.68</v>
      </c>
      <c r="E1175" s="41" t="n">
        <f aca="false">C1175/D1175-1</f>
        <v>-0.375262129246399</v>
      </c>
      <c r="F1175" s="42" t="n">
        <f aca="false">YEAR(A1175)</f>
        <v>2018</v>
      </c>
    </row>
    <row r="1176" customFormat="false" ht="15" hidden="false" customHeight="false" outlineLevel="0" collapsed="false">
      <c r="A1176" s="38" t="n">
        <v>43115</v>
      </c>
      <c r="B1176" s="39" t="n">
        <v>1326</v>
      </c>
      <c r="C1176" s="40" t="n">
        <v>18638432.9</v>
      </c>
      <c r="D1176" s="40" t="n">
        <f aca="false">MAX(D1175,C1176)</f>
        <v>27863258.68</v>
      </c>
      <c r="E1176" s="41" t="n">
        <f aca="false">C1176/D1176-1</f>
        <v>-0.331074907136454</v>
      </c>
      <c r="F1176" s="42" t="n">
        <f aca="false">YEAR(A1176)</f>
        <v>2018</v>
      </c>
    </row>
    <row r="1177" customFormat="false" ht="15" hidden="false" customHeight="false" outlineLevel="0" collapsed="false">
      <c r="A1177" s="38" t="n">
        <v>43116</v>
      </c>
      <c r="B1177" s="39" t="n">
        <v>1277</v>
      </c>
      <c r="C1177" s="40" t="n">
        <v>21990032.9</v>
      </c>
      <c r="D1177" s="40" t="n">
        <f aca="false">MAX(D1176,C1177)</f>
        <v>27863258.68</v>
      </c>
      <c r="E1177" s="41" t="n">
        <f aca="false">C1177/D1177-1</f>
        <v>-0.210787469170494</v>
      </c>
      <c r="F1177" s="42" t="n">
        <f aca="false">YEAR(A1177)</f>
        <v>2018</v>
      </c>
    </row>
    <row r="1178" customFormat="false" ht="15" hidden="false" customHeight="false" outlineLevel="0" collapsed="false">
      <c r="A1178" s="38" t="n">
        <v>43117</v>
      </c>
      <c r="B1178" s="39" t="n">
        <v>1283</v>
      </c>
      <c r="C1178" s="40" t="n">
        <v>21579632.9</v>
      </c>
      <c r="D1178" s="40" t="n">
        <f aca="false">MAX(D1177,C1178)</f>
        <v>27863258.68</v>
      </c>
      <c r="E1178" s="41" t="n">
        <f aca="false">C1178/D1178-1</f>
        <v>-0.225516543207142</v>
      </c>
      <c r="F1178" s="42" t="n">
        <f aca="false">YEAR(A1178)</f>
        <v>2018</v>
      </c>
    </row>
    <row r="1179" customFormat="false" ht="15" hidden="false" customHeight="false" outlineLevel="0" collapsed="false">
      <c r="A1179" s="38" t="n">
        <v>43118</v>
      </c>
      <c r="B1179" s="39" t="n">
        <v>1275</v>
      </c>
      <c r="C1179" s="40" t="n">
        <v>22126832.9</v>
      </c>
      <c r="D1179" s="40" t="n">
        <f aca="false">MAX(D1178,C1179)</f>
        <v>27863258.68</v>
      </c>
      <c r="E1179" s="41" t="n">
        <f aca="false">C1179/D1179-1</f>
        <v>-0.205877777824945</v>
      </c>
      <c r="F1179" s="42" t="n">
        <f aca="false">YEAR(A1179)</f>
        <v>2018</v>
      </c>
    </row>
    <row r="1180" customFormat="false" ht="15" hidden="false" customHeight="false" outlineLevel="0" collapsed="false">
      <c r="A1180" s="38" t="n">
        <v>43119</v>
      </c>
      <c r="B1180" s="39" t="n">
        <v>1287</v>
      </c>
      <c r="C1180" s="40" t="n">
        <v>21306032.9</v>
      </c>
      <c r="D1180" s="40" t="n">
        <f aca="false">MAX(D1179,C1180)</f>
        <v>27863258.68</v>
      </c>
      <c r="E1180" s="41" t="n">
        <f aca="false">C1180/D1180-1</f>
        <v>-0.235335925898241</v>
      </c>
      <c r="F1180" s="42" t="n">
        <f aca="false">YEAR(A1180)</f>
        <v>2018</v>
      </c>
    </row>
    <row r="1181" customFormat="false" ht="15" hidden="false" customHeight="false" outlineLevel="0" collapsed="false">
      <c r="A1181" s="38" t="n">
        <v>43122</v>
      </c>
      <c r="B1181" s="39" t="n">
        <v>1271</v>
      </c>
      <c r="C1181" s="40" t="n">
        <v>22400432.9</v>
      </c>
      <c r="D1181" s="40" t="n">
        <f aca="false">MAX(D1180,C1181)</f>
        <v>27863258.68</v>
      </c>
      <c r="E1181" s="41" t="n">
        <f aca="false">C1181/D1181-1</f>
        <v>-0.196058395133846</v>
      </c>
      <c r="F1181" s="42" t="n">
        <f aca="false">YEAR(A1181)</f>
        <v>2018</v>
      </c>
    </row>
    <row r="1182" customFormat="false" ht="15" hidden="false" customHeight="false" outlineLevel="0" collapsed="false">
      <c r="A1182" s="38" t="n">
        <v>43123</v>
      </c>
      <c r="B1182" s="39" t="n">
        <v>1283.5</v>
      </c>
      <c r="C1182" s="40" t="n">
        <v>21545432.9</v>
      </c>
      <c r="D1182" s="40" t="n">
        <f aca="false">MAX(D1181,C1182)</f>
        <v>27863258.68</v>
      </c>
      <c r="E1182" s="41" t="n">
        <f aca="false">C1182/D1182-1</f>
        <v>-0.22674396604353</v>
      </c>
      <c r="F1182" s="42" t="n">
        <f aca="false">YEAR(A1182)</f>
        <v>2018</v>
      </c>
    </row>
    <row r="1183" customFormat="false" ht="15" hidden="false" customHeight="false" outlineLevel="0" collapsed="false">
      <c r="A1183" s="38" t="n">
        <v>43124</v>
      </c>
      <c r="B1183" s="39" t="n">
        <v>1288</v>
      </c>
      <c r="C1183" s="40" t="n">
        <v>21237632.9</v>
      </c>
      <c r="D1183" s="40" t="n">
        <f aca="false">MAX(D1182,C1183)</f>
        <v>27863258.68</v>
      </c>
      <c r="E1183" s="41" t="n">
        <f aca="false">C1183/D1183-1</f>
        <v>-0.237790771571016</v>
      </c>
      <c r="F1183" s="42" t="n">
        <f aca="false">YEAR(A1183)</f>
        <v>2018</v>
      </c>
    </row>
    <row r="1184" customFormat="false" ht="15" hidden="false" customHeight="false" outlineLevel="0" collapsed="false">
      <c r="A1184" s="38" t="n">
        <v>43125</v>
      </c>
      <c r="B1184" s="39" t="n">
        <v>1318</v>
      </c>
      <c r="C1184" s="40" t="n">
        <v>19185632.9</v>
      </c>
      <c r="D1184" s="40" t="n">
        <f aca="false">MAX(D1183,C1184)</f>
        <v>27863258.68</v>
      </c>
      <c r="E1184" s="41" t="n">
        <f aca="false">C1184/D1184-1</f>
        <v>-0.311436141754257</v>
      </c>
      <c r="F1184" s="42" t="n">
        <f aca="false">YEAR(A1184)</f>
        <v>2018</v>
      </c>
    </row>
    <row r="1185" customFormat="false" ht="15" hidden="false" customHeight="false" outlineLevel="0" collapsed="false">
      <c r="A1185" s="38" t="n">
        <v>43126</v>
      </c>
      <c r="B1185" s="39" t="n">
        <v>1300</v>
      </c>
      <c r="C1185" s="40" t="n">
        <v>20416832.9</v>
      </c>
      <c r="D1185" s="40" t="n">
        <f aca="false">MAX(D1184,C1185)</f>
        <v>27863258.68</v>
      </c>
      <c r="E1185" s="41" t="n">
        <f aca="false">C1185/D1185-1</f>
        <v>-0.267248919644312</v>
      </c>
      <c r="F1185" s="42" t="n">
        <f aca="false">YEAR(A1185)</f>
        <v>2018</v>
      </c>
    </row>
    <row r="1186" customFormat="false" ht="15" hidden="false" customHeight="false" outlineLevel="0" collapsed="false">
      <c r="A1186" s="38" t="n">
        <v>43129</v>
      </c>
      <c r="B1186" s="39" t="n">
        <v>1286</v>
      </c>
      <c r="C1186" s="40" t="n">
        <v>21374432.9</v>
      </c>
      <c r="D1186" s="40" t="n">
        <f aca="false">MAX(D1185,C1186)</f>
        <v>27863258.68</v>
      </c>
      <c r="E1186" s="41" t="n">
        <f aca="false">C1186/D1186-1</f>
        <v>-0.232881080225466</v>
      </c>
      <c r="F1186" s="42" t="n">
        <f aca="false">YEAR(A1186)</f>
        <v>2018</v>
      </c>
    </row>
    <row r="1187" customFormat="false" ht="15" hidden="false" customHeight="false" outlineLevel="0" collapsed="false">
      <c r="A1187" s="38" t="n">
        <v>43130</v>
      </c>
      <c r="B1187" s="39" t="n">
        <v>1294</v>
      </c>
      <c r="C1187" s="40" t="n">
        <v>20827232.9</v>
      </c>
      <c r="D1187" s="40" t="n">
        <f aca="false">MAX(D1186,C1187)</f>
        <v>27863258.68</v>
      </c>
      <c r="E1187" s="41" t="n">
        <f aca="false">C1187/D1187-1</f>
        <v>-0.252519845607664</v>
      </c>
      <c r="F1187" s="42" t="n">
        <f aca="false">YEAR(A1187)</f>
        <v>2018</v>
      </c>
    </row>
    <row r="1188" customFormat="false" ht="15" hidden="false" customHeight="false" outlineLevel="0" collapsed="false">
      <c r="A1188" s="38" t="n">
        <v>43131</v>
      </c>
      <c r="B1188" s="39" t="n">
        <v>1292.5</v>
      </c>
      <c r="C1188" s="40" t="n">
        <v>20929832.9</v>
      </c>
      <c r="D1188" s="40" t="n">
        <f aca="false">MAX(D1187,C1188)</f>
        <v>27863258.68</v>
      </c>
      <c r="E1188" s="41" t="n">
        <f aca="false">C1188/D1188-1</f>
        <v>-0.248837577098502</v>
      </c>
      <c r="F1188" s="42" t="n">
        <f aca="false">YEAR(A1188)</f>
        <v>2018</v>
      </c>
    </row>
    <row r="1189" customFormat="false" ht="15" hidden="false" customHeight="false" outlineLevel="0" collapsed="false">
      <c r="A1189" s="38" t="n">
        <v>43132</v>
      </c>
      <c r="B1189" s="39" t="n">
        <v>1288</v>
      </c>
      <c r="C1189" s="40" t="n">
        <v>21237632.9</v>
      </c>
      <c r="D1189" s="40" t="n">
        <f aca="false">MAX(D1188,C1189)</f>
        <v>27863258.68</v>
      </c>
      <c r="E1189" s="41" t="n">
        <f aca="false">C1189/D1189-1</f>
        <v>-0.237790771571016</v>
      </c>
      <c r="F1189" s="42" t="n">
        <f aca="false">YEAR(A1189)</f>
        <v>2018</v>
      </c>
    </row>
    <row r="1190" customFormat="false" ht="15" hidden="false" customHeight="false" outlineLevel="0" collapsed="false">
      <c r="A1190" s="38" t="n">
        <v>43133</v>
      </c>
      <c r="B1190" s="39" t="n">
        <v>1329.5</v>
      </c>
      <c r="C1190" s="40" t="n">
        <v>18399032.9</v>
      </c>
      <c r="D1190" s="40" t="n">
        <f aca="false">MAX(D1189,C1190)</f>
        <v>27863258.68</v>
      </c>
      <c r="E1190" s="41" t="n">
        <f aca="false">C1190/D1190-1</f>
        <v>-0.339666866991166</v>
      </c>
      <c r="F1190" s="42" t="n">
        <f aca="false">YEAR(A1190)</f>
        <v>2018</v>
      </c>
    </row>
    <row r="1191" customFormat="false" ht="15" hidden="false" customHeight="false" outlineLevel="0" collapsed="false">
      <c r="A1191" s="38" t="n">
        <v>43136</v>
      </c>
      <c r="B1191" s="39" t="n">
        <v>1365.5</v>
      </c>
      <c r="C1191" s="40" t="n">
        <v>15936632.9</v>
      </c>
      <c r="D1191" s="40" t="n">
        <f aca="false">MAX(D1190,C1191)</f>
        <v>27863258.68</v>
      </c>
      <c r="E1191" s="41" t="n">
        <f aca="false">C1191/D1191-1</f>
        <v>-0.428041311211055</v>
      </c>
      <c r="F1191" s="42" t="n">
        <f aca="false">YEAR(A1191)</f>
        <v>2018</v>
      </c>
    </row>
    <row r="1192" customFormat="false" ht="15" hidden="false" customHeight="false" outlineLevel="0" collapsed="false">
      <c r="A1192" s="38" t="n">
        <v>43137</v>
      </c>
      <c r="B1192" s="39" t="n">
        <v>1355</v>
      </c>
      <c r="C1192" s="40" t="n">
        <v>16654832.9</v>
      </c>
      <c r="D1192" s="40" t="n">
        <f aca="false">MAX(D1191,C1192)</f>
        <v>27863258.68</v>
      </c>
      <c r="E1192" s="41" t="n">
        <f aca="false">C1192/D1192-1</f>
        <v>-0.40226543164692</v>
      </c>
      <c r="F1192" s="42" t="n">
        <f aca="false">YEAR(A1192)</f>
        <v>2018</v>
      </c>
    </row>
    <row r="1193" customFormat="false" ht="15" hidden="false" customHeight="false" outlineLevel="0" collapsed="false">
      <c r="A1193" s="38" t="n">
        <v>43138</v>
      </c>
      <c r="B1193" s="39" t="n">
        <v>1364</v>
      </c>
      <c r="C1193" s="40" t="n">
        <v>16039232.9</v>
      </c>
      <c r="D1193" s="40" t="n">
        <f aca="false">MAX(D1192,C1193)</f>
        <v>27863258.68</v>
      </c>
      <c r="E1193" s="41" t="n">
        <f aca="false">C1193/D1193-1</f>
        <v>-0.424359042701893</v>
      </c>
      <c r="F1193" s="42" t="n">
        <f aca="false">YEAR(A1193)</f>
        <v>2018</v>
      </c>
    </row>
    <row r="1194" customFormat="false" ht="15" hidden="false" customHeight="false" outlineLevel="0" collapsed="false">
      <c r="A1194" s="38" t="n">
        <v>43139</v>
      </c>
      <c r="B1194" s="39" t="n">
        <v>1360.5</v>
      </c>
      <c r="C1194" s="40" t="n">
        <v>16278632.9</v>
      </c>
      <c r="D1194" s="40" t="n">
        <f aca="false">MAX(D1193,C1194)</f>
        <v>27863258.68</v>
      </c>
      <c r="E1194" s="41" t="n">
        <f aca="false">C1194/D1194-1</f>
        <v>-0.415767082847181</v>
      </c>
      <c r="F1194" s="42" t="n">
        <f aca="false">YEAR(A1194)</f>
        <v>2018</v>
      </c>
    </row>
    <row r="1195" customFormat="false" ht="15" hidden="false" customHeight="false" outlineLevel="0" collapsed="false">
      <c r="A1195" s="38" t="n">
        <v>43140</v>
      </c>
      <c r="B1195" s="39" t="n">
        <v>1352</v>
      </c>
      <c r="C1195" s="40" t="n">
        <v>16860032.9</v>
      </c>
      <c r="D1195" s="40" t="n">
        <f aca="false">MAX(D1194,C1195)</f>
        <v>27863258.68</v>
      </c>
      <c r="E1195" s="41" t="n">
        <f aca="false">C1195/D1195-1</f>
        <v>-0.394900894628596</v>
      </c>
      <c r="F1195" s="42" t="n">
        <f aca="false">YEAR(A1195)</f>
        <v>2018</v>
      </c>
    </row>
    <row r="1196" customFormat="false" ht="15" hidden="false" customHeight="false" outlineLevel="0" collapsed="false">
      <c r="A1196" s="38" t="n">
        <v>43143</v>
      </c>
      <c r="B1196" s="39" t="n">
        <v>1359.5</v>
      </c>
      <c r="C1196" s="40" t="n">
        <v>16347032.9</v>
      </c>
      <c r="D1196" s="40" t="n">
        <f aca="false">MAX(D1195,C1196)</f>
        <v>27863258.68</v>
      </c>
      <c r="E1196" s="41" t="n">
        <f aca="false">C1196/D1196-1</f>
        <v>-0.413312237174406</v>
      </c>
      <c r="F1196" s="42" t="n">
        <f aca="false">YEAR(A1196)</f>
        <v>2018</v>
      </c>
    </row>
    <row r="1197" customFormat="false" ht="15" hidden="false" customHeight="false" outlineLevel="0" collapsed="false">
      <c r="A1197" s="38" t="n">
        <v>43144</v>
      </c>
      <c r="B1197" s="39" t="n">
        <v>1359.5</v>
      </c>
      <c r="C1197" s="40" t="n">
        <v>16347032.9</v>
      </c>
      <c r="D1197" s="40" t="n">
        <f aca="false">MAX(D1196,C1197)</f>
        <v>27863258.68</v>
      </c>
      <c r="E1197" s="41" t="n">
        <f aca="false">C1197/D1197-1</f>
        <v>-0.413312237174406</v>
      </c>
      <c r="F1197" s="42" t="n">
        <f aca="false">YEAR(A1197)</f>
        <v>2018</v>
      </c>
    </row>
    <row r="1198" customFormat="false" ht="15" hidden="false" customHeight="false" outlineLevel="0" collapsed="false">
      <c r="A1198" s="38" t="n">
        <v>43145</v>
      </c>
      <c r="B1198" s="39" t="n">
        <v>1368.5</v>
      </c>
      <c r="C1198" s="40" t="n">
        <v>15731432.9</v>
      </c>
      <c r="D1198" s="40" t="n">
        <f aca="false">MAX(D1197,C1198)</f>
        <v>27863258.68</v>
      </c>
      <c r="E1198" s="41" t="n">
        <f aca="false">C1198/D1198-1</f>
        <v>-0.435405848229379</v>
      </c>
      <c r="F1198" s="42" t="n">
        <f aca="false">YEAR(A1198)</f>
        <v>2018</v>
      </c>
    </row>
    <row r="1199" customFormat="false" ht="15" hidden="false" customHeight="false" outlineLevel="0" collapsed="false">
      <c r="A1199" s="38" t="n">
        <v>43153</v>
      </c>
      <c r="B1199" s="39" t="n">
        <v>1373</v>
      </c>
      <c r="C1199" s="40" t="n">
        <v>15423632.9</v>
      </c>
      <c r="D1199" s="40" t="n">
        <f aca="false">MAX(D1198,C1199)</f>
        <v>27863258.68</v>
      </c>
      <c r="E1199" s="41" t="n">
        <f aca="false">C1199/D1199-1</f>
        <v>-0.446452653756865</v>
      </c>
      <c r="F1199" s="42" t="n">
        <f aca="false">YEAR(A1199)</f>
        <v>2018</v>
      </c>
    </row>
    <row r="1200" customFormat="false" ht="15" hidden="false" customHeight="false" outlineLevel="0" collapsed="false">
      <c r="A1200" s="38" t="n">
        <v>43154</v>
      </c>
      <c r="B1200" s="39" t="n">
        <v>1393</v>
      </c>
      <c r="C1200" s="40" t="n">
        <v>15414230.18</v>
      </c>
      <c r="D1200" s="40" t="n">
        <f aca="false">MAX(D1199,C1200)</f>
        <v>27863258.68</v>
      </c>
      <c r="E1200" s="41" t="n">
        <f aca="false">C1200/D1200-1</f>
        <v>-0.446790113208682</v>
      </c>
      <c r="F1200" s="42" t="n">
        <f aca="false">YEAR(A1200)</f>
        <v>2018</v>
      </c>
    </row>
    <row r="1201" customFormat="false" ht="15" hidden="false" customHeight="false" outlineLevel="0" collapsed="false">
      <c r="A1201" s="38" t="n">
        <v>43157</v>
      </c>
      <c r="B1201" s="39" t="n">
        <v>1405.5</v>
      </c>
      <c r="C1201" s="40" t="n">
        <v>15414230.18</v>
      </c>
      <c r="D1201" s="40" t="n">
        <f aca="false">MAX(D1200,C1201)</f>
        <v>27863258.68</v>
      </c>
      <c r="E1201" s="41" t="n">
        <f aca="false">C1201/D1201-1</f>
        <v>-0.446790113208682</v>
      </c>
      <c r="F1201" s="42" t="n">
        <f aca="false">YEAR(A1201)</f>
        <v>2018</v>
      </c>
    </row>
    <row r="1202" customFormat="false" ht="15" hidden="false" customHeight="false" outlineLevel="0" collapsed="false">
      <c r="A1202" s="38" t="n">
        <v>43158</v>
      </c>
      <c r="B1202" s="39" t="n">
        <v>1420</v>
      </c>
      <c r="C1202" s="40" t="n">
        <v>15414230.18</v>
      </c>
      <c r="D1202" s="40" t="n">
        <f aca="false">MAX(D1201,C1202)</f>
        <v>27863258.68</v>
      </c>
      <c r="E1202" s="41" t="n">
        <f aca="false">C1202/D1202-1</f>
        <v>-0.446790113208682</v>
      </c>
      <c r="F1202" s="42" t="n">
        <f aca="false">YEAR(A1202)</f>
        <v>2018</v>
      </c>
    </row>
    <row r="1203" customFormat="false" ht="15" hidden="false" customHeight="false" outlineLevel="0" collapsed="false">
      <c r="A1203" s="38" t="n">
        <v>43159</v>
      </c>
      <c r="B1203" s="39" t="n">
        <v>1405</v>
      </c>
      <c r="C1203" s="40" t="n">
        <v>15414230.18</v>
      </c>
      <c r="D1203" s="40" t="n">
        <f aca="false">MAX(D1202,C1203)</f>
        <v>27863258.68</v>
      </c>
      <c r="E1203" s="41" t="n">
        <f aca="false">C1203/D1203-1</f>
        <v>-0.446790113208682</v>
      </c>
      <c r="F1203" s="42" t="n">
        <f aca="false">YEAR(A1203)</f>
        <v>2018</v>
      </c>
    </row>
    <row r="1204" customFormat="false" ht="15" hidden="false" customHeight="false" outlineLevel="0" collapsed="false">
      <c r="A1204" s="38" t="n">
        <v>43160</v>
      </c>
      <c r="B1204" s="39" t="n">
        <v>1394</v>
      </c>
      <c r="C1204" s="40" t="n">
        <v>15414230.18</v>
      </c>
      <c r="D1204" s="40" t="n">
        <f aca="false">MAX(D1203,C1204)</f>
        <v>27863258.68</v>
      </c>
      <c r="E1204" s="41" t="n">
        <f aca="false">C1204/D1204-1</f>
        <v>-0.446790113208682</v>
      </c>
      <c r="F1204" s="42" t="n">
        <f aca="false">YEAR(A1204)</f>
        <v>2018</v>
      </c>
    </row>
    <row r="1205" customFormat="false" ht="15" hidden="false" customHeight="false" outlineLevel="0" collapsed="false">
      <c r="A1205" s="38" t="n">
        <v>43161</v>
      </c>
      <c r="B1205" s="39" t="n">
        <v>1386.5</v>
      </c>
      <c r="C1205" s="40" t="n">
        <v>15414230.18</v>
      </c>
      <c r="D1205" s="40" t="n">
        <f aca="false">MAX(D1204,C1205)</f>
        <v>27863258.68</v>
      </c>
      <c r="E1205" s="41" t="n">
        <f aca="false">C1205/D1205-1</f>
        <v>-0.446790113208682</v>
      </c>
      <c r="F1205" s="42" t="n">
        <f aca="false">YEAR(A1205)</f>
        <v>2018</v>
      </c>
    </row>
    <row r="1206" customFormat="false" ht="15" hidden="false" customHeight="false" outlineLevel="0" collapsed="false">
      <c r="A1206" s="38" t="n">
        <v>43164</v>
      </c>
      <c r="B1206" s="39" t="n">
        <v>1366.5</v>
      </c>
      <c r="C1206" s="40" t="n">
        <v>15414230.18</v>
      </c>
      <c r="D1206" s="40" t="n">
        <f aca="false">MAX(D1205,C1206)</f>
        <v>27863258.68</v>
      </c>
      <c r="E1206" s="41" t="n">
        <f aca="false">C1206/D1206-1</f>
        <v>-0.446790113208682</v>
      </c>
      <c r="F1206" s="42" t="n">
        <f aca="false">YEAR(A1206)</f>
        <v>2018</v>
      </c>
    </row>
    <row r="1207" customFormat="false" ht="15" hidden="false" customHeight="false" outlineLevel="0" collapsed="false">
      <c r="A1207" s="38" t="n">
        <v>43165</v>
      </c>
      <c r="B1207" s="39" t="n">
        <v>1370</v>
      </c>
      <c r="C1207" s="40" t="n">
        <v>15414230.18</v>
      </c>
      <c r="D1207" s="40" t="n">
        <f aca="false">MAX(D1206,C1207)</f>
        <v>27863258.68</v>
      </c>
      <c r="E1207" s="41" t="n">
        <f aca="false">C1207/D1207-1</f>
        <v>-0.446790113208682</v>
      </c>
      <c r="F1207" s="42" t="n">
        <f aca="false">YEAR(A1207)</f>
        <v>2018</v>
      </c>
    </row>
    <row r="1208" customFormat="false" ht="15" hidden="false" customHeight="false" outlineLevel="0" collapsed="false">
      <c r="A1208" s="38" t="n">
        <v>43166</v>
      </c>
      <c r="B1208" s="39" t="n">
        <v>1342</v>
      </c>
      <c r="C1208" s="40" t="n">
        <v>15414230.18</v>
      </c>
      <c r="D1208" s="40" t="n">
        <f aca="false">MAX(D1207,C1208)</f>
        <v>27863258.68</v>
      </c>
      <c r="E1208" s="41" t="n">
        <f aca="false">C1208/D1208-1</f>
        <v>-0.446790113208682</v>
      </c>
      <c r="F1208" s="42" t="n">
        <f aca="false">YEAR(A1208)</f>
        <v>2018</v>
      </c>
    </row>
    <row r="1209" customFormat="false" ht="15" hidden="false" customHeight="false" outlineLevel="0" collapsed="false">
      <c r="A1209" s="38" t="n">
        <v>43167</v>
      </c>
      <c r="B1209" s="39" t="n">
        <v>1318</v>
      </c>
      <c r="C1209" s="40" t="n">
        <v>15414230.18</v>
      </c>
      <c r="D1209" s="40" t="n">
        <f aca="false">MAX(D1208,C1209)</f>
        <v>27863258.68</v>
      </c>
      <c r="E1209" s="41" t="n">
        <f aca="false">C1209/D1209-1</f>
        <v>-0.446790113208682</v>
      </c>
      <c r="F1209" s="42" t="n">
        <f aca="false">YEAR(A1209)</f>
        <v>2018</v>
      </c>
    </row>
    <row r="1210" customFormat="false" ht="15" hidden="false" customHeight="false" outlineLevel="0" collapsed="false">
      <c r="A1210" s="38" t="n">
        <v>43168</v>
      </c>
      <c r="B1210" s="39" t="n">
        <v>1292.5</v>
      </c>
      <c r="C1210" s="40" t="n">
        <v>15414230.18</v>
      </c>
      <c r="D1210" s="40" t="n">
        <f aca="false">MAX(D1209,C1210)</f>
        <v>27863258.68</v>
      </c>
      <c r="E1210" s="41" t="n">
        <f aca="false">C1210/D1210-1</f>
        <v>-0.446790113208682</v>
      </c>
      <c r="F1210" s="42" t="n">
        <f aca="false">YEAR(A1210)</f>
        <v>2018</v>
      </c>
    </row>
    <row r="1211" customFormat="false" ht="15" hidden="false" customHeight="false" outlineLevel="0" collapsed="false">
      <c r="A1211" s="38" t="n">
        <v>43171</v>
      </c>
      <c r="B1211" s="39" t="n">
        <v>1261</v>
      </c>
      <c r="C1211" s="40" t="n">
        <v>15414230.18</v>
      </c>
      <c r="D1211" s="40" t="n">
        <f aca="false">MAX(D1210,C1211)</f>
        <v>27863258.68</v>
      </c>
      <c r="E1211" s="41" t="n">
        <f aca="false">C1211/D1211-1</f>
        <v>-0.446790113208682</v>
      </c>
      <c r="F1211" s="42" t="n">
        <f aca="false">YEAR(A1211)</f>
        <v>2018</v>
      </c>
    </row>
    <row r="1212" customFormat="false" ht="15" hidden="false" customHeight="false" outlineLevel="0" collapsed="false">
      <c r="A1212" s="38" t="n">
        <v>43172</v>
      </c>
      <c r="B1212" s="39" t="n">
        <v>1247.5</v>
      </c>
      <c r="C1212" s="40" t="n">
        <v>15414230.18</v>
      </c>
      <c r="D1212" s="40" t="n">
        <f aca="false">MAX(D1211,C1212)</f>
        <v>27863258.68</v>
      </c>
      <c r="E1212" s="41" t="n">
        <f aca="false">C1212/D1212-1</f>
        <v>-0.446790113208682</v>
      </c>
      <c r="F1212" s="42" t="n">
        <f aca="false">YEAR(A1212)</f>
        <v>2018</v>
      </c>
    </row>
    <row r="1213" customFormat="false" ht="15" hidden="false" customHeight="false" outlineLevel="0" collapsed="false">
      <c r="A1213" s="38" t="n">
        <v>43173</v>
      </c>
      <c r="B1213" s="39" t="n">
        <v>1287</v>
      </c>
      <c r="C1213" s="40" t="n">
        <v>15414230.18</v>
      </c>
      <c r="D1213" s="40" t="n">
        <f aca="false">MAX(D1212,C1213)</f>
        <v>27863258.68</v>
      </c>
      <c r="E1213" s="41" t="n">
        <f aca="false">C1213/D1213-1</f>
        <v>-0.446790113208682</v>
      </c>
      <c r="F1213" s="42" t="n">
        <f aca="false">YEAR(A1213)</f>
        <v>2018</v>
      </c>
    </row>
    <row r="1214" customFormat="false" ht="15" hidden="false" customHeight="false" outlineLevel="0" collapsed="false">
      <c r="A1214" s="38" t="n">
        <v>43174</v>
      </c>
      <c r="B1214" s="39" t="n">
        <v>1276</v>
      </c>
      <c r="C1214" s="40" t="n">
        <v>15414230.18</v>
      </c>
      <c r="D1214" s="40" t="n">
        <f aca="false">MAX(D1213,C1214)</f>
        <v>27863258.68</v>
      </c>
      <c r="E1214" s="41" t="n">
        <f aca="false">C1214/D1214-1</f>
        <v>-0.446790113208682</v>
      </c>
      <c r="F1214" s="42" t="n">
        <f aca="false">YEAR(A1214)</f>
        <v>2018</v>
      </c>
    </row>
    <row r="1215" customFormat="false" ht="15" hidden="false" customHeight="false" outlineLevel="0" collapsed="false">
      <c r="A1215" s="38" t="n">
        <v>43175</v>
      </c>
      <c r="B1215" s="39" t="n">
        <v>1279</v>
      </c>
      <c r="C1215" s="40" t="n">
        <v>15414230.18</v>
      </c>
      <c r="D1215" s="40" t="n">
        <f aca="false">MAX(D1214,C1215)</f>
        <v>27863258.68</v>
      </c>
      <c r="E1215" s="41" t="n">
        <f aca="false">C1215/D1215-1</f>
        <v>-0.446790113208682</v>
      </c>
      <c r="F1215" s="42" t="n">
        <f aca="false">YEAR(A1215)</f>
        <v>2018</v>
      </c>
    </row>
    <row r="1216" customFormat="false" ht="15" hidden="false" customHeight="false" outlineLevel="0" collapsed="false">
      <c r="A1216" s="38" t="n">
        <v>43178</v>
      </c>
      <c r="B1216" s="39" t="n">
        <v>1272</v>
      </c>
      <c r="C1216" s="40" t="n">
        <v>15414230.18</v>
      </c>
      <c r="D1216" s="40" t="n">
        <f aca="false">MAX(D1215,C1216)</f>
        <v>27863258.68</v>
      </c>
      <c r="E1216" s="41" t="n">
        <f aca="false">C1216/D1216-1</f>
        <v>-0.446790113208682</v>
      </c>
      <c r="F1216" s="42" t="n">
        <f aca="false">YEAR(A1216)</f>
        <v>2018</v>
      </c>
    </row>
    <row r="1217" customFormat="false" ht="15" hidden="false" customHeight="false" outlineLevel="0" collapsed="false">
      <c r="A1217" s="38" t="n">
        <v>43179</v>
      </c>
      <c r="B1217" s="39" t="n">
        <v>1273</v>
      </c>
      <c r="C1217" s="40" t="n">
        <v>15414230.18</v>
      </c>
      <c r="D1217" s="40" t="n">
        <f aca="false">MAX(D1216,C1217)</f>
        <v>27863258.68</v>
      </c>
      <c r="E1217" s="41" t="n">
        <f aca="false">C1217/D1217-1</f>
        <v>-0.446790113208682</v>
      </c>
      <c r="F1217" s="42" t="n">
        <f aca="false">YEAR(A1217)</f>
        <v>2018</v>
      </c>
    </row>
    <row r="1218" customFormat="false" ht="15" hidden="false" customHeight="false" outlineLevel="0" collapsed="false">
      <c r="A1218" s="38" t="n">
        <v>43180</v>
      </c>
      <c r="B1218" s="39" t="n">
        <v>1274.5</v>
      </c>
      <c r="C1218" s="40" t="n">
        <v>15414230.18</v>
      </c>
      <c r="D1218" s="40" t="n">
        <f aca="false">MAX(D1217,C1218)</f>
        <v>27863258.68</v>
      </c>
      <c r="E1218" s="41" t="n">
        <f aca="false">C1218/D1218-1</f>
        <v>-0.446790113208682</v>
      </c>
      <c r="F1218" s="42" t="n">
        <f aca="false">YEAR(A1218)</f>
        <v>2018</v>
      </c>
    </row>
    <row r="1219" customFormat="false" ht="15" hidden="false" customHeight="false" outlineLevel="0" collapsed="false">
      <c r="A1219" s="38" t="n">
        <v>43181</v>
      </c>
      <c r="B1219" s="39" t="n">
        <v>1260</v>
      </c>
      <c r="C1219" s="40" t="n">
        <v>15414230.18</v>
      </c>
      <c r="D1219" s="40" t="n">
        <f aca="false">MAX(D1218,C1219)</f>
        <v>27863258.68</v>
      </c>
      <c r="E1219" s="41" t="n">
        <f aca="false">C1219/D1219-1</f>
        <v>-0.446790113208682</v>
      </c>
      <c r="F1219" s="42" t="n">
        <f aca="false">YEAR(A1219)</f>
        <v>2018</v>
      </c>
    </row>
    <row r="1220" customFormat="false" ht="15" hidden="false" customHeight="false" outlineLevel="0" collapsed="false">
      <c r="A1220" s="38" t="n">
        <v>43182</v>
      </c>
      <c r="B1220" s="39" t="n">
        <v>1217.5</v>
      </c>
      <c r="C1220" s="40" t="n">
        <v>15414230.18</v>
      </c>
      <c r="D1220" s="40" t="n">
        <f aca="false">MAX(D1219,C1220)</f>
        <v>27863258.68</v>
      </c>
      <c r="E1220" s="41" t="n">
        <f aca="false">C1220/D1220-1</f>
        <v>-0.446790113208682</v>
      </c>
      <c r="F1220" s="42" t="n">
        <f aca="false">YEAR(A1220)</f>
        <v>2018</v>
      </c>
    </row>
    <row r="1221" customFormat="false" ht="15" hidden="false" customHeight="false" outlineLevel="0" collapsed="false">
      <c r="A1221" s="38" t="n">
        <v>43185</v>
      </c>
      <c r="B1221" s="39" t="n">
        <v>1227</v>
      </c>
      <c r="C1221" s="40" t="n">
        <v>14880402.93</v>
      </c>
      <c r="D1221" s="40" t="n">
        <f aca="false">MAX(D1220,C1221)</f>
        <v>27863258.68</v>
      </c>
      <c r="E1221" s="41" t="n">
        <f aca="false">C1221/D1221-1</f>
        <v>-0.465948936522596</v>
      </c>
      <c r="F1221" s="42" t="n">
        <f aca="false">YEAR(A1221)</f>
        <v>2018</v>
      </c>
    </row>
    <row r="1222" customFormat="false" ht="15" hidden="false" customHeight="false" outlineLevel="0" collapsed="false">
      <c r="A1222" s="38" t="n">
        <v>43186</v>
      </c>
      <c r="B1222" s="39" t="n">
        <v>1232</v>
      </c>
      <c r="C1222" s="40" t="n">
        <v>14616702.93</v>
      </c>
      <c r="D1222" s="40" t="n">
        <f aca="false">MAX(D1221,C1222)</f>
        <v>27863258.68</v>
      </c>
      <c r="E1222" s="41" t="n">
        <f aca="false">C1222/D1222-1</f>
        <v>-0.475413012603162</v>
      </c>
      <c r="F1222" s="42" t="n">
        <f aca="false">YEAR(A1222)</f>
        <v>2018</v>
      </c>
    </row>
    <row r="1223" customFormat="false" ht="15" hidden="false" customHeight="false" outlineLevel="0" collapsed="false">
      <c r="A1223" s="38" t="n">
        <v>43187</v>
      </c>
      <c r="B1223" s="39" t="n">
        <v>1210.5</v>
      </c>
      <c r="C1223" s="40" t="n">
        <v>15750612.93</v>
      </c>
      <c r="D1223" s="40" t="n">
        <f aca="false">MAX(D1222,C1223)</f>
        <v>27863258.68</v>
      </c>
      <c r="E1223" s="41" t="n">
        <f aca="false">C1223/D1223-1</f>
        <v>-0.43471748545673</v>
      </c>
      <c r="F1223" s="42" t="n">
        <f aca="false">YEAR(A1223)</f>
        <v>2018</v>
      </c>
    </row>
    <row r="1224" customFormat="false" ht="15" hidden="false" customHeight="false" outlineLevel="0" collapsed="false">
      <c r="A1224" s="38" t="n">
        <v>43188</v>
      </c>
      <c r="B1224" s="39" t="n">
        <v>1233.5</v>
      </c>
      <c r="C1224" s="40" t="n">
        <v>14537592.93</v>
      </c>
      <c r="D1224" s="40" t="n">
        <f aca="false">MAX(D1223,C1224)</f>
        <v>27863258.68</v>
      </c>
      <c r="E1224" s="41" t="n">
        <f aca="false">C1224/D1224-1</f>
        <v>-0.478252235427332</v>
      </c>
      <c r="F1224" s="42" t="n">
        <f aca="false">YEAR(A1224)</f>
        <v>2018</v>
      </c>
    </row>
    <row r="1225" customFormat="false" ht="15" hidden="false" customHeight="false" outlineLevel="0" collapsed="false">
      <c r="A1225" s="38" t="n">
        <v>43189</v>
      </c>
      <c r="B1225" s="39" t="n">
        <v>1260.5</v>
      </c>
      <c r="C1225" s="40" t="n">
        <v>13113612.93</v>
      </c>
      <c r="D1225" s="40" t="n">
        <f aca="false">MAX(D1224,C1225)</f>
        <v>27863258.68</v>
      </c>
      <c r="E1225" s="41" t="n">
        <f aca="false">C1225/D1225-1</f>
        <v>-0.529358246262386</v>
      </c>
      <c r="F1225" s="42" t="n">
        <f aca="false">YEAR(A1225)</f>
        <v>2018</v>
      </c>
    </row>
    <row r="1226" customFormat="false" ht="15" hidden="false" customHeight="false" outlineLevel="0" collapsed="false">
      <c r="A1226" s="38" t="n">
        <v>43192</v>
      </c>
      <c r="B1226" s="39" t="n">
        <v>1251.5</v>
      </c>
      <c r="C1226" s="40" t="n">
        <v>13588272.93</v>
      </c>
      <c r="D1226" s="40" t="n">
        <f aca="false">MAX(D1225,C1226)</f>
        <v>27863258.68</v>
      </c>
      <c r="E1226" s="41" t="n">
        <f aca="false">C1226/D1226-1</f>
        <v>-0.512322909317368</v>
      </c>
      <c r="F1226" s="42" t="n">
        <f aca="false">YEAR(A1226)</f>
        <v>2018</v>
      </c>
    </row>
    <row r="1227" customFormat="false" ht="15" hidden="false" customHeight="false" outlineLevel="0" collapsed="false">
      <c r="A1227" s="38" t="n">
        <v>43193</v>
      </c>
      <c r="B1227" s="39" t="n">
        <v>1250.5</v>
      </c>
      <c r="C1227" s="40" t="n">
        <v>13641012.93</v>
      </c>
      <c r="D1227" s="40" t="n">
        <f aca="false">MAX(D1226,C1227)</f>
        <v>27863258.68</v>
      </c>
      <c r="E1227" s="41" t="n">
        <f aca="false">C1227/D1227-1</f>
        <v>-0.510430094101255</v>
      </c>
      <c r="F1227" s="42" t="n">
        <f aca="false">YEAR(A1227)</f>
        <v>2018</v>
      </c>
    </row>
    <row r="1228" customFormat="false" ht="15" hidden="false" customHeight="false" outlineLevel="0" collapsed="false">
      <c r="A1228" s="38" t="n">
        <v>43194</v>
      </c>
      <c r="B1228" s="39" t="n">
        <v>1254.5</v>
      </c>
      <c r="C1228" s="40" t="n">
        <v>13430052.93</v>
      </c>
      <c r="D1228" s="40" t="n">
        <f aca="false">MAX(D1227,C1228)</f>
        <v>27863258.68</v>
      </c>
      <c r="E1228" s="41" t="n">
        <f aca="false">C1228/D1228-1</f>
        <v>-0.518001354965707</v>
      </c>
      <c r="F1228" s="42" t="n">
        <f aca="false">YEAR(A1228)</f>
        <v>2018</v>
      </c>
    </row>
    <row r="1229" customFormat="false" ht="15" hidden="false" customHeight="false" outlineLevel="0" collapsed="false">
      <c r="A1229" s="38" t="n">
        <v>43199</v>
      </c>
      <c r="B1229" s="39" t="n">
        <v>1240</v>
      </c>
      <c r="C1229" s="40" t="n">
        <v>14194782.93</v>
      </c>
      <c r="D1229" s="40" t="n">
        <f aca="false">MAX(D1228,C1229)</f>
        <v>27863258.68</v>
      </c>
      <c r="E1229" s="41" t="n">
        <f aca="false">C1229/D1229-1</f>
        <v>-0.490555534332067</v>
      </c>
      <c r="F1229" s="42" t="n">
        <f aca="false">YEAR(A1229)</f>
        <v>2018</v>
      </c>
    </row>
    <row r="1230" customFormat="false" ht="15" hidden="false" customHeight="false" outlineLevel="0" collapsed="false">
      <c r="A1230" s="38" t="n">
        <v>43200</v>
      </c>
      <c r="B1230" s="39" t="n">
        <v>1224.5</v>
      </c>
      <c r="C1230" s="40" t="n">
        <v>15012252.93</v>
      </c>
      <c r="D1230" s="40" t="n">
        <f aca="false">MAX(D1229,C1230)</f>
        <v>27863258.68</v>
      </c>
      <c r="E1230" s="41" t="n">
        <f aca="false">C1230/D1230-1</f>
        <v>-0.461216898482314</v>
      </c>
      <c r="F1230" s="42" t="n">
        <f aca="false">YEAR(A1230)</f>
        <v>2018</v>
      </c>
    </row>
    <row r="1231" customFormat="false" ht="15" hidden="false" customHeight="false" outlineLevel="0" collapsed="false">
      <c r="A1231" s="38" t="n">
        <v>43201</v>
      </c>
      <c r="B1231" s="39" t="n">
        <v>1187.5</v>
      </c>
      <c r="C1231" s="40" t="n">
        <v>16963632.93</v>
      </c>
      <c r="D1231" s="40" t="n">
        <f aca="false">MAX(D1230,C1231)</f>
        <v>27863258.68</v>
      </c>
      <c r="E1231" s="41" t="n">
        <f aca="false">C1231/D1231-1</f>
        <v>-0.391182735486128</v>
      </c>
      <c r="F1231" s="42" t="n">
        <f aca="false">YEAR(A1231)</f>
        <v>2018</v>
      </c>
    </row>
    <row r="1232" customFormat="false" ht="15" hidden="false" customHeight="false" outlineLevel="0" collapsed="false">
      <c r="A1232" s="38" t="n">
        <v>43202</v>
      </c>
      <c r="B1232" s="39" t="n">
        <v>1161</v>
      </c>
      <c r="C1232" s="40" t="n">
        <v>18361242.93</v>
      </c>
      <c r="D1232" s="40" t="n">
        <f aca="false">MAX(D1231,C1232)</f>
        <v>27863258.68</v>
      </c>
      <c r="E1232" s="41" t="n">
        <f aca="false">C1232/D1232-1</f>
        <v>-0.34102313225913</v>
      </c>
      <c r="F1232" s="42" t="n">
        <f aca="false">YEAR(A1232)</f>
        <v>2018</v>
      </c>
    </row>
    <row r="1233" customFormat="false" ht="15" hidden="false" customHeight="false" outlineLevel="0" collapsed="false">
      <c r="A1233" s="38" t="n">
        <v>43203</v>
      </c>
      <c r="B1233" s="39" t="n">
        <v>1161</v>
      </c>
      <c r="C1233" s="40" t="n">
        <v>18361242.93</v>
      </c>
      <c r="D1233" s="40" t="n">
        <f aca="false">MAX(D1232,C1233)</f>
        <v>27863258.68</v>
      </c>
      <c r="E1233" s="41" t="n">
        <f aca="false">C1233/D1233-1</f>
        <v>-0.34102313225913</v>
      </c>
      <c r="F1233" s="42" t="n">
        <f aca="false">YEAR(A1233)</f>
        <v>2018</v>
      </c>
    </row>
    <row r="1234" customFormat="false" ht="15" hidden="false" customHeight="false" outlineLevel="0" collapsed="false">
      <c r="A1234" s="38" t="n">
        <v>43206</v>
      </c>
      <c r="B1234" s="39" t="n">
        <v>1128.5</v>
      </c>
      <c r="C1234" s="40" t="n">
        <v>20075292.93</v>
      </c>
      <c r="D1234" s="40" t="n">
        <f aca="false">MAX(D1233,C1234)</f>
        <v>27863258.68</v>
      </c>
      <c r="E1234" s="41" t="n">
        <f aca="false">C1234/D1234-1</f>
        <v>-0.279506637735454</v>
      </c>
      <c r="F1234" s="42" t="n">
        <f aca="false">YEAR(A1234)</f>
        <v>2018</v>
      </c>
    </row>
    <row r="1235" customFormat="false" ht="15" hidden="false" customHeight="false" outlineLevel="0" collapsed="false">
      <c r="A1235" s="38" t="n">
        <v>43207</v>
      </c>
      <c r="B1235" s="39" t="n">
        <v>1148.5</v>
      </c>
      <c r="C1235" s="40" t="n">
        <v>19020492.93</v>
      </c>
      <c r="D1235" s="40" t="n">
        <f aca="false">MAX(D1234,C1235)</f>
        <v>27863258.68</v>
      </c>
      <c r="E1235" s="41" t="n">
        <f aca="false">C1235/D1235-1</f>
        <v>-0.317362942057716</v>
      </c>
      <c r="F1235" s="42" t="n">
        <f aca="false">YEAR(A1235)</f>
        <v>2018</v>
      </c>
    </row>
    <row r="1236" customFormat="false" ht="15" hidden="false" customHeight="false" outlineLevel="0" collapsed="false">
      <c r="A1236" s="38" t="n">
        <v>43208</v>
      </c>
      <c r="B1236" s="39" t="n">
        <v>1165.5</v>
      </c>
      <c r="C1236" s="40" t="n">
        <v>18123912.93</v>
      </c>
      <c r="D1236" s="40" t="n">
        <f aca="false">MAX(D1235,C1236)</f>
        <v>27863258.68</v>
      </c>
      <c r="E1236" s="41" t="n">
        <f aca="false">C1236/D1236-1</f>
        <v>-0.349540800731639</v>
      </c>
      <c r="F1236" s="42" t="n">
        <f aca="false">YEAR(A1236)</f>
        <v>2018</v>
      </c>
    </row>
    <row r="1237" customFormat="false" ht="15" hidden="false" customHeight="false" outlineLevel="0" collapsed="false">
      <c r="A1237" s="38" t="n">
        <v>43209</v>
      </c>
      <c r="B1237" s="39" t="n">
        <v>1183</v>
      </c>
      <c r="C1237" s="40" t="n">
        <v>17200962.93</v>
      </c>
      <c r="D1237" s="40" t="n">
        <f aca="false">MAX(D1236,C1237)</f>
        <v>27863258.68</v>
      </c>
      <c r="E1237" s="41" t="n">
        <f aca="false">C1237/D1237-1</f>
        <v>-0.382665067013619</v>
      </c>
      <c r="F1237" s="42" t="n">
        <f aca="false">YEAR(A1237)</f>
        <v>2018</v>
      </c>
    </row>
    <row r="1238" customFormat="false" ht="15" hidden="false" customHeight="false" outlineLevel="0" collapsed="false">
      <c r="A1238" s="38" t="n">
        <v>43210</v>
      </c>
      <c r="B1238" s="39" t="n">
        <v>1136</v>
      </c>
      <c r="C1238" s="40" t="n">
        <v>19679742.93</v>
      </c>
      <c r="D1238" s="40" t="n">
        <f aca="false">MAX(D1237,C1238)</f>
        <v>27863258.68</v>
      </c>
      <c r="E1238" s="41" t="n">
        <f aca="false">C1238/D1238-1</f>
        <v>-0.293702751856302</v>
      </c>
      <c r="F1238" s="42" t="n">
        <f aca="false">YEAR(A1238)</f>
        <v>2018</v>
      </c>
    </row>
    <row r="1239" customFormat="false" ht="15" hidden="false" customHeight="false" outlineLevel="0" collapsed="false">
      <c r="A1239" s="38" t="n">
        <v>43213</v>
      </c>
      <c r="B1239" s="39" t="n">
        <v>1180</v>
      </c>
      <c r="C1239" s="40" t="n">
        <v>17359182.93</v>
      </c>
      <c r="D1239" s="40" t="n">
        <f aca="false">MAX(D1238,C1239)</f>
        <v>27863258.68</v>
      </c>
      <c r="E1239" s="41" t="n">
        <f aca="false">C1239/D1239-1</f>
        <v>-0.37698662136528</v>
      </c>
      <c r="F1239" s="42" t="n">
        <f aca="false">YEAR(A1239)</f>
        <v>2018</v>
      </c>
    </row>
    <row r="1240" customFormat="false" ht="15" hidden="false" customHeight="false" outlineLevel="0" collapsed="false">
      <c r="A1240" s="38" t="n">
        <v>43214</v>
      </c>
      <c r="B1240" s="39" t="n">
        <v>1183</v>
      </c>
      <c r="C1240" s="40" t="n">
        <v>17200962.93</v>
      </c>
      <c r="D1240" s="40" t="n">
        <f aca="false">MAX(D1239,C1240)</f>
        <v>27863258.68</v>
      </c>
      <c r="E1240" s="41" t="n">
        <f aca="false">C1240/D1240-1</f>
        <v>-0.382665067013619</v>
      </c>
      <c r="F1240" s="42" t="n">
        <f aca="false">YEAR(A1240)</f>
        <v>2018</v>
      </c>
    </row>
    <row r="1241" customFormat="false" ht="15" hidden="false" customHeight="false" outlineLevel="0" collapsed="false">
      <c r="A1241" s="38" t="n">
        <v>43215</v>
      </c>
      <c r="B1241" s="39" t="n">
        <v>1166</v>
      </c>
      <c r="C1241" s="40" t="n">
        <v>18097542.93</v>
      </c>
      <c r="D1241" s="40" t="n">
        <f aca="false">MAX(D1240,C1241)</f>
        <v>27863258.68</v>
      </c>
      <c r="E1241" s="41" t="n">
        <f aca="false">C1241/D1241-1</f>
        <v>-0.350487208339696</v>
      </c>
      <c r="F1241" s="42" t="n">
        <f aca="false">YEAR(A1241)</f>
        <v>2018</v>
      </c>
    </row>
    <row r="1242" customFormat="false" ht="15" hidden="false" customHeight="false" outlineLevel="0" collapsed="false">
      <c r="A1242" s="38" t="n">
        <v>43216</v>
      </c>
      <c r="B1242" s="39" t="n">
        <v>1168.5</v>
      </c>
      <c r="C1242" s="40" t="n">
        <v>17965692.93</v>
      </c>
      <c r="D1242" s="40" t="n">
        <f aca="false">MAX(D1241,C1242)</f>
        <v>27863258.68</v>
      </c>
      <c r="E1242" s="41" t="n">
        <f aca="false">C1242/D1242-1</f>
        <v>-0.355219246379979</v>
      </c>
      <c r="F1242" s="42" t="n">
        <f aca="false">YEAR(A1242)</f>
        <v>2018</v>
      </c>
    </row>
    <row r="1243" customFormat="false" ht="15" hidden="false" customHeight="false" outlineLevel="0" collapsed="false">
      <c r="A1243" s="38" t="n">
        <v>43217</v>
      </c>
      <c r="B1243" s="39" t="n">
        <v>1157</v>
      </c>
      <c r="C1243" s="40" t="n">
        <v>18572202.93</v>
      </c>
      <c r="D1243" s="40" t="n">
        <f aca="false">MAX(D1242,C1243)</f>
        <v>27863258.68</v>
      </c>
      <c r="E1243" s="41" t="n">
        <f aca="false">C1243/D1243-1</f>
        <v>-0.333451871394678</v>
      </c>
      <c r="F1243" s="42" t="n">
        <f aca="false">YEAR(A1243)</f>
        <v>2018</v>
      </c>
    </row>
    <row r="1244" customFormat="false" ht="15" hidden="false" customHeight="false" outlineLevel="0" collapsed="false">
      <c r="A1244" s="38" t="n">
        <v>43222</v>
      </c>
      <c r="B1244" s="39" t="n">
        <v>1203.5</v>
      </c>
      <c r="C1244" s="40" t="n">
        <v>16119792.93</v>
      </c>
      <c r="D1244" s="40" t="n">
        <f aca="false">MAX(D1243,C1244)</f>
        <v>27863258.68</v>
      </c>
      <c r="E1244" s="41" t="n">
        <f aca="false">C1244/D1244-1</f>
        <v>-0.421467778943938</v>
      </c>
      <c r="F1244" s="42" t="n">
        <f aca="false">YEAR(A1244)</f>
        <v>2018</v>
      </c>
    </row>
    <row r="1245" customFormat="false" ht="15" hidden="false" customHeight="false" outlineLevel="0" collapsed="false">
      <c r="A1245" s="38" t="n">
        <v>43223</v>
      </c>
      <c r="B1245" s="39" t="n">
        <v>1198</v>
      </c>
      <c r="C1245" s="40" t="n">
        <v>16409862.93</v>
      </c>
      <c r="D1245" s="40" t="n">
        <f aca="false">MAX(D1244,C1245)</f>
        <v>27863258.68</v>
      </c>
      <c r="E1245" s="41" t="n">
        <f aca="false">C1245/D1245-1</f>
        <v>-0.411057295255316</v>
      </c>
      <c r="F1245" s="42" t="n">
        <f aca="false">YEAR(A1245)</f>
        <v>2018</v>
      </c>
    </row>
    <row r="1246" customFormat="false" ht="15" hidden="false" customHeight="false" outlineLevel="0" collapsed="false">
      <c r="A1246" s="38" t="n">
        <v>43224</v>
      </c>
      <c r="B1246" s="39" t="n">
        <v>1216.5</v>
      </c>
      <c r="C1246" s="40" t="n">
        <v>15434172.93</v>
      </c>
      <c r="D1246" s="40" t="n">
        <f aca="false">MAX(D1245,C1246)</f>
        <v>27863258.68</v>
      </c>
      <c r="E1246" s="41" t="n">
        <f aca="false">C1246/D1246-1</f>
        <v>-0.446074376753409</v>
      </c>
      <c r="F1246" s="42" t="n">
        <f aca="false">YEAR(A1246)</f>
        <v>2018</v>
      </c>
    </row>
    <row r="1247" customFormat="false" ht="15" hidden="false" customHeight="false" outlineLevel="0" collapsed="false">
      <c r="A1247" s="38" t="n">
        <v>43227</v>
      </c>
      <c r="B1247" s="39" t="n">
        <v>1248.5</v>
      </c>
      <c r="C1247" s="40" t="n">
        <v>13746492.93</v>
      </c>
      <c r="D1247" s="40" t="n">
        <f aca="false">MAX(D1246,C1247)</f>
        <v>27863258.68</v>
      </c>
      <c r="E1247" s="41" t="n">
        <f aca="false">C1247/D1247-1</f>
        <v>-0.506644463669028</v>
      </c>
      <c r="F1247" s="42" t="n">
        <f aca="false">YEAR(A1247)</f>
        <v>2018</v>
      </c>
    </row>
    <row r="1248" customFormat="false" ht="15" hidden="false" customHeight="false" outlineLevel="0" collapsed="false">
      <c r="A1248" s="38" t="n">
        <v>43228</v>
      </c>
      <c r="B1248" s="39" t="n">
        <v>1247.5</v>
      </c>
      <c r="C1248" s="40" t="n">
        <v>13766272.19</v>
      </c>
      <c r="D1248" s="40" t="n">
        <f aca="false">MAX(D1247,C1248)</f>
        <v>27863258.68</v>
      </c>
      <c r="E1248" s="41" t="n">
        <f aca="false">C1248/D1248-1</f>
        <v>-0.505934594797366</v>
      </c>
      <c r="F1248" s="42" t="n">
        <f aca="false">YEAR(A1248)</f>
        <v>2018</v>
      </c>
    </row>
    <row r="1249" customFormat="false" ht="15" hidden="false" customHeight="false" outlineLevel="0" collapsed="false">
      <c r="A1249" s="38" t="n">
        <v>43229</v>
      </c>
      <c r="B1249" s="39" t="n">
        <v>1228</v>
      </c>
      <c r="C1249" s="40" t="n">
        <v>13766272.19</v>
      </c>
      <c r="D1249" s="40" t="n">
        <f aca="false">MAX(D1248,C1249)</f>
        <v>27863258.68</v>
      </c>
      <c r="E1249" s="41" t="n">
        <f aca="false">C1249/D1249-1</f>
        <v>-0.505934594797366</v>
      </c>
      <c r="F1249" s="42" t="n">
        <f aca="false">YEAR(A1249)</f>
        <v>2018</v>
      </c>
    </row>
    <row r="1250" customFormat="false" ht="15" hidden="false" customHeight="false" outlineLevel="0" collapsed="false">
      <c r="A1250" s="38" t="n">
        <v>43230</v>
      </c>
      <c r="B1250" s="39" t="n">
        <v>1240.5</v>
      </c>
      <c r="C1250" s="40" t="n">
        <v>13766272.19</v>
      </c>
      <c r="D1250" s="40" t="n">
        <f aca="false">MAX(D1249,C1250)</f>
        <v>27863258.68</v>
      </c>
      <c r="E1250" s="41" t="n">
        <f aca="false">C1250/D1250-1</f>
        <v>-0.505934594797366</v>
      </c>
      <c r="F1250" s="42" t="n">
        <f aca="false">YEAR(A1250)</f>
        <v>2018</v>
      </c>
    </row>
    <row r="1251" customFormat="false" ht="15" hidden="false" customHeight="false" outlineLevel="0" collapsed="false">
      <c r="A1251" s="38" t="n">
        <v>43231</v>
      </c>
      <c r="B1251" s="39" t="n">
        <v>1260</v>
      </c>
      <c r="C1251" s="40" t="n">
        <v>13766272.19</v>
      </c>
      <c r="D1251" s="40" t="n">
        <f aca="false">MAX(D1250,C1251)</f>
        <v>27863258.68</v>
      </c>
      <c r="E1251" s="41" t="n">
        <f aca="false">C1251/D1251-1</f>
        <v>-0.505934594797366</v>
      </c>
      <c r="F1251" s="42" t="n">
        <f aca="false">YEAR(A1251)</f>
        <v>2018</v>
      </c>
    </row>
    <row r="1252" customFormat="false" ht="15" hidden="false" customHeight="false" outlineLevel="0" collapsed="false">
      <c r="A1252" s="38" t="n">
        <v>43234</v>
      </c>
      <c r="B1252" s="39" t="n">
        <v>1260</v>
      </c>
      <c r="C1252" s="40" t="n">
        <v>13766272.19</v>
      </c>
      <c r="D1252" s="40" t="n">
        <f aca="false">MAX(D1251,C1252)</f>
        <v>27863258.68</v>
      </c>
      <c r="E1252" s="41" t="n">
        <f aca="false">C1252/D1252-1</f>
        <v>-0.505934594797366</v>
      </c>
      <c r="F1252" s="42" t="n">
        <f aca="false">YEAR(A1252)</f>
        <v>2018</v>
      </c>
    </row>
    <row r="1253" customFormat="false" ht="15" hidden="false" customHeight="false" outlineLevel="0" collapsed="false">
      <c r="A1253" s="38" t="n">
        <v>43235</v>
      </c>
      <c r="B1253" s="39" t="n">
        <v>1270</v>
      </c>
      <c r="C1253" s="40" t="n">
        <v>13766272.19</v>
      </c>
      <c r="D1253" s="40" t="n">
        <f aca="false">MAX(D1252,C1253)</f>
        <v>27863258.68</v>
      </c>
      <c r="E1253" s="41" t="n">
        <f aca="false">C1253/D1253-1</f>
        <v>-0.505934594797366</v>
      </c>
      <c r="F1253" s="42" t="n">
        <f aca="false">YEAR(A1253)</f>
        <v>2018</v>
      </c>
    </row>
    <row r="1254" customFormat="false" ht="15" hidden="false" customHeight="false" outlineLevel="0" collapsed="false">
      <c r="A1254" s="38" t="n">
        <v>43236</v>
      </c>
      <c r="B1254" s="39" t="n">
        <v>1271.5</v>
      </c>
      <c r="C1254" s="40" t="n">
        <v>13766272.19</v>
      </c>
      <c r="D1254" s="40" t="n">
        <f aca="false">MAX(D1253,C1254)</f>
        <v>27863258.68</v>
      </c>
      <c r="E1254" s="41" t="n">
        <f aca="false">C1254/D1254-1</f>
        <v>-0.505934594797366</v>
      </c>
      <c r="F1254" s="42" t="n">
        <f aca="false">YEAR(A1254)</f>
        <v>2018</v>
      </c>
    </row>
    <row r="1255" customFormat="false" ht="15" hidden="false" customHeight="false" outlineLevel="0" collapsed="false">
      <c r="A1255" s="38" t="n">
        <v>43237</v>
      </c>
      <c r="B1255" s="39" t="n">
        <v>1247.5</v>
      </c>
      <c r="C1255" s="40" t="n">
        <v>13766272.19</v>
      </c>
      <c r="D1255" s="40" t="n">
        <f aca="false">MAX(D1254,C1255)</f>
        <v>27863258.68</v>
      </c>
      <c r="E1255" s="41" t="n">
        <f aca="false">C1255/D1255-1</f>
        <v>-0.505934594797366</v>
      </c>
      <c r="F1255" s="42" t="n">
        <f aca="false">YEAR(A1255)</f>
        <v>2018</v>
      </c>
    </row>
    <row r="1256" customFormat="false" ht="15" hidden="false" customHeight="false" outlineLevel="0" collapsed="false">
      <c r="A1256" s="38" t="n">
        <v>43238</v>
      </c>
      <c r="B1256" s="39" t="n">
        <v>1230</v>
      </c>
      <c r="C1256" s="40" t="n">
        <v>13766272.19</v>
      </c>
      <c r="D1256" s="40" t="n">
        <f aca="false">MAX(D1255,C1256)</f>
        <v>27863258.68</v>
      </c>
      <c r="E1256" s="41" t="n">
        <f aca="false">C1256/D1256-1</f>
        <v>-0.505934594797366</v>
      </c>
      <c r="F1256" s="42" t="n">
        <f aca="false">YEAR(A1256)</f>
        <v>2018</v>
      </c>
    </row>
    <row r="1257" customFormat="false" ht="15" hidden="false" customHeight="false" outlineLevel="0" collapsed="false">
      <c r="A1257" s="38" t="n">
        <v>43241</v>
      </c>
      <c r="B1257" s="39" t="n">
        <v>1231.5</v>
      </c>
      <c r="C1257" s="40" t="n">
        <v>13766272.19</v>
      </c>
      <c r="D1257" s="40" t="n">
        <f aca="false">MAX(D1256,C1257)</f>
        <v>27863258.68</v>
      </c>
      <c r="E1257" s="41" t="n">
        <f aca="false">C1257/D1257-1</f>
        <v>-0.505934594797366</v>
      </c>
      <c r="F1257" s="42" t="n">
        <f aca="false">YEAR(A1257)</f>
        <v>2018</v>
      </c>
    </row>
    <row r="1258" customFormat="false" ht="15" hidden="false" customHeight="false" outlineLevel="0" collapsed="false">
      <c r="A1258" s="38" t="n">
        <v>43242</v>
      </c>
      <c r="B1258" s="39" t="n">
        <v>1220.5</v>
      </c>
      <c r="C1258" s="40" t="n">
        <v>13766272.19</v>
      </c>
      <c r="D1258" s="40" t="n">
        <f aca="false">MAX(D1257,C1258)</f>
        <v>27863258.68</v>
      </c>
      <c r="E1258" s="41" t="n">
        <f aca="false">C1258/D1258-1</f>
        <v>-0.505934594797366</v>
      </c>
      <c r="F1258" s="42" t="n">
        <f aca="false">YEAR(A1258)</f>
        <v>2018</v>
      </c>
    </row>
    <row r="1259" customFormat="false" ht="15" hidden="false" customHeight="false" outlineLevel="0" collapsed="false">
      <c r="A1259" s="38" t="n">
        <v>43243</v>
      </c>
      <c r="B1259" s="39" t="n">
        <v>1175</v>
      </c>
      <c r="C1259" s="40" t="n">
        <v>13766272.19</v>
      </c>
      <c r="D1259" s="40" t="n">
        <f aca="false">MAX(D1258,C1259)</f>
        <v>27863258.68</v>
      </c>
      <c r="E1259" s="41" t="n">
        <f aca="false">C1259/D1259-1</f>
        <v>-0.505934594797366</v>
      </c>
      <c r="F1259" s="42" t="n">
        <f aca="false">YEAR(A1259)</f>
        <v>2018</v>
      </c>
    </row>
    <row r="1260" customFormat="false" ht="15" hidden="false" customHeight="false" outlineLevel="0" collapsed="false">
      <c r="A1260" s="38" t="n">
        <v>43244</v>
      </c>
      <c r="B1260" s="39" t="n">
        <v>1189.5</v>
      </c>
      <c r="C1260" s="40" t="n">
        <v>13766272.19</v>
      </c>
      <c r="D1260" s="40" t="n">
        <f aca="false">MAX(D1259,C1260)</f>
        <v>27863258.68</v>
      </c>
      <c r="E1260" s="41" t="n">
        <f aca="false">C1260/D1260-1</f>
        <v>-0.505934594797366</v>
      </c>
      <c r="F1260" s="42" t="n">
        <f aca="false">YEAR(A1260)</f>
        <v>2018</v>
      </c>
    </row>
    <row r="1261" customFormat="false" ht="15" hidden="false" customHeight="false" outlineLevel="0" collapsed="false">
      <c r="A1261" s="38" t="n">
        <v>43245</v>
      </c>
      <c r="B1261" s="39" t="n">
        <v>1175</v>
      </c>
      <c r="C1261" s="40" t="n">
        <v>13766272.19</v>
      </c>
      <c r="D1261" s="40" t="n">
        <f aca="false">MAX(D1260,C1261)</f>
        <v>27863258.68</v>
      </c>
      <c r="E1261" s="41" t="n">
        <f aca="false">C1261/D1261-1</f>
        <v>-0.505934594797366</v>
      </c>
      <c r="F1261" s="42" t="n">
        <f aca="false">YEAR(A1261)</f>
        <v>2018</v>
      </c>
    </row>
    <row r="1262" customFormat="false" ht="15" hidden="false" customHeight="false" outlineLevel="0" collapsed="false">
      <c r="A1262" s="38" t="n">
        <v>43248</v>
      </c>
      <c r="B1262" s="39" t="n">
        <v>1196</v>
      </c>
      <c r="C1262" s="40" t="n">
        <v>13766272.19</v>
      </c>
      <c r="D1262" s="40" t="n">
        <f aca="false">MAX(D1261,C1262)</f>
        <v>27863258.68</v>
      </c>
      <c r="E1262" s="41" t="n">
        <f aca="false">C1262/D1262-1</f>
        <v>-0.505934594797366</v>
      </c>
      <c r="F1262" s="42" t="n">
        <f aca="false">YEAR(A1262)</f>
        <v>2018</v>
      </c>
    </row>
    <row r="1263" customFormat="false" ht="15" hidden="false" customHeight="false" outlineLevel="0" collapsed="false">
      <c r="A1263" s="38" t="n">
        <v>43249</v>
      </c>
      <c r="B1263" s="39" t="n">
        <v>1218</v>
      </c>
      <c r="C1263" s="40" t="n">
        <v>13766272.19</v>
      </c>
      <c r="D1263" s="40" t="n">
        <f aca="false">MAX(D1262,C1263)</f>
        <v>27863258.68</v>
      </c>
      <c r="E1263" s="41" t="n">
        <f aca="false">C1263/D1263-1</f>
        <v>-0.505934594797366</v>
      </c>
      <c r="F1263" s="42" t="n">
        <f aca="false">YEAR(A1263)</f>
        <v>2018</v>
      </c>
    </row>
    <row r="1264" customFormat="false" ht="15" hidden="false" customHeight="false" outlineLevel="0" collapsed="false">
      <c r="A1264" s="38" t="n">
        <v>43250</v>
      </c>
      <c r="B1264" s="39" t="n">
        <v>1204</v>
      </c>
      <c r="C1264" s="40" t="n">
        <v>13766272.19</v>
      </c>
      <c r="D1264" s="40" t="n">
        <f aca="false">MAX(D1263,C1264)</f>
        <v>27863258.68</v>
      </c>
      <c r="E1264" s="41" t="n">
        <f aca="false">C1264/D1264-1</f>
        <v>-0.505934594797366</v>
      </c>
      <c r="F1264" s="42" t="n">
        <f aca="false">YEAR(A1264)</f>
        <v>2018</v>
      </c>
    </row>
    <row r="1265" customFormat="false" ht="15" hidden="false" customHeight="false" outlineLevel="0" collapsed="false">
      <c r="A1265" s="38" t="n">
        <v>43251</v>
      </c>
      <c r="B1265" s="39" t="n">
        <v>1238</v>
      </c>
      <c r="C1265" s="40" t="n">
        <v>13766272.19</v>
      </c>
      <c r="D1265" s="40" t="n">
        <f aca="false">MAX(D1264,C1265)</f>
        <v>27863258.68</v>
      </c>
      <c r="E1265" s="41" t="n">
        <f aca="false">C1265/D1265-1</f>
        <v>-0.505934594797366</v>
      </c>
      <c r="F1265" s="42" t="n">
        <f aca="false">YEAR(A1265)</f>
        <v>2018</v>
      </c>
    </row>
    <row r="1266" customFormat="false" ht="15" hidden="false" customHeight="false" outlineLevel="0" collapsed="false">
      <c r="A1266" s="38" t="n">
        <v>43252</v>
      </c>
      <c r="B1266" s="39" t="n">
        <v>1252.5</v>
      </c>
      <c r="C1266" s="40" t="n">
        <v>13766272.19</v>
      </c>
      <c r="D1266" s="40" t="n">
        <f aca="false">MAX(D1265,C1266)</f>
        <v>27863258.68</v>
      </c>
      <c r="E1266" s="41" t="n">
        <f aca="false">C1266/D1266-1</f>
        <v>-0.505934594797366</v>
      </c>
      <c r="F1266" s="42" t="n">
        <f aca="false">YEAR(A1266)</f>
        <v>2018</v>
      </c>
    </row>
    <row r="1267" customFormat="false" ht="15" hidden="false" customHeight="false" outlineLevel="0" collapsed="false">
      <c r="A1267" s="38" t="n">
        <v>43255</v>
      </c>
      <c r="B1267" s="39" t="n">
        <v>1238</v>
      </c>
      <c r="C1267" s="40" t="n">
        <v>13766272.19</v>
      </c>
      <c r="D1267" s="40" t="n">
        <f aca="false">MAX(D1266,C1267)</f>
        <v>27863258.68</v>
      </c>
      <c r="E1267" s="41" t="n">
        <f aca="false">C1267/D1267-1</f>
        <v>-0.505934594797366</v>
      </c>
      <c r="F1267" s="42" t="n">
        <f aca="false">YEAR(A1267)</f>
        <v>2018</v>
      </c>
    </row>
    <row r="1268" customFormat="false" ht="15" hidden="false" customHeight="false" outlineLevel="0" collapsed="false">
      <c r="A1268" s="38" t="n">
        <v>43256</v>
      </c>
      <c r="B1268" s="39" t="n">
        <v>1243.5</v>
      </c>
      <c r="C1268" s="40" t="n">
        <v>13766272.19</v>
      </c>
      <c r="D1268" s="40" t="n">
        <f aca="false">MAX(D1267,C1268)</f>
        <v>27863258.68</v>
      </c>
      <c r="E1268" s="41" t="n">
        <f aca="false">C1268/D1268-1</f>
        <v>-0.505934594797366</v>
      </c>
      <c r="F1268" s="42" t="n">
        <f aca="false">YEAR(A1268)</f>
        <v>2018</v>
      </c>
    </row>
    <row r="1269" customFormat="false" ht="15" hidden="false" customHeight="false" outlineLevel="0" collapsed="false">
      <c r="A1269" s="38" t="n">
        <v>43257</v>
      </c>
      <c r="B1269" s="39" t="n">
        <v>1245</v>
      </c>
      <c r="C1269" s="40" t="n">
        <v>13766272.19</v>
      </c>
      <c r="D1269" s="40" t="n">
        <f aca="false">MAX(D1268,C1269)</f>
        <v>27863258.68</v>
      </c>
      <c r="E1269" s="41" t="n">
        <f aca="false">C1269/D1269-1</f>
        <v>-0.505934594797366</v>
      </c>
      <c r="F1269" s="42" t="n">
        <f aca="false">YEAR(A1269)</f>
        <v>2018</v>
      </c>
    </row>
    <row r="1270" customFormat="false" ht="15" hidden="false" customHeight="false" outlineLevel="0" collapsed="false">
      <c r="A1270" s="38" t="n">
        <v>43258</v>
      </c>
      <c r="B1270" s="39" t="n">
        <v>1259</v>
      </c>
      <c r="C1270" s="40" t="n">
        <v>13766272.19</v>
      </c>
      <c r="D1270" s="40" t="n">
        <f aca="false">MAX(D1269,C1270)</f>
        <v>27863258.68</v>
      </c>
      <c r="E1270" s="41" t="n">
        <f aca="false">C1270/D1270-1</f>
        <v>-0.505934594797366</v>
      </c>
      <c r="F1270" s="42" t="n">
        <f aca="false">YEAR(A1270)</f>
        <v>2018</v>
      </c>
    </row>
    <row r="1271" customFormat="false" ht="15" hidden="false" customHeight="false" outlineLevel="0" collapsed="false">
      <c r="A1271" s="38" t="n">
        <v>43259</v>
      </c>
      <c r="B1271" s="39" t="n">
        <v>1255.5</v>
      </c>
      <c r="C1271" s="40" t="n">
        <v>13766272.19</v>
      </c>
      <c r="D1271" s="40" t="n">
        <f aca="false">MAX(D1270,C1271)</f>
        <v>27863258.68</v>
      </c>
      <c r="E1271" s="41" t="n">
        <f aca="false">C1271/D1271-1</f>
        <v>-0.505934594797366</v>
      </c>
      <c r="F1271" s="42" t="n">
        <f aca="false">YEAR(A1271)</f>
        <v>2018</v>
      </c>
    </row>
    <row r="1272" customFormat="false" ht="15" hidden="false" customHeight="false" outlineLevel="0" collapsed="false">
      <c r="A1272" s="38" t="n">
        <v>43262</v>
      </c>
      <c r="B1272" s="39" t="n">
        <v>1244</v>
      </c>
      <c r="C1272" s="40" t="n">
        <v>13766272.19</v>
      </c>
      <c r="D1272" s="40" t="n">
        <f aca="false">MAX(D1271,C1272)</f>
        <v>27863258.68</v>
      </c>
      <c r="E1272" s="41" t="n">
        <f aca="false">C1272/D1272-1</f>
        <v>-0.505934594797366</v>
      </c>
      <c r="F1272" s="42" t="n">
        <f aca="false">YEAR(A1272)</f>
        <v>2018</v>
      </c>
    </row>
    <row r="1273" customFormat="false" ht="15" hidden="false" customHeight="false" outlineLevel="0" collapsed="false">
      <c r="A1273" s="38" t="n">
        <v>43263</v>
      </c>
      <c r="B1273" s="39" t="n">
        <v>1276.5</v>
      </c>
      <c r="C1273" s="40" t="n">
        <v>13766272.19</v>
      </c>
      <c r="D1273" s="40" t="n">
        <f aca="false">MAX(D1272,C1273)</f>
        <v>27863258.68</v>
      </c>
      <c r="E1273" s="41" t="n">
        <f aca="false">C1273/D1273-1</f>
        <v>-0.505934594797366</v>
      </c>
      <c r="F1273" s="42" t="n">
        <f aca="false">YEAR(A1273)</f>
        <v>2018</v>
      </c>
    </row>
    <row r="1274" customFormat="false" ht="15" hidden="false" customHeight="false" outlineLevel="0" collapsed="false">
      <c r="A1274" s="38" t="n">
        <v>43264</v>
      </c>
      <c r="B1274" s="39" t="n">
        <v>1255</v>
      </c>
      <c r="C1274" s="40" t="n">
        <v>13766272.19</v>
      </c>
      <c r="D1274" s="40" t="n">
        <f aca="false">MAX(D1273,C1274)</f>
        <v>27863258.68</v>
      </c>
      <c r="E1274" s="41" t="n">
        <f aca="false">C1274/D1274-1</f>
        <v>-0.505934594797366</v>
      </c>
      <c r="F1274" s="42" t="n">
        <f aca="false">YEAR(A1274)</f>
        <v>2018</v>
      </c>
    </row>
    <row r="1275" customFormat="false" ht="15" hidden="false" customHeight="false" outlineLevel="0" collapsed="false">
      <c r="A1275" s="38" t="n">
        <v>43265</v>
      </c>
      <c r="B1275" s="39" t="n">
        <v>1253</v>
      </c>
      <c r="C1275" s="40" t="n">
        <v>13766272.19</v>
      </c>
      <c r="D1275" s="40" t="n">
        <f aca="false">MAX(D1274,C1275)</f>
        <v>27863258.68</v>
      </c>
      <c r="E1275" s="41" t="n">
        <f aca="false">C1275/D1275-1</f>
        <v>-0.505934594797366</v>
      </c>
      <c r="F1275" s="42" t="n">
        <f aca="false">YEAR(A1275)</f>
        <v>2018</v>
      </c>
    </row>
    <row r="1276" customFormat="false" ht="15" hidden="false" customHeight="false" outlineLevel="0" collapsed="false">
      <c r="A1276" s="38" t="n">
        <v>43266</v>
      </c>
      <c r="B1276" s="39" t="n">
        <v>1263.5</v>
      </c>
      <c r="C1276" s="40" t="n">
        <v>13766272.19</v>
      </c>
      <c r="D1276" s="40" t="n">
        <f aca="false">MAX(D1275,C1276)</f>
        <v>27863258.68</v>
      </c>
      <c r="E1276" s="41" t="n">
        <f aca="false">C1276/D1276-1</f>
        <v>-0.505934594797366</v>
      </c>
      <c r="F1276" s="42" t="n">
        <f aca="false">YEAR(A1276)</f>
        <v>2018</v>
      </c>
    </row>
    <row r="1277" customFormat="false" ht="15" hidden="false" customHeight="false" outlineLevel="0" collapsed="false">
      <c r="A1277" s="38" t="n">
        <v>43270</v>
      </c>
      <c r="B1277" s="39" t="n">
        <v>1199</v>
      </c>
      <c r="C1277" s="40" t="n">
        <v>13766272.19</v>
      </c>
      <c r="D1277" s="40" t="n">
        <f aca="false">MAX(D1276,C1277)</f>
        <v>27863258.68</v>
      </c>
      <c r="E1277" s="41" t="n">
        <f aca="false">C1277/D1277-1</f>
        <v>-0.505934594797366</v>
      </c>
      <c r="F1277" s="42" t="n">
        <f aca="false">YEAR(A1277)</f>
        <v>2018</v>
      </c>
    </row>
    <row r="1278" customFormat="false" ht="15" hidden="false" customHeight="false" outlineLevel="0" collapsed="false">
      <c r="A1278" s="38" t="n">
        <v>43271</v>
      </c>
      <c r="B1278" s="39" t="n">
        <v>1208.5</v>
      </c>
      <c r="C1278" s="40" t="n">
        <v>13766272.19</v>
      </c>
      <c r="D1278" s="40" t="n">
        <f aca="false">MAX(D1277,C1278)</f>
        <v>27863258.68</v>
      </c>
      <c r="E1278" s="41" t="n">
        <f aca="false">C1278/D1278-1</f>
        <v>-0.505934594797366</v>
      </c>
      <c r="F1278" s="42" t="n">
        <f aca="false">YEAR(A1278)</f>
        <v>2018</v>
      </c>
    </row>
    <row r="1279" customFormat="false" ht="15" hidden="false" customHeight="false" outlineLevel="0" collapsed="false">
      <c r="A1279" s="38" t="n">
        <v>43272</v>
      </c>
      <c r="B1279" s="39" t="n">
        <v>1184</v>
      </c>
      <c r="C1279" s="40" t="n">
        <v>13766272.19</v>
      </c>
      <c r="D1279" s="40" t="n">
        <f aca="false">MAX(D1278,C1279)</f>
        <v>27863258.68</v>
      </c>
      <c r="E1279" s="41" t="n">
        <f aca="false">C1279/D1279-1</f>
        <v>-0.505934594797366</v>
      </c>
      <c r="F1279" s="42" t="n">
        <f aca="false">YEAR(A1279)</f>
        <v>2018</v>
      </c>
    </row>
    <row r="1280" customFormat="false" ht="15" hidden="false" customHeight="false" outlineLevel="0" collapsed="false">
      <c r="A1280" s="38" t="n">
        <v>43273</v>
      </c>
      <c r="B1280" s="39" t="n">
        <v>1183.5</v>
      </c>
      <c r="C1280" s="40" t="n">
        <v>13766272.19</v>
      </c>
      <c r="D1280" s="40" t="n">
        <f aca="false">MAX(D1279,C1280)</f>
        <v>27863258.68</v>
      </c>
      <c r="E1280" s="41" t="n">
        <f aca="false">C1280/D1280-1</f>
        <v>-0.505934594797366</v>
      </c>
      <c r="F1280" s="42" t="n">
        <f aca="false">YEAR(A1280)</f>
        <v>2018</v>
      </c>
    </row>
    <row r="1281" customFormat="false" ht="15" hidden="false" customHeight="false" outlineLevel="0" collapsed="false">
      <c r="A1281" s="38" t="n">
        <v>43276</v>
      </c>
      <c r="B1281" s="39" t="n">
        <v>1192.5</v>
      </c>
      <c r="C1281" s="40" t="n">
        <v>13766272.19</v>
      </c>
      <c r="D1281" s="40" t="n">
        <f aca="false">MAX(D1280,C1281)</f>
        <v>27863258.68</v>
      </c>
      <c r="E1281" s="41" t="n">
        <f aca="false">C1281/D1281-1</f>
        <v>-0.505934594797366</v>
      </c>
      <c r="F1281" s="42" t="n">
        <f aca="false">YEAR(A1281)</f>
        <v>2018</v>
      </c>
    </row>
    <row r="1282" customFormat="false" ht="15" hidden="false" customHeight="false" outlineLevel="0" collapsed="false">
      <c r="A1282" s="38" t="n">
        <v>43277</v>
      </c>
      <c r="B1282" s="39" t="n">
        <v>1174.5</v>
      </c>
      <c r="C1282" s="40" t="n">
        <v>13766272.19</v>
      </c>
      <c r="D1282" s="40" t="n">
        <f aca="false">MAX(D1281,C1282)</f>
        <v>27863258.68</v>
      </c>
      <c r="E1282" s="41" t="n">
        <f aca="false">C1282/D1282-1</f>
        <v>-0.505934594797366</v>
      </c>
      <c r="F1282" s="42" t="n">
        <f aca="false">YEAR(A1282)</f>
        <v>2018</v>
      </c>
    </row>
    <row r="1283" customFormat="false" ht="15" hidden="false" customHeight="false" outlineLevel="0" collapsed="false">
      <c r="A1283" s="38" t="n">
        <v>43278</v>
      </c>
      <c r="B1283" s="39" t="n">
        <v>1169.5</v>
      </c>
      <c r="C1283" s="40" t="n">
        <v>13766272.19</v>
      </c>
      <c r="D1283" s="40" t="n">
        <f aca="false">MAX(D1282,C1283)</f>
        <v>27863258.68</v>
      </c>
      <c r="E1283" s="41" t="n">
        <f aca="false">C1283/D1283-1</f>
        <v>-0.505934594797366</v>
      </c>
      <c r="F1283" s="42" t="n">
        <f aca="false">YEAR(A1283)</f>
        <v>2018</v>
      </c>
    </row>
    <row r="1284" customFormat="false" ht="15" hidden="false" customHeight="false" outlineLevel="0" collapsed="false">
      <c r="A1284" s="38" t="n">
        <v>43279</v>
      </c>
      <c r="B1284" s="39" t="n">
        <v>1182.5</v>
      </c>
      <c r="C1284" s="40" t="n">
        <v>13766272.19</v>
      </c>
      <c r="D1284" s="40" t="n">
        <f aca="false">MAX(D1283,C1284)</f>
        <v>27863258.68</v>
      </c>
      <c r="E1284" s="41" t="n">
        <f aca="false">C1284/D1284-1</f>
        <v>-0.505934594797366</v>
      </c>
      <c r="F1284" s="42" t="n">
        <f aca="false">YEAR(A1284)</f>
        <v>2018</v>
      </c>
    </row>
    <row r="1285" customFormat="false" ht="15" hidden="false" customHeight="false" outlineLevel="0" collapsed="false">
      <c r="A1285" s="38" t="n">
        <v>43280</v>
      </c>
      <c r="B1285" s="39" t="n">
        <v>1199</v>
      </c>
      <c r="C1285" s="40" t="n">
        <v>13766272.19</v>
      </c>
      <c r="D1285" s="40" t="n">
        <f aca="false">MAX(D1284,C1285)</f>
        <v>27863258.68</v>
      </c>
      <c r="E1285" s="41" t="n">
        <f aca="false">C1285/D1285-1</f>
        <v>-0.505934594797366</v>
      </c>
      <c r="F1285" s="42" t="n">
        <f aca="false">YEAR(A1285)</f>
        <v>2018</v>
      </c>
    </row>
    <row r="1286" customFormat="false" ht="15" hidden="false" customHeight="false" outlineLevel="0" collapsed="false">
      <c r="A1286" s="38" t="n">
        <v>43283</v>
      </c>
      <c r="B1286" s="39" t="n">
        <v>1165.5</v>
      </c>
      <c r="C1286" s="40" t="n">
        <v>13766272.19</v>
      </c>
      <c r="D1286" s="40" t="n">
        <f aca="false">MAX(D1285,C1286)</f>
        <v>27863258.68</v>
      </c>
      <c r="E1286" s="41" t="n">
        <f aca="false">C1286/D1286-1</f>
        <v>-0.505934594797366</v>
      </c>
      <c r="F1286" s="42" t="n">
        <f aca="false">YEAR(A1286)</f>
        <v>2018</v>
      </c>
    </row>
    <row r="1287" customFormat="false" ht="15" hidden="false" customHeight="false" outlineLevel="0" collapsed="false">
      <c r="A1287" s="38" t="n">
        <v>43284</v>
      </c>
      <c r="B1287" s="39" t="n">
        <v>1163.5</v>
      </c>
      <c r="C1287" s="40" t="n">
        <v>13834332.19</v>
      </c>
      <c r="D1287" s="40" t="n">
        <f aca="false">MAX(D1286,C1287)</f>
        <v>27863258.68</v>
      </c>
      <c r="E1287" s="41" t="n">
        <f aca="false">C1287/D1287-1</f>
        <v>-0.503491951573842</v>
      </c>
      <c r="F1287" s="42" t="n">
        <f aca="false">YEAR(A1287)</f>
        <v>2018</v>
      </c>
    </row>
    <row r="1288" customFormat="false" ht="15" hidden="false" customHeight="false" outlineLevel="0" collapsed="false">
      <c r="A1288" s="38" t="n">
        <v>43285</v>
      </c>
      <c r="B1288" s="39" t="n">
        <v>1154</v>
      </c>
      <c r="C1288" s="40" t="n">
        <v>14301732.19</v>
      </c>
      <c r="D1288" s="40" t="n">
        <f aca="false">MAX(D1287,C1288)</f>
        <v>27863258.68</v>
      </c>
      <c r="E1288" s="41" t="n">
        <f aca="false">C1288/D1288-1</f>
        <v>-0.486717172809882</v>
      </c>
      <c r="F1288" s="42" t="n">
        <f aca="false">YEAR(A1288)</f>
        <v>2018</v>
      </c>
    </row>
    <row r="1289" customFormat="false" ht="15" hidden="false" customHeight="false" outlineLevel="0" collapsed="false">
      <c r="A1289" s="38" t="n">
        <v>43286</v>
      </c>
      <c r="B1289" s="39" t="n">
        <v>1149</v>
      </c>
      <c r="C1289" s="40" t="n">
        <v>14547732.19</v>
      </c>
      <c r="D1289" s="40" t="n">
        <f aca="false">MAX(D1288,C1289)</f>
        <v>27863258.68</v>
      </c>
      <c r="E1289" s="41" t="n">
        <f aca="false">C1289/D1289-1</f>
        <v>-0.477888341881482</v>
      </c>
      <c r="F1289" s="42" t="n">
        <f aca="false">YEAR(A1289)</f>
        <v>2018</v>
      </c>
    </row>
    <row r="1290" customFormat="false" ht="15" hidden="false" customHeight="false" outlineLevel="0" collapsed="false">
      <c r="A1290" s="38" t="n">
        <v>43287</v>
      </c>
      <c r="B1290" s="39" t="n">
        <v>1150</v>
      </c>
      <c r="C1290" s="40" t="n">
        <v>14498532.19</v>
      </c>
      <c r="D1290" s="40" t="n">
        <f aca="false">MAX(D1289,C1290)</f>
        <v>27863258.68</v>
      </c>
      <c r="E1290" s="41" t="n">
        <f aca="false">C1290/D1290-1</f>
        <v>-0.479654108067162</v>
      </c>
      <c r="F1290" s="42" t="n">
        <f aca="false">YEAR(A1290)</f>
        <v>2018</v>
      </c>
    </row>
    <row r="1291" customFormat="false" ht="15" hidden="false" customHeight="false" outlineLevel="0" collapsed="false">
      <c r="A1291" s="38" t="n">
        <v>43290</v>
      </c>
      <c r="B1291" s="39" t="n">
        <v>1155.5</v>
      </c>
      <c r="C1291" s="40" t="n">
        <v>14227932.19</v>
      </c>
      <c r="D1291" s="40" t="n">
        <f aca="false">MAX(D1290,C1291)</f>
        <v>27863258.68</v>
      </c>
      <c r="E1291" s="41" t="n">
        <f aca="false">C1291/D1291-1</f>
        <v>-0.489365822088402</v>
      </c>
      <c r="F1291" s="42" t="n">
        <f aca="false">YEAR(A1291)</f>
        <v>2018</v>
      </c>
    </row>
    <row r="1292" customFormat="false" ht="15" hidden="false" customHeight="false" outlineLevel="0" collapsed="false">
      <c r="A1292" s="38" t="n">
        <v>43291</v>
      </c>
      <c r="B1292" s="39" t="n">
        <v>1141.5</v>
      </c>
      <c r="C1292" s="40" t="n">
        <v>14916732.19</v>
      </c>
      <c r="D1292" s="40" t="n">
        <f aca="false">MAX(D1291,C1292)</f>
        <v>27863258.68</v>
      </c>
      <c r="E1292" s="41" t="n">
        <f aca="false">C1292/D1292-1</f>
        <v>-0.464645095488881</v>
      </c>
      <c r="F1292" s="42" t="n">
        <f aca="false">YEAR(A1292)</f>
        <v>2018</v>
      </c>
    </row>
    <row r="1293" customFormat="false" ht="15" hidden="false" customHeight="false" outlineLevel="0" collapsed="false">
      <c r="A1293" s="38" t="n">
        <v>43292</v>
      </c>
      <c r="B1293" s="39" t="n">
        <v>1143</v>
      </c>
      <c r="C1293" s="40" t="n">
        <v>14842932.19</v>
      </c>
      <c r="D1293" s="40" t="n">
        <f aca="false">MAX(D1292,C1293)</f>
        <v>27863258.68</v>
      </c>
      <c r="E1293" s="41" t="n">
        <f aca="false">C1293/D1293-1</f>
        <v>-0.467293744767401</v>
      </c>
      <c r="F1293" s="42" t="n">
        <f aca="false">YEAR(A1293)</f>
        <v>2018</v>
      </c>
    </row>
    <row r="1294" customFormat="false" ht="15" hidden="false" customHeight="false" outlineLevel="0" collapsed="false">
      <c r="A1294" s="38" t="n">
        <v>43293</v>
      </c>
      <c r="B1294" s="39" t="n">
        <v>1151.5</v>
      </c>
      <c r="C1294" s="40" t="n">
        <v>14424732.19</v>
      </c>
      <c r="D1294" s="40" t="n">
        <f aca="false">MAX(D1293,C1294)</f>
        <v>27863258.68</v>
      </c>
      <c r="E1294" s="41" t="n">
        <f aca="false">C1294/D1294-1</f>
        <v>-0.482302757345682</v>
      </c>
      <c r="F1294" s="42" t="n">
        <f aca="false">YEAR(A1294)</f>
        <v>2018</v>
      </c>
    </row>
    <row r="1295" customFormat="false" ht="15" hidden="false" customHeight="false" outlineLevel="0" collapsed="false">
      <c r="A1295" s="38" t="n">
        <v>43294</v>
      </c>
      <c r="B1295" s="39" t="n">
        <v>1128.5</v>
      </c>
      <c r="C1295" s="40" t="n">
        <v>15556332.19</v>
      </c>
      <c r="D1295" s="40" t="n">
        <f aca="false">MAX(D1294,C1295)</f>
        <v>27863258.68</v>
      </c>
      <c r="E1295" s="41" t="n">
        <f aca="false">C1295/D1295-1</f>
        <v>-0.441690135075041</v>
      </c>
      <c r="F1295" s="42" t="n">
        <f aca="false">YEAR(A1295)</f>
        <v>2018</v>
      </c>
    </row>
    <row r="1296" customFormat="false" ht="15" hidden="false" customHeight="false" outlineLevel="0" collapsed="false">
      <c r="A1296" s="38" t="n">
        <v>43297</v>
      </c>
      <c r="B1296" s="39" t="n">
        <v>1136.5</v>
      </c>
      <c r="C1296" s="40" t="n">
        <v>15162732.19</v>
      </c>
      <c r="D1296" s="40" t="n">
        <f aca="false">MAX(D1295,C1296)</f>
        <v>27863258.68</v>
      </c>
      <c r="E1296" s="41" t="n">
        <f aca="false">C1296/D1296-1</f>
        <v>-0.455816264560481</v>
      </c>
      <c r="F1296" s="42" t="n">
        <f aca="false">YEAR(A1296)</f>
        <v>2018</v>
      </c>
    </row>
    <row r="1297" customFormat="false" ht="15" hidden="false" customHeight="false" outlineLevel="0" collapsed="false">
      <c r="A1297" s="38" t="n">
        <v>43298</v>
      </c>
      <c r="B1297" s="39" t="n">
        <v>1146.5</v>
      </c>
      <c r="C1297" s="40" t="n">
        <v>14670732.19</v>
      </c>
      <c r="D1297" s="40" t="n">
        <f aca="false">MAX(D1296,C1297)</f>
        <v>27863258.68</v>
      </c>
      <c r="E1297" s="41" t="n">
        <f aca="false">C1297/D1297-1</f>
        <v>-0.473473926417282</v>
      </c>
      <c r="F1297" s="42" t="n">
        <f aca="false">YEAR(A1297)</f>
        <v>2018</v>
      </c>
    </row>
    <row r="1298" customFormat="false" ht="15" hidden="false" customHeight="false" outlineLevel="0" collapsed="false">
      <c r="A1298" s="38" t="n">
        <v>43299</v>
      </c>
      <c r="B1298" s="39" t="n">
        <v>1138</v>
      </c>
      <c r="C1298" s="40" t="n">
        <v>15088932.19</v>
      </c>
      <c r="D1298" s="40" t="n">
        <f aca="false">MAX(D1297,C1298)</f>
        <v>27863258.68</v>
      </c>
      <c r="E1298" s="41" t="n">
        <f aca="false">C1298/D1298-1</f>
        <v>-0.458464913839001</v>
      </c>
      <c r="F1298" s="42" t="n">
        <f aca="false">YEAR(A1298)</f>
        <v>2018</v>
      </c>
    </row>
    <row r="1299" customFormat="false" ht="15" hidden="false" customHeight="false" outlineLevel="0" collapsed="false">
      <c r="A1299" s="38" t="n">
        <v>43300</v>
      </c>
      <c r="B1299" s="39" t="n">
        <v>1158</v>
      </c>
      <c r="C1299" s="40" t="n">
        <v>14104932.19</v>
      </c>
      <c r="D1299" s="40" t="n">
        <f aca="false">MAX(D1298,C1299)</f>
        <v>27863258.68</v>
      </c>
      <c r="E1299" s="41" t="n">
        <f aca="false">C1299/D1299-1</f>
        <v>-0.493780237552602</v>
      </c>
      <c r="F1299" s="42" t="n">
        <f aca="false">YEAR(A1299)</f>
        <v>2018</v>
      </c>
    </row>
    <row r="1300" customFormat="false" ht="15" hidden="false" customHeight="false" outlineLevel="0" collapsed="false">
      <c r="A1300" s="38" t="n">
        <v>43301</v>
      </c>
      <c r="B1300" s="39" t="n">
        <v>1165</v>
      </c>
      <c r="C1300" s="40" t="n">
        <v>13760532.19</v>
      </c>
      <c r="D1300" s="40" t="n">
        <f aca="false">MAX(D1299,C1300)</f>
        <v>27863258.68</v>
      </c>
      <c r="E1300" s="41" t="n">
        <f aca="false">C1300/D1300-1</f>
        <v>-0.506140600852362</v>
      </c>
      <c r="F1300" s="42" t="n">
        <f aca="false">YEAR(A1300)</f>
        <v>2018</v>
      </c>
    </row>
    <row r="1301" customFormat="false" ht="15" hidden="false" customHeight="false" outlineLevel="0" collapsed="false">
      <c r="A1301" s="38" t="n">
        <v>43304</v>
      </c>
      <c r="B1301" s="39" t="n">
        <v>1165.5</v>
      </c>
      <c r="C1301" s="40" t="n">
        <v>13735932.19</v>
      </c>
      <c r="D1301" s="40" t="n">
        <f aca="false">MAX(D1300,C1301)</f>
        <v>27863258.68</v>
      </c>
      <c r="E1301" s="41" t="n">
        <f aca="false">C1301/D1301-1</f>
        <v>-0.507023483945202</v>
      </c>
      <c r="F1301" s="42" t="n">
        <f aca="false">YEAR(A1301)</f>
        <v>2018</v>
      </c>
    </row>
    <row r="1302" customFormat="false" ht="15" hidden="false" customHeight="false" outlineLevel="0" collapsed="false">
      <c r="A1302" s="38" t="n">
        <v>43305</v>
      </c>
      <c r="B1302" s="39" t="n">
        <v>1176.5</v>
      </c>
      <c r="C1302" s="40" t="n">
        <v>13194732.19</v>
      </c>
      <c r="D1302" s="40" t="n">
        <f aca="false">MAX(D1301,C1302)</f>
        <v>27863258.68</v>
      </c>
      <c r="E1302" s="41" t="n">
        <f aca="false">C1302/D1302-1</f>
        <v>-0.526446911987683</v>
      </c>
      <c r="F1302" s="42" t="n">
        <f aca="false">YEAR(A1302)</f>
        <v>2018</v>
      </c>
    </row>
    <row r="1303" customFormat="false" ht="15" hidden="false" customHeight="false" outlineLevel="0" collapsed="false">
      <c r="A1303" s="38" t="n">
        <v>43306</v>
      </c>
      <c r="B1303" s="39" t="n">
        <v>1193.5</v>
      </c>
      <c r="C1303" s="40" t="n">
        <v>12358332.19</v>
      </c>
      <c r="D1303" s="40" t="n">
        <f aca="false">MAX(D1302,C1303)</f>
        <v>27863258.68</v>
      </c>
      <c r="E1303" s="41" t="n">
        <f aca="false">C1303/D1303-1</f>
        <v>-0.556464937144244</v>
      </c>
      <c r="F1303" s="42" t="n">
        <f aca="false">YEAR(A1303)</f>
        <v>2018</v>
      </c>
    </row>
    <row r="1304" customFormat="false" ht="15" hidden="false" customHeight="false" outlineLevel="0" collapsed="false">
      <c r="A1304" s="38" t="n">
        <v>43307</v>
      </c>
      <c r="B1304" s="39" t="n">
        <v>1188.5</v>
      </c>
      <c r="C1304" s="40" t="n">
        <v>12604332.19</v>
      </c>
      <c r="D1304" s="40" t="n">
        <f aca="false">MAX(D1303,C1304)</f>
        <v>27863258.68</v>
      </c>
      <c r="E1304" s="41" t="n">
        <f aca="false">C1304/D1304-1</f>
        <v>-0.547636106215844</v>
      </c>
      <c r="F1304" s="42" t="n">
        <f aca="false">YEAR(A1304)</f>
        <v>2018</v>
      </c>
    </row>
    <row r="1305" customFormat="false" ht="15" hidden="false" customHeight="false" outlineLevel="0" collapsed="false">
      <c r="A1305" s="38" t="n">
        <v>43308</v>
      </c>
      <c r="B1305" s="39" t="n">
        <v>1192.5</v>
      </c>
      <c r="C1305" s="40" t="n">
        <v>12407532.19</v>
      </c>
      <c r="D1305" s="40" t="n">
        <f aca="false">MAX(D1304,C1305)</f>
        <v>27863258.68</v>
      </c>
      <c r="E1305" s="41" t="n">
        <f aca="false">C1305/D1305-1</f>
        <v>-0.554699170958564</v>
      </c>
      <c r="F1305" s="42" t="n">
        <f aca="false">YEAR(A1305)</f>
        <v>2018</v>
      </c>
    </row>
    <row r="1306" customFormat="false" ht="15" hidden="false" customHeight="false" outlineLevel="0" collapsed="false">
      <c r="A1306" s="38" t="n">
        <v>43311</v>
      </c>
      <c r="B1306" s="39" t="n">
        <v>1201.5</v>
      </c>
      <c r="C1306" s="40" t="n">
        <v>11964732.19</v>
      </c>
      <c r="D1306" s="40" t="n">
        <f aca="false">MAX(D1305,C1306)</f>
        <v>27863258.68</v>
      </c>
      <c r="E1306" s="41" t="n">
        <f aca="false">C1306/D1306-1</f>
        <v>-0.570591066629684</v>
      </c>
      <c r="F1306" s="42" t="n">
        <f aca="false">YEAR(A1306)</f>
        <v>2018</v>
      </c>
    </row>
    <row r="1307" customFormat="false" ht="15" hidden="false" customHeight="false" outlineLevel="0" collapsed="false">
      <c r="A1307" s="38" t="n">
        <v>43312</v>
      </c>
      <c r="B1307" s="39" t="n">
        <v>1202.5</v>
      </c>
      <c r="C1307" s="40" t="n">
        <v>11915532.19</v>
      </c>
      <c r="D1307" s="40" t="n">
        <f aca="false">MAX(D1306,C1307)</f>
        <v>27863258.68</v>
      </c>
      <c r="E1307" s="41" t="n">
        <f aca="false">C1307/D1307-1</f>
        <v>-0.572356832815364</v>
      </c>
      <c r="F1307" s="42" t="n">
        <f aca="false">YEAR(A1307)</f>
        <v>2018</v>
      </c>
    </row>
    <row r="1308" customFormat="false" ht="15" hidden="false" customHeight="false" outlineLevel="0" collapsed="false">
      <c r="A1308" s="38" t="n">
        <v>43313</v>
      </c>
      <c r="B1308" s="39" t="n">
        <v>1186.5</v>
      </c>
      <c r="C1308" s="40" t="n">
        <v>11712788.01</v>
      </c>
      <c r="D1308" s="40" t="n">
        <f aca="false">MAX(D1307,C1308)</f>
        <v>27863258.68</v>
      </c>
      <c r="E1308" s="41" t="n">
        <f aca="false">C1308/D1308-1</f>
        <v>-0.579633231542751</v>
      </c>
      <c r="F1308" s="42" t="n">
        <f aca="false">YEAR(A1308)</f>
        <v>2018</v>
      </c>
    </row>
    <row r="1309" customFormat="false" ht="15" hidden="false" customHeight="false" outlineLevel="0" collapsed="false">
      <c r="A1309" s="38" t="n">
        <v>43314</v>
      </c>
      <c r="B1309" s="39" t="n">
        <v>1187</v>
      </c>
      <c r="C1309" s="40" t="n">
        <v>11712788.01</v>
      </c>
      <c r="D1309" s="40" t="n">
        <f aca="false">MAX(D1308,C1309)</f>
        <v>27863258.68</v>
      </c>
      <c r="E1309" s="41" t="n">
        <f aca="false">C1309/D1309-1</f>
        <v>-0.579633231542751</v>
      </c>
      <c r="F1309" s="42" t="n">
        <f aca="false">YEAR(A1309)</f>
        <v>2018</v>
      </c>
    </row>
    <row r="1310" customFormat="false" ht="15" hidden="false" customHeight="false" outlineLevel="0" collapsed="false">
      <c r="A1310" s="38" t="n">
        <v>43315</v>
      </c>
      <c r="B1310" s="39" t="n">
        <v>1208</v>
      </c>
      <c r="C1310" s="40" t="n">
        <v>11712788.01</v>
      </c>
      <c r="D1310" s="40" t="n">
        <f aca="false">MAX(D1309,C1310)</f>
        <v>27863258.68</v>
      </c>
      <c r="E1310" s="41" t="n">
        <f aca="false">C1310/D1310-1</f>
        <v>-0.579633231542751</v>
      </c>
      <c r="F1310" s="42" t="n">
        <f aca="false">YEAR(A1310)</f>
        <v>2018</v>
      </c>
    </row>
    <row r="1311" customFormat="false" ht="15" hidden="false" customHeight="false" outlineLevel="0" collapsed="false">
      <c r="A1311" s="38" t="n">
        <v>43318</v>
      </c>
      <c r="B1311" s="39" t="n">
        <v>1243.5</v>
      </c>
      <c r="C1311" s="40" t="n">
        <v>11712788.01</v>
      </c>
      <c r="D1311" s="40" t="n">
        <f aca="false">MAX(D1310,C1311)</f>
        <v>27863258.68</v>
      </c>
      <c r="E1311" s="41" t="n">
        <f aca="false">C1311/D1311-1</f>
        <v>-0.579633231542751</v>
      </c>
      <c r="F1311" s="42" t="n">
        <f aca="false">YEAR(A1311)</f>
        <v>2018</v>
      </c>
    </row>
    <row r="1312" customFormat="false" ht="15" hidden="false" customHeight="false" outlineLevel="0" collapsed="false">
      <c r="A1312" s="38" t="n">
        <v>43319</v>
      </c>
      <c r="B1312" s="39" t="n">
        <v>1232.5</v>
      </c>
      <c r="C1312" s="40" t="n">
        <v>11335127.86</v>
      </c>
      <c r="D1312" s="40" t="n">
        <f aca="false">MAX(D1311,C1312)</f>
        <v>27863258.68</v>
      </c>
      <c r="E1312" s="41" t="n">
        <f aca="false">C1312/D1312-1</f>
        <v>-0.59318728687911</v>
      </c>
      <c r="F1312" s="42" t="n">
        <f aca="false">YEAR(A1312)</f>
        <v>2018</v>
      </c>
    </row>
    <row r="1313" customFormat="false" ht="15" hidden="false" customHeight="false" outlineLevel="0" collapsed="false">
      <c r="A1313" s="38" t="n">
        <v>43320</v>
      </c>
      <c r="B1313" s="39" t="n">
        <v>1249.5</v>
      </c>
      <c r="C1313" s="40" t="n">
        <v>12002207.86</v>
      </c>
      <c r="D1313" s="40" t="n">
        <f aca="false">MAX(D1312,C1313)</f>
        <v>27863258.68</v>
      </c>
      <c r="E1313" s="41" t="n">
        <f aca="false">C1313/D1313-1</f>
        <v>-0.569246081449365</v>
      </c>
      <c r="F1313" s="42" t="n">
        <f aca="false">YEAR(A1313)</f>
        <v>2018</v>
      </c>
    </row>
    <row r="1314" customFormat="false" ht="15" hidden="false" customHeight="false" outlineLevel="0" collapsed="false">
      <c r="A1314" s="38" t="n">
        <v>43321</v>
      </c>
      <c r="B1314" s="39" t="n">
        <v>1254.5</v>
      </c>
      <c r="C1314" s="40" t="n">
        <v>12198407.86</v>
      </c>
      <c r="D1314" s="40" t="n">
        <f aca="false">MAX(D1313,C1314)</f>
        <v>27863258.68</v>
      </c>
      <c r="E1314" s="41" t="n">
        <f aca="false">C1314/D1314-1</f>
        <v>-0.562204550440616</v>
      </c>
      <c r="F1314" s="42" t="n">
        <f aca="false">YEAR(A1314)</f>
        <v>2018</v>
      </c>
    </row>
    <row r="1315" customFormat="false" ht="15" hidden="false" customHeight="false" outlineLevel="0" collapsed="false">
      <c r="A1315" s="38" t="n">
        <v>43322</v>
      </c>
      <c r="B1315" s="39" t="n">
        <v>1225.5</v>
      </c>
      <c r="C1315" s="40" t="n">
        <v>11060447.86</v>
      </c>
      <c r="D1315" s="40" t="n">
        <f aca="false">MAX(D1314,C1315)</f>
        <v>27863258.68</v>
      </c>
      <c r="E1315" s="41" t="n">
        <f aca="false">C1315/D1315-1</f>
        <v>-0.603045430291358</v>
      </c>
      <c r="F1315" s="42" t="n">
        <f aca="false">YEAR(A1315)</f>
        <v>2018</v>
      </c>
    </row>
    <row r="1316" customFormat="false" ht="15" hidden="false" customHeight="false" outlineLevel="0" collapsed="false">
      <c r="A1316" s="38" t="n">
        <v>43325</v>
      </c>
      <c r="B1316" s="39" t="n">
        <v>1245</v>
      </c>
      <c r="C1316" s="40" t="n">
        <v>11825627.86</v>
      </c>
      <c r="D1316" s="40" t="n">
        <f aca="false">MAX(D1315,C1316)</f>
        <v>27863258.68</v>
      </c>
      <c r="E1316" s="41" t="n">
        <f aca="false">C1316/D1316-1</f>
        <v>-0.575583459357238</v>
      </c>
      <c r="F1316" s="42" t="n">
        <f aca="false">YEAR(A1316)</f>
        <v>2018</v>
      </c>
    </row>
    <row r="1317" customFormat="false" ht="15" hidden="false" customHeight="false" outlineLevel="0" collapsed="false">
      <c r="A1317" s="38" t="n">
        <v>43326</v>
      </c>
      <c r="B1317" s="39" t="n">
        <v>1236.5</v>
      </c>
      <c r="C1317" s="40" t="n">
        <v>11492087.86</v>
      </c>
      <c r="D1317" s="40" t="n">
        <f aca="false">MAX(D1316,C1317)</f>
        <v>27863258.68</v>
      </c>
      <c r="E1317" s="41" t="n">
        <f aca="false">C1317/D1317-1</f>
        <v>-0.587554062072111</v>
      </c>
      <c r="F1317" s="42" t="n">
        <f aca="false">YEAR(A1317)</f>
        <v>2018</v>
      </c>
    </row>
    <row r="1318" customFormat="false" ht="15" hidden="false" customHeight="false" outlineLevel="0" collapsed="false">
      <c r="A1318" s="38" t="n">
        <v>43327</v>
      </c>
      <c r="B1318" s="39" t="n">
        <v>1259.5</v>
      </c>
      <c r="C1318" s="40" t="n">
        <v>12394607.86</v>
      </c>
      <c r="D1318" s="40" t="n">
        <f aca="false">MAX(D1317,C1318)</f>
        <v>27863258.68</v>
      </c>
      <c r="E1318" s="41" t="n">
        <f aca="false">C1318/D1318-1</f>
        <v>-0.555163019431868</v>
      </c>
      <c r="F1318" s="42" t="n">
        <f aca="false">YEAR(A1318)</f>
        <v>2018</v>
      </c>
    </row>
    <row r="1319" customFormat="false" ht="15" hidden="false" customHeight="false" outlineLevel="0" collapsed="false">
      <c r="A1319" s="38" t="n">
        <v>43328</v>
      </c>
      <c r="B1319" s="39" t="n">
        <v>1254</v>
      </c>
      <c r="C1319" s="40" t="n">
        <v>12178787.86</v>
      </c>
      <c r="D1319" s="40" t="n">
        <f aca="false">MAX(D1318,C1319)</f>
        <v>27863258.68</v>
      </c>
      <c r="E1319" s="41" t="n">
        <f aca="false">C1319/D1319-1</f>
        <v>-0.562908703541491</v>
      </c>
      <c r="F1319" s="42" t="n">
        <f aca="false">YEAR(A1319)</f>
        <v>2018</v>
      </c>
    </row>
    <row r="1320" customFormat="false" ht="15" hidden="false" customHeight="false" outlineLevel="0" collapsed="false">
      <c r="A1320" s="38" t="n">
        <v>43329</v>
      </c>
      <c r="B1320" s="39" t="n">
        <v>1283</v>
      </c>
      <c r="C1320" s="40" t="n">
        <v>13316747.86</v>
      </c>
      <c r="D1320" s="40" t="n">
        <f aca="false">MAX(D1319,C1320)</f>
        <v>27863258.68</v>
      </c>
      <c r="E1320" s="41" t="n">
        <f aca="false">C1320/D1320-1</f>
        <v>-0.52206782369075</v>
      </c>
      <c r="F1320" s="42" t="n">
        <f aca="false">YEAR(A1320)</f>
        <v>2018</v>
      </c>
    </row>
    <row r="1321" customFormat="false" ht="15" hidden="false" customHeight="false" outlineLevel="0" collapsed="false">
      <c r="A1321" s="38" t="n">
        <v>43332</v>
      </c>
      <c r="B1321" s="39" t="n">
        <v>1320.5</v>
      </c>
      <c r="C1321" s="40" t="n">
        <v>14788247.86</v>
      </c>
      <c r="D1321" s="40" t="n">
        <f aca="false">MAX(D1320,C1321)</f>
        <v>27863258.68</v>
      </c>
      <c r="E1321" s="41" t="n">
        <f aca="false">C1321/D1321-1</f>
        <v>-0.469256341125137</v>
      </c>
      <c r="F1321" s="42" t="n">
        <f aca="false">YEAR(A1321)</f>
        <v>2018</v>
      </c>
    </row>
    <row r="1322" customFormat="false" ht="15" hidden="false" customHeight="false" outlineLevel="0" collapsed="false">
      <c r="A1322" s="38" t="n">
        <v>43333</v>
      </c>
      <c r="B1322" s="39" t="n">
        <v>1287</v>
      </c>
      <c r="C1322" s="40" t="n">
        <v>13473707.86</v>
      </c>
      <c r="D1322" s="40" t="n">
        <f aca="false">MAX(D1321,C1322)</f>
        <v>27863258.68</v>
      </c>
      <c r="E1322" s="41" t="n">
        <f aca="false">C1322/D1322-1</f>
        <v>-0.516434598883751</v>
      </c>
      <c r="F1322" s="42" t="n">
        <f aca="false">YEAR(A1322)</f>
        <v>2018</v>
      </c>
    </row>
    <row r="1323" customFormat="false" ht="15" hidden="false" customHeight="false" outlineLevel="0" collapsed="false">
      <c r="A1323" s="38" t="n">
        <v>43334</v>
      </c>
      <c r="B1323" s="39" t="n">
        <v>1330</v>
      </c>
      <c r="C1323" s="40" t="n">
        <v>15161027.86</v>
      </c>
      <c r="D1323" s="40" t="n">
        <f aca="false">MAX(D1322,C1323)</f>
        <v>27863258.68</v>
      </c>
      <c r="E1323" s="41" t="n">
        <f aca="false">C1323/D1323-1</f>
        <v>-0.455877432208514</v>
      </c>
      <c r="F1323" s="42" t="n">
        <f aca="false">YEAR(A1323)</f>
        <v>2018</v>
      </c>
    </row>
    <row r="1324" customFormat="false" ht="15" hidden="false" customHeight="false" outlineLevel="0" collapsed="false">
      <c r="A1324" s="38" t="n">
        <v>43335</v>
      </c>
      <c r="B1324" s="39" t="n">
        <v>1294</v>
      </c>
      <c r="C1324" s="40" t="n">
        <v>13748387.86</v>
      </c>
      <c r="D1324" s="40" t="n">
        <f aca="false">MAX(D1323,C1324)</f>
        <v>27863258.68</v>
      </c>
      <c r="E1324" s="41" t="n">
        <f aca="false">C1324/D1324-1</f>
        <v>-0.506576455471503</v>
      </c>
      <c r="F1324" s="42" t="n">
        <f aca="false">YEAR(A1324)</f>
        <v>2018</v>
      </c>
    </row>
    <row r="1325" customFormat="false" ht="15" hidden="false" customHeight="false" outlineLevel="0" collapsed="false">
      <c r="A1325" s="38" t="n">
        <v>43336</v>
      </c>
      <c r="B1325" s="39" t="n">
        <v>1290</v>
      </c>
      <c r="C1325" s="40" t="n">
        <v>13591427.86</v>
      </c>
      <c r="D1325" s="40" t="n">
        <f aca="false">MAX(D1324,C1325)</f>
        <v>27863258.68</v>
      </c>
      <c r="E1325" s="41" t="n">
        <f aca="false">C1325/D1325-1</f>
        <v>-0.512209680278502</v>
      </c>
      <c r="F1325" s="42" t="n">
        <f aca="false">YEAR(A1325)</f>
        <v>2018</v>
      </c>
    </row>
    <row r="1326" customFormat="false" ht="15" hidden="false" customHeight="false" outlineLevel="0" collapsed="false">
      <c r="A1326" s="38" t="n">
        <v>43339</v>
      </c>
      <c r="B1326" s="39" t="n">
        <v>1263.5</v>
      </c>
      <c r="C1326" s="40" t="n">
        <v>12551567.86</v>
      </c>
      <c r="D1326" s="40" t="n">
        <f aca="false">MAX(D1325,C1326)</f>
        <v>27863258.68</v>
      </c>
      <c r="E1326" s="41" t="n">
        <f aca="false">C1326/D1326-1</f>
        <v>-0.549529794624869</v>
      </c>
      <c r="F1326" s="42" t="n">
        <f aca="false">YEAR(A1326)</f>
        <v>2018</v>
      </c>
    </row>
    <row r="1327" customFormat="false" ht="15" hidden="false" customHeight="false" outlineLevel="0" collapsed="false">
      <c r="A1327" s="38" t="n">
        <v>43340</v>
      </c>
      <c r="B1327" s="39" t="n">
        <v>1273</v>
      </c>
      <c r="C1327" s="40" t="n">
        <v>12924347.86</v>
      </c>
      <c r="D1327" s="40" t="n">
        <f aca="false">MAX(D1326,C1327)</f>
        <v>27863258.68</v>
      </c>
      <c r="E1327" s="41" t="n">
        <f aca="false">C1327/D1327-1</f>
        <v>-0.536150885708247</v>
      </c>
      <c r="F1327" s="42" t="n">
        <f aca="false">YEAR(A1327)</f>
        <v>2018</v>
      </c>
    </row>
    <row r="1328" customFormat="false" ht="15" hidden="false" customHeight="false" outlineLevel="0" collapsed="false">
      <c r="A1328" s="38" t="n">
        <v>43341</v>
      </c>
      <c r="B1328" s="39" t="n">
        <v>1246</v>
      </c>
      <c r="C1328" s="40" t="n">
        <v>11864867.86</v>
      </c>
      <c r="D1328" s="40" t="n">
        <f aca="false">MAX(D1327,C1328)</f>
        <v>27863258.68</v>
      </c>
      <c r="E1328" s="41" t="n">
        <f aca="false">C1328/D1328-1</f>
        <v>-0.574175153155489</v>
      </c>
      <c r="F1328" s="42" t="n">
        <f aca="false">YEAR(A1328)</f>
        <v>2018</v>
      </c>
    </row>
    <row r="1329" customFormat="false" ht="15" hidden="false" customHeight="false" outlineLevel="0" collapsed="false">
      <c r="A1329" s="38" t="n">
        <v>43342</v>
      </c>
      <c r="B1329" s="39" t="n">
        <v>1254.5</v>
      </c>
      <c r="C1329" s="40" t="n">
        <v>12198407.86</v>
      </c>
      <c r="D1329" s="40" t="n">
        <f aca="false">MAX(D1328,C1329)</f>
        <v>27863258.68</v>
      </c>
      <c r="E1329" s="41" t="n">
        <f aca="false">C1329/D1329-1</f>
        <v>-0.562204550440616</v>
      </c>
      <c r="F1329" s="42" t="n">
        <f aca="false">YEAR(A1329)</f>
        <v>2018</v>
      </c>
    </row>
    <row r="1330" customFormat="false" ht="15" hidden="false" customHeight="false" outlineLevel="0" collapsed="false">
      <c r="A1330" s="38" t="n">
        <v>43343</v>
      </c>
      <c r="B1330" s="39" t="n">
        <v>1250.5</v>
      </c>
      <c r="C1330" s="40" t="n">
        <v>12041447.86</v>
      </c>
      <c r="D1330" s="40" t="n">
        <f aca="false">MAX(D1329,C1330)</f>
        <v>27863258.68</v>
      </c>
      <c r="E1330" s="41" t="n">
        <f aca="false">C1330/D1330-1</f>
        <v>-0.567837775247615</v>
      </c>
      <c r="F1330" s="42" t="n">
        <f aca="false">YEAR(A1330)</f>
        <v>2018</v>
      </c>
    </row>
    <row r="1331" customFormat="false" ht="15" hidden="false" customHeight="false" outlineLevel="0" collapsed="false">
      <c r="A1331" s="38" t="n">
        <v>43346</v>
      </c>
      <c r="B1331" s="39" t="n">
        <v>1225.5</v>
      </c>
      <c r="C1331" s="40" t="n">
        <v>11060447.86</v>
      </c>
      <c r="D1331" s="40" t="n">
        <f aca="false">MAX(D1330,C1331)</f>
        <v>27863258.68</v>
      </c>
      <c r="E1331" s="41" t="n">
        <f aca="false">C1331/D1331-1</f>
        <v>-0.603045430291358</v>
      </c>
      <c r="F1331" s="42" t="n">
        <f aca="false">YEAR(A1331)</f>
        <v>2018</v>
      </c>
    </row>
    <row r="1332" customFormat="false" ht="15" hidden="false" customHeight="false" outlineLevel="0" collapsed="false">
      <c r="A1332" s="38" t="n">
        <v>43347</v>
      </c>
      <c r="B1332" s="39" t="n">
        <v>1229.5</v>
      </c>
      <c r="C1332" s="40" t="n">
        <v>11217407.86</v>
      </c>
      <c r="D1332" s="40" t="n">
        <f aca="false">MAX(D1331,C1332)</f>
        <v>27863258.68</v>
      </c>
      <c r="E1332" s="41" t="n">
        <f aca="false">C1332/D1332-1</f>
        <v>-0.597412205484359</v>
      </c>
      <c r="F1332" s="42" t="n">
        <f aca="false">YEAR(A1332)</f>
        <v>2018</v>
      </c>
    </row>
    <row r="1333" customFormat="false" ht="15" hidden="false" customHeight="false" outlineLevel="0" collapsed="false">
      <c r="A1333" s="38" t="n">
        <v>43348</v>
      </c>
      <c r="B1333" s="39" t="n">
        <v>1243</v>
      </c>
      <c r="C1333" s="40" t="n">
        <v>11747147.86</v>
      </c>
      <c r="D1333" s="40" t="n">
        <f aca="false">MAX(D1332,C1333)</f>
        <v>27863258.68</v>
      </c>
      <c r="E1333" s="41" t="n">
        <f aca="false">C1333/D1333-1</f>
        <v>-0.578400071760738</v>
      </c>
      <c r="F1333" s="42" t="n">
        <f aca="false">YEAR(A1333)</f>
        <v>2018</v>
      </c>
    </row>
    <row r="1334" customFormat="false" ht="15" hidden="false" customHeight="false" outlineLevel="0" collapsed="false">
      <c r="A1334" s="38" t="n">
        <v>43349</v>
      </c>
      <c r="B1334" s="39" t="n">
        <v>1282.5</v>
      </c>
      <c r="C1334" s="40" t="n">
        <v>13297127.86</v>
      </c>
      <c r="D1334" s="40" t="n">
        <f aca="false">MAX(D1333,C1334)</f>
        <v>27863258.68</v>
      </c>
      <c r="E1334" s="41" t="n">
        <f aca="false">C1334/D1334-1</f>
        <v>-0.522771976791625</v>
      </c>
      <c r="F1334" s="42" t="n">
        <f aca="false">YEAR(A1334)</f>
        <v>2018</v>
      </c>
    </row>
    <row r="1335" customFormat="false" ht="15" hidden="false" customHeight="false" outlineLevel="0" collapsed="false">
      <c r="A1335" s="38" t="n">
        <v>43350</v>
      </c>
      <c r="B1335" s="39" t="n">
        <v>1273</v>
      </c>
      <c r="C1335" s="40" t="n">
        <v>12924347.86</v>
      </c>
      <c r="D1335" s="40" t="n">
        <f aca="false">MAX(D1334,C1335)</f>
        <v>27863258.68</v>
      </c>
      <c r="E1335" s="41" t="n">
        <f aca="false">C1335/D1335-1</f>
        <v>-0.536150885708247</v>
      </c>
      <c r="F1335" s="42" t="n">
        <f aca="false">YEAR(A1335)</f>
        <v>2018</v>
      </c>
    </row>
    <row r="1336" customFormat="false" ht="15" hidden="false" customHeight="false" outlineLevel="0" collapsed="false">
      <c r="A1336" s="38" t="n">
        <v>43353</v>
      </c>
      <c r="B1336" s="39" t="n">
        <v>1317.5</v>
      </c>
      <c r="C1336" s="40" t="n">
        <v>14670527.86</v>
      </c>
      <c r="D1336" s="40" t="n">
        <f aca="false">MAX(D1335,C1336)</f>
        <v>27863258.68</v>
      </c>
      <c r="E1336" s="41" t="n">
        <f aca="false">C1336/D1336-1</f>
        <v>-0.473481259730386</v>
      </c>
      <c r="F1336" s="42" t="n">
        <f aca="false">YEAR(A1336)</f>
        <v>2018</v>
      </c>
    </row>
    <row r="1337" customFormat="false" ht="15" hidden="false" customHeight="false" outlineLevel="0" collapsed="false">
      <c r="A1337" s="38" t="n">
        <v>43354</v>
      </c>
      <c r="B1337" s="39" t="n">
        <v>1285.5</v>
      </c>
      <c r="C1337" s="40" t="n">
        <v>13414847.86</v>
      </c>
      <c r="D1337" s="40" t="n">
        <f aca="false">MAX(D1336,C1337)</f>
        <v>27863258.68</v>
      </c>
      <c r="E1337" s="41" t="n">
        <f aca="false">C1337/D1337-1</f>
        <v>-0.518547058186376</v>
      </c>
      <c r="F1337" s="42" t="n">
        <f aca="false">YEAR(A1337)</f>
        <v>2018</v>
      </c>
    </row>
    <row r="1338" customFormat="false" ht="15" hidden="false" customHeight="false" outlineLevel="0" collapsed="false">
      <c r="A1338" s="38" t="n">
        <v>43355</v>
      </c>
      <c r="B1338" s="39" t="n">
        <v>1267</v>
      </c>
      <c r="C1338" s="40" t="n">
        <v>12688907.86</v>
      </c>
      <c r="D1338" s="40" t="n">
        <f aca="false">MAX(D1337,C1338)</f>
        <v>27863258.68</v>
      </c>
      <c r="E1338" s="41" t="n">
        <f aca="false">C1338/D1338-1</f>
        <v>-0.544600722918745</v>
      </c>
      <c r="F1338" s="42" t="n">
        <f aca="false">YEAR(A1338)</f>
        <v>2018</v>
      </c>
    </row>
    <row r="1339" customFormat="false" ht="15" hidden="false" customHeight="false" outlineLevel="0" collapsed="false">
      <c r="A1339" s="38" t="n">
        <v>43356</v>
      </c>
      <c r="B1339" s="39" t="n">
        <v>1285</v>
      </c>
      <c r="C1339" s="40" t="n">
        <v>13395227.86</v>
      </c>
      <c r="D1339" s="40" t="n">
        <f aca="false">MAX(D1338,C1339)</f>
        <v>27863258.68</v>
      </c>
      <c r="E1339" s="41" t="n">
        <f aca="false">C1339/D1339-1</f>
        <v>-0.519251211287251</v>
      </c>
      <c r="F1339" s="42" t="n">
        <f aca="false">YEAR(A1339)</f>
        <v>2018</v>
      </c>
    </row>
    <row r="1340" customFormat="false" ht="15" hidden="false" customHeight="false" outlineLevel="0" collapsed="false">
      <c r="A1340" s="38" t="n">
        <v>43357</v>
      </c>
      <c r="B1340" s="39" t="n">
        <v>1294</v>
      </c>
      <c r="C1340" s="40" t="n">
        <v>13748387.86</v>
      </c>
      <c r="D1340" s="40" t="n">
        <f aca="false">MAX(D1339,C1340)</f>
        <v>27863258.68</v>
      </c>
      <c r="E1340" s="41" t="n">
        <f aca="false">C1340/D1340-1</f>
        <v>-0.506576455471503</v>
      </c>
      <c r="F1340" s="42" t="n">
        <f aca="false">YEAR(A1340)</f>
        <v>2018</v>
      </c>
    </row>
    <row r="1341" customFormat="false" ht="15" hidden="false" customHeight="false" outlineLevel="0" collapsed="false">
      <c r="A1341" s="38" t="n">
        <v>43360</v>
      </c>
      <c r="B1341" s="39" t="n">
        <v>1288.5</v>
      </c>
      <c r="C1341" s="40" t="n">
        <v>13532567.86</v>
      </c>
      <c r="D1341" s="40" t="n">
        <f aca="false">MAX(D1340,C1341)</f>
        <v>27863258.68</v>
      </c>
      <c r="E1341" s="41" t="n">
        <f aca="false">C1341/D1341-1</f>
        <v>-0.514322139581127</v>
      </c>
      <c r="F1341" s="42" t="n">
        <f aca="false">YEAR(A1341)</f>
        <v>2018</v>
      </c>
    </row>
    <row r="1342" customFormat="false" ht="15" hidden="false" customHeight="false" outlineLevel="0" collapsed="false">
      <c r="A1342" s="38" t="n">
        <v>43361</v>
      </c>
      <c r="B1342" s="39" t="n">
        <v>1294</v>
      </c>
      <c r="C1342" s="40" t="n">
        <v>13748387.86</v>
      </c>
      <c r="D1342" s="40" t="n">
        <f aca="false">MAX(D1341,C1342)</f>
        <v>27863258.68</v>
      </c>
      <c r="E1342" s="41" t="n">
        <f aca="false">C1342/D1342-1</f>
        <v>-0.506576455471503</v>
      </c>
      <c r="F1342" s="42" t="n">
        <f aca="false">YEAR(A1342)</f>
        <v>2018</v>
      </c>
    </row>
    <row r="1343" customFormat="false" ht="15" hidden="false" customHeight="false" outlineLevel="0" collapsed="false">
      <c r="A1343" s="38" t="n">
        <v>43362</v>
      </c>
      <c r="B1343" s="39" t="n">
        <v>1302.5</v>
      </c>
      <c r="C1343" s="40" t="n">
        <v>14081927.86</v>
      </c>
      <c r="D1343" s="40" t="n">
        <f aca="false">MAX(D1342,C1343)</f>
        <v>27863258.68</v>
      </c>
      <c r="E1343" s="41" t="n">
        <f aca="false">C1343/D1343-1</f>
        <v>-0.494605852756631</v>
      </c>
      <c r="F1343" s="42" t="n">
        <f aca="false">YEAR(A1343)</f>
        <v>2018</v>
      </c>
    </row>
    <row r="1344" customFormat="false" ht="15" hidden="false" customHeight="false" outlineLevel="0" collapsed="false">
      <c r="A1344" s="38" t="n">
        <v>43363</v>
      </c>
      <c r="B1344" s="39" t="n">
        <v>1274</v>
      </c>
      <c r="C1344" s="40" t="n">
        <v>12963587.86</v>
      </c>
      <c r="D1344" s="40" t="n">
        <f aca="false">MAX(D1343,C1344)</f>
        <v>27863258.68</v>
      </c>
      <c r="E1344" s="41" t="n">
        <f aca="false">C1344/D1344-1</f>
        <v>-0.534742579506497</v>
      </c>
      <c r="F1344" s="42" t="n">
        <f aca="false">YEAR(A1344)</f>
        <v>2018</v>
      </c>
    </row>
    <row r="1345" customFormat="false" ht="15" hidden="false" customHeight="false" outlineLevel="0" collapsed="false">
      <c r="A1345" s="38" t="n">
        <v>43364</v>
      </c>
      <c r="B1345" s="39" t="n">
        <v>1283.5</v>
      </c>
      <c r="C1345" s="40" t="n">
        <v>13336367.86</v>
      </c>
      <c r="D1345" s="40" t="n">
        <f aca="false">MAX(D1344,C1345)</f>
        <v>27863258.68</v>
      </c>
      <c r="E1345" s="41" t="n">
        <f aca="false">C1345/D1345-1</f>
        <v>-0.521363670589875</v>
      </c>
      <c r="F1345" s="42" t="n">
        <f aca="false">YEAR(A1345)</f>
        <v>2018</v>
      </c>
    </row>
    <row r="1346" customFormat="false" ht="15" hidden="false" customHeight="false" outlineLevel="0" collapsed="false">
      <c r="A1346" s="38" t="n">
        <v>43368</v>
      </c>
      <c r="B1346" s="39" t="n">
        <v>1274.5</v>
      </c>
      <c r="C1346" s="40" t="n">
        <v>12983207.86</v>
      </c>
      <c r="D1346" s="40" t="n">
        <f aca="false">MAX(D1345,C1346)</f>
        <v>27863258.68</v>
      </c>
      <c r="E1346" s="41" t="n">
        <f aca="false">C1346/D1346-1</f>
        <v>-0.534038426405622</v>
      </c>
      <c r="F1346" s="42" t="n">
        <f aca="false">YEAR(A1346)</f>
        <v>2018</v>
      </c>
    </row>
    <row r="1347" customFormat="false" ht="15" hidden="false" customHeight="false" outlineLevel="0" collapsed="false">
      <c r="A1347" s="38" t="n">
        <v>43369</v>
      </c>
      <c r="B1347" s="39" t="n">
        <v>1282.5</v>
      </c>
      <c r="C1347" s="40" t="n">
        <v>13297127.86</v>
      </c>
      <c r="D1347" s="40" t="n">
        <f aca="false">MAX(D1346,C1347)</f>
        <v>27863258.68</v>
      </c>
      <c r="E1347" s="41" t="n">
        <f aca="false">C1347/D1347-1</f>
        <v>-0.522771976791625</v>
      </c>
      <c r="F1347" s="42" t="n">
        <f aca="false">YEAR(A1347)</f>
        <v>2018</v>
      </c>
    </row>
    <row r="1348" customFormat="false" ht="15" hidden="false" customHeight="false" outlineLevel="0" collapsed="false">
      <c r="A1348" s="38" t="n">
        <v>43370</v>
      </c>
      <c r="B1348" s="39" t="n">
        <v>1264</v>
      </c>
      <c r="C1348" s="40" t="n">
        <v>12571187.86</v>
      </c>
      <c r="D1348" s="40" t="n">
        <f aca="false">MAX(D1347,C1348)</f>
        <v>27863258.68</v>
      </c>
      <c r="E1348" s="41" t="n">
        <f aca="false">C1348/D1348-1</f>
        <v>-0.548825641523994</v>
      </c>
      <c r="F1348" s="42" t="n">
        <f aca="false">YEAR(A1348)</f>
        <v>2018</v>
      </c>
    </row>
    <row r="1349" customFormat="false" ht="15" hidden="false" customHeight="false" outlineLevel="0" collapsed="false">
      <c r="A1349" s="38" t="n">
        <v>43371</v>
      </c>
      <c r="B1349" s="39" t="n">
        <v>1267.5</v>
      </c>
      <c r="C1349" s="40" t="n">
        <v>12115006.51</v>
      </c>
      <c r="D1349" s="40" t="n">
        <f aca="false">MAX(D1348,C1349)</f>
        <v>27863258.68</v>
      </c>
      <c r="E1349" s="41" t="n">
        <f aca="false">C1349/D1349-1</f>
        <v>-0.565197787913585</v>
      </c>
      <c r="F1349" s="42" t="n">
        <f aca="false">YEAR(A1349)</f>
        <v>2018</v>
      </c>
    </row>
    <row r="1350" customFormat="false" ht="15" hidden="false" customHeight="false" outlineLevel="0" collapsed="false">
      <c r="A1350" s="38" t="n">
        <v>43381</v>
      </c>
      <c r="B1350" s="39" t="n">
        <v>1325</v>
      </c>
      <c r="C1350" s="40" t="n">
        <v>12115006.51</v>
      </c>
      <c r="D1350" s="40" t="n">
        <f aca="false">MAX(D1349,C1350)</f>
        <v>27863258.68</v>
      </c>
      <c r="E1350" s="41" t="n">
        <f aca="false">C1350/D1350-1</f>
        <v>-0.565197787913585</v>
      </c>
      <c r="F1350" s="42" t="n">
        <f aca="false">YEAR(A1350)</f>
        <v>2018</v>
      </c>
    </row>
    <row r="1351" customFormat="false" ht="15" hidden="false" customHeight="false" outlineLevel="0" collapsed="false">
      <c r="A1351" s="38" t="n">
        <v>43382</v>
      </c>
      <c r="B1351" s="39" t="n">
        <v>1327</v>
      </c>
      <c r="C1351" s="40" t="n">
        <v>12262359.53</v>
      </c>
      <c r="D1351" s="40" t="n">
        <f aca="false">MAX(D1350,C1351)</f>
        <v>27863258.68</v>
      </c>
      <c r="E1351" s="41" t="n">
        <f aca="false">C1351/D1351-1</f>
        <v>-0.559909353359239</v>
      </c>
      <c r="F1351" s="42" t="n">
        <f aca="false">YEAR(A1351)</f>
        <v>2018</v>
      </c>
    </row>
    <row r="1352" customFormat="false" ht="15" hidden="false" customHeight="false" outlineLevel="0" collapsed="false">
      <c r="A1352" s="38" t="n">
        <v>43383</v>
      </c>
      <c r="B1352" s="39" t="n">
        <v>1358</v>
      </c>
      <c r="C1352" s="40" t="n">
        <v>13443459.53</v>
      </c>
      <c r="D1352" s="40" t="n">
        <f aca="false">MAX(D1351,C1352)</f>
        <v>27863258.68</v>
      </c>
      <c r="E1352" s="41" t="n">
        <f aca="false">C1352/D1352-1</f>
        <v>-0.517520198035932</v>
      </c>
      <c r="F1352" s="42" t="n">
        <f aca="false">YEAR(A1352)</f>
        <v>2018</v>
      </c>
    </row>
    <row r="1353" customFormat="false" ht="15" hidden="false" customHeight="false" outlineLevel="0" collapsed="false">
      <c r="A1353" s="38" t="n">
        <v>43384</v>
      </c>
      <c r="B1353" s="39" t="n">
        <v>1359.5</v>
      </c>
      <c r="C1353" s="40" t="n">
        <v>13500609.53</v>
      </c>
      <c r="D1353" s="40" t="n">
        <f aca="false">MAX(D1352,C1353)</f>
        <v>27863258.68</v>
      </c>
      <c r="E1353" s="41" t="n">
        <f aca="false">C1353/D1353-1</f>
        <v>-0.515469109875127</v>
      </c>
      <c r="F1353" s="42" t="n">
        <f aca="false">YEAR(A1353)</f>
        <v>2018</v>
      </c>
    </row>
    <row r="1354" customFormat="false" ht="15" hidden="false" customHeight="false" outlineLevel="0" collapsed="false">
      <c r="A1354" s="38" t="n">
        <v>43385</v>
      </c>
      <c r="B1354" s="39" t="n">
        <v>1368.5</v>
      </c>
      <c r="C1354" s="40" t="n">
        <v>13843509.53</v>
      </c>
      <c r="D1354" s="40" t="n">
        <f aca="false">MAX(D1353,C1354)</f>
        <v>27863258.68</v>
      </c>
      <c r="E1354" s="41" t="n">
        <f aca="false">C1354/D1354-1</f>
        <v>-0.503162580910296</v>
      </c>
      <c r="F1354" s="42" t="n">
        <f aca="false">YEAR(A1354)</f>
        <v>2018</v>
      </c>
    </row>
    <row r="1355" customFormat="false" ht="15" hidden="false" customHeight="false" outlineLevel="0" collapsed="false">
      <c r="A1355" s="38" t="n">
        <v>43388</v>
      </c>
      <c r="B1355" s="39" t="n">
        <v>1344</v>
      </c>
      <c r="C1355" s="40" t="n">
        <v>12910059.53</v>
      </c>
      <c r="D1355" s="40" t="n">
        <f aca="false">MAX(D1354,C1355)</f>
        <v>27863258.68</v>
      </c>
      <c r="E1355" s="41" t="n">
        <f aca="false">C1355/D1355-1</f>
        <v>-0.53666368753678</v>
      </c>
      <c r="F1355" s="42" t="n">
        <f aca="false">YEAR(A1355)</f>
        <v>2018</v>
      </c>
    </row>
    <row r="1356" customFormat="false" ht="15" hidden="false" customHeight="false" outlineLevel="0" collapsed="false">
      <c r="A1356" s="38" t="n">
        <v>43389</v>
      </c>
      <c r="B1356" s="39" t="n">
        <v>1361.5</v>
      </c>
      <c r="C1356" s="40" t="n">
        <v>13576809.53</v>
      </c>
      <c r="D1356" s="40" t="n">
        <f aca="false">MAX(D1355,C1356)</f>
        <v>27863258.68</v>
      </c>
      <c r="E1356" s="41" t="n">
        <f aca="false">C1356/D1356-1</f>
        <v>-0.51273432566072</v>
      </c>
      <c r="F1356" s="42" t="n">
        <f aca="false">YEAR(A1356)</f>
        <v>2018</v>
      </c>
    </row>
    <row r="1357" customFormat="false" ht="15" hidden="false" customHeight="false" outlineLevel="0" collapsed="false">
      <c r="A1357" s="38" t="n">
        <v>43390</v>
      </c>
      <c r="B1357" s="39" t="n">
        <v>1394</v>
      </c>
      <c r="C1357" s="40" t="n">
        <v>14815059.53</v>
      </c>
      <c r="D1357" s="40" t="n">
        <f aca="false">MAX(D1356,C1357)</f>
        <v>27863258.68</v>
      </c>
      <c r="E1357" s="41" t="n">
        <f aca="false">C1357/D1357-1</f>
        <v>-0.468294082176608</v>
      </c>
      <c r="F1357" s="42" t="n">
        <f aca="false">YEAR(A1357)</f>
        <v>2018</v>
      </c>
    </row>
    <row r="1358" customFormat="false" ht="15" hidden="false" customHeight="false" outlineLevel="0" collapsed="false">
      <c r="A1358" s="38" t="n">
        <v>43391</v>
      </c>
      <c r="B1358" s="39" t="n">
        <v>1378</v>
      </c>
      <c r="C1358" s="40" t="n">
        <v>14205459.53</v>
      </c>
      <c r="D1358" s="40" t="n">
        <f aca="false">MAX(D1357,C1358)</f>
        <v>27863258.68</v>
      </c>
      <c r="E1358" s="41" t="n">
        <f aca="false">C1358/D1358-1</f>
        <v>-0.490172355891863</v>
      </c>
      <c r="F1358" s="42" t="n">
        <f aca="false">YEAR(A1358)</f>
        <v>2018</v>
      </c>
    </row>
    <row r="1359" customFormat="false" ht="15" hidden="false" customHeight="false" outlineLevel="0" collapsed="false">
      <c r="A1359" s="38" t="n">
        <v>43392</v>
      </c>
      <c r="B1359" s="39" t="n">
        <v>1350.5</v>
      </c>
      <c r="C1359" s="40" t="n">
        <v>13157709.53</v>
      </c>
      <c r="D1359" s="40" t="n">
        <f aca="false">MAX(D1358,C1359)</f>
        <v>27863258.68</v>
      </c>
      <c r="E1359" s="41" t="n">
        <f aca="false">C1359/D1359-1</f>
        <v>-0.527775638839958</v>
      </c>
      <c r="F1359" s="42" t="n">
        <f aca="false">YEAR(A1359)</f>
        <v>2018</v>
      </c>
    </row>
    <row r="1360" customFormat="false" ht="15" hidden="false" customHeight="false" outlineLevel="0" collapsed="false">
      <c r="A1360" s="38" t="n">
        <v>43395</v>
      </c>
      <c r="B1360" s="39" t="n">
        <v>1356</v>
      </c>
      <c r="C1360" s="40" t="n">
        <v>13367259.53</v>
      </c>
      <c r="D1360" s="40" t="n">
        <f aca="false">MAX(D1359,C1360)</f>
        <v>27863258.68</v>
      </c>
      <c r="E1360" s="41" t="n">
        <f aca="false">C1360/D1360-1</f>
        <v>-0.520254982250339</v>
      </c>
      <c r="F1360" s="42" t="n">
        <f aca="false">YEAR(A1360)</f>
        <v>2018</v>
      </c>
    </row>
    <row r="1361" customFormat="false" ht="15" hidden="false" customHeight="false" outlineLevel="0" collapsed="false">
      <c r="A1361" s="38" t="n">
        <v>43396</v>
      </c>
      <c r="B1361" s="39" t="n">
        <v>1380.5</v>
      </c>
      <c r="C1361" s="40" t="n">
        <v>14300709.53</v>
      </c>
      <c r="D1361" s="40" t="n">
        <f aca="false">MAX(D1360,C1361)</f>
        <v>27863258.68</v>
      </c>
      <c r="E1361" s="41" t="n">
        <f aca="false">C1361/D1361-1</f>
        <v>-0.486753875623854</v>
      </c>
      <c r="F1361" s="42" t="n">
        <f aca="false">YEAR(A1361)</f>
        <v>2018</v>
      </c>
    </row>
    <row r="1362" customFormat="false" ht="15" hidden="false" customHeight="false" outlineLevel="0" collapsed="false">
      <c r="A1362" s="38" t="n">
        <v>43397</v>
      </c>
      <c r="B1362" s="39" t="n">
        <v>1387.5</v>
      </c>
      <c r="C1362" s="40" t="n">
        <v>14567409.53</v>
      </c>
      <c r="D1362" s="40" t="n">
        <f aca="false">MAX(D1361,C1362)</f>
        <v>27863258.68</v>
      </c>
      <c r="E1362" s="41" t="n">
        <f aca="false">C1362/D1362-1</f>
        <v>-0.47718213087343</v>
      </c>
      <c r="F1362" s="42" t="n">
        <f aca="false">YEAR(A1362)</f>
        <v>2018</v>
      </c>
    </row>
    <row r="1363" customFormat="false" ht="15" hidden="false" customHeight="false" outlineLevel="0" collapsed="false">
      <c r="A1363" s="38" t="n">
        <v>43398</v>
      </c>
      <c r="B1363" s="39" t="n">
        <v>1407</v>
      </c>
      <c r="C1363" s="40" t="n">
        <v>15310359.53</v>
      </c>
      <c r="D1363" s="40" t="n">
        <f aca="false">MAX(D1362,C1363)</f>
        <v>27863258.68</v>
      </c>
      <c r="E1363" s="41" t="n">
        <f aca="false">C1363/D1363-1</f>
        <v>-0.450517984782963</v>
      </c>
      <c r="F1363" s="42" t="n">
        <f aca="false">YEAR(A1363)</f>
        <v>2018</v>
      </c>
    </row>
    <row r="1364" customFormat="false" ht="15" hidden="false" customHeight="false" outlineLevel="0" collapsed="false">
      <c r="A1364" s="38" t="n">
        <v>43399</v>
      </c>
      <c r="B1364" s="39" t="n">
        <v>1400</v>
      </c>
      <c r="C1364" s="40" t="n">
        <v>15043659.53</v>
      </c>
      <c r="D1364" s="40" t="n">
        <f aca="false">MAX(D1363,C1364)</f>
        <v>27863258.68</v>
      </c>
      <c r="E1364" s="41" t="n">
        <f aca="false">C1364/D1364-1</f>
        <v>-0.460089729533387</v>
      </c>
      <c r="F1364" s="42" t="n">
        <f aca="false">YEAR(A1364)</f>
        <v>2018</v>
      </c>
    </row>
    <row r="1365" customFormat="false" ht="15" hidden="false" customHeight="false" outlineLevel="0" collapsed="false">
      <c r="A1365" s="38" t="n">
        <v>43402</v>
      </c>
      <c r="B1365" s="39" t="n">
        <v>1379</v>
      </c>
      <c r="C1365" s="40" t="n">
        <v>14243559.53</v>
      </c>
      <c r="D1365" s="40" t="n">
        <f aca="false">MAX(D1364,C1365)</f>
        <v>27863258.68</v>
      </c>
      <c r="E1365" s="41" t="n">
        <f aca="false">C1365/D1365-1</f>
        <v>-0.48880496378466</v>
      </c>
      <c r="F1365" s="42" t="n">
        <f aca="false">YEAR(A1365)</f>
        <v>2018</v>
      </c>
    </row>
    <row r="1366" customFormat="false" ht="15" hidden="false" customHeight="false" outlineLevel="0" collapsed="false">
      <c r="A1366" s="38" t="n">
        <v>43403</v>
      </c>
      <c r="B1366" s="39" t="n">
        <v>1385</v>
      </c>
      <c r="C1366" s="40" t="n">
        <v>14472159.53</v>
      </c>
      <c r="D1366" s="40" t="n">
        <f aca="false">MAX(D1365,C1366)</f>
        <v>27863258.68</v>
      </c>
      <c r="E1366" s="41" t="n">
        <f aca="false">C1366/D1366-1</f>
        <v>-0.480600611141439</v>
      </c>
      <c r="F1366" s="42" t="n">
        <f aca="false">YEAR(A1366)</f>
        <v>2018</v>
      </c>
    </row>
    <row r="1367" customFormat="false" ht="15" hidden="false" customHeight="false" outlineLevel="0" collapsed="false">
      <c r="A1367" s="38" t="n">
        <v>43404</v>
      </c>
      <c r="B1367" s="39" t="n">
        <v>1383.5</v>
      </c>
      <c r="C1367" s="40" t="n">
        <v>14415009.53</v>
      </c>
      <c r="D1367" s="40" t="n">
        <f aca="false">MAX(D1366,C1367)</f>
        <v>27863258.68</v>
      </c>
      <c r="E1367" s="41" t="n">
        <f aca="false">C1367/D1367-1</f>
        <v>-0.482651699302244</v>
      </c>
      <c r="F1367" s="42" t="n">
        <f aca="false">YEAR(A1367)</f>
        <v>2018</v>
      </c>
    </row>
    <row r="1368" customFormat="false" ht="15" hidden="false" customHeight="false" outlineLevel="0" collapsed="false">
      <c r="A1368" s="38" t="n">
        <v>43405</v>
      </c>
      <c r="B1368" s="39" t="n">
        <v>1375</v>
      </c>
      <c r="C1368" s="40" t="n">
        <v>14091159.53</v>
      </c>
      <c r="D1368" s="40" t="n">
        <f aca="false">MAX(D1367,C1368)</f>
        <v>27863258.68</v>
      </c>
      <c r="E1368" s="41" t="n">
        <f aca="false">C1368/D1368-1</f>
        <v>-0.494274532213473</v>
      </c>
      <c r="F1368" s="42" t="n">
        <f aca="false">YEAR(A1368)</f>
        <v>2018</v>
      </c>
    </row>
    <row r="1369" customFormat="false" ht="15" hidden="false" customHeight="false" outlineLevel="0" collapsed="false">
      <c r="A1369" s="38" t="n">
        <v>43406</v>
      </c>
      <c r="B1369" s="39" t="n">
        <v>1346.5</v>
      </c>
      <c r="C1369" s="40" t="n">
        <v>13005309.53</v>
      </c>
      <c r="D1369" s="40" t="n">
        <f aca="false">MAX(D1368,C1369)</f>
        <v>27863258.68</v>
      </c>
      <c r="E1369" s="41" t="n">
        <f aca="false">C1369/D1369-1</f>
        <v>-0.533245207268772</v>
      </c>
      <c r="F1369" s="42" t="n">
        <f aca="false">YEAR(A1369)</f>
        <v>2018</v>
      </c>
    </row>
    <row r="1370" customFormat="false" ht="15" hidden="false" customHeight="false" outlineLevel="0" collapsed="false">
      <c r="A1370" s="38" t="n">
        <v>43409</v>
      </c>
      <c r="B1370" s="39" t="n">
        <v>1371.5</v>
      </c>
      <c r="C1370" s="40" t="n">
        <v>13957809.53</v>
      </c>
      <c r="D1370" s="40" t="n">
        <f aca="false">MAX(D1369,C1370)</f>
        <v>27863258.68</v>
      </c>
      <c r="E1370" s="41" t="n">
        <f aca="false">C1370/D1370-1</f>
        <v>-0.499060404588685</v>
      </c>
      <c r="F1370" s="42" t="n">
        <f aca="false">YEAR(A1370)</f>
        <v>2018</v>
      </c>
    </row>
    <row r="1371" customFormat="false" ht="15" hidden="false" customHeight="false" outlineLevel="0" collapsed="false">
      <c r="A1371" s="38" t="n">
        <v>43410</v>
      </c>
      <c r="B1371" s="39" t="n">
        <v>1357.5</v>
      </c>
      <c r="C1371" s="40" t="n">
        <v>13424409.53</v>
      </c>
      <c r="D1371" s="40" t="n">
        <f aca="false">MAX(D1370,C1371)</f>
        <v>27863258.68</v>
      </c>
      <c r="E1371" s="41" t="n">
        <f aca="false">C1371/D1371-1</f>
        <v>-0.518203894089534</v>
      </c>
      <c r="F1371" s="42" t="n">
        <f aca="false">YEAR(A1371)</f>
        <v>2018</v>
      </c>
    </row>
    <row r="1372" customFormat="false" ht="15" hidden="false" customHeight="false" outlineLevel="0" collapsed="false">
      <c r="A1372" s="38" t="n">
        <v>43411</v>
      </c>
      <c r="B1372" s="39" t="n">
        <v>1348.5</v>
      </c>
      <c r="C1372" s="40" t="n">
        <v>13081509.53</v>
      </c>
      <c r="D1372" s="40" t="n">
        <f aca="false">MAX(D1371,C1372)</f>
        <v>27863258.68</v>
      </c>
      <c r="E1372" s="41" t="n">
        <f aca="false">C1372/D1372-1</f>
        <v>-0.530510423054365</v>
      </c>
      <c r="F1372" s="42" t="n">
        <f aca="false">YEAR(A1372)</f>
        <v>2018</v>
      </c>
    </row>
    <row r="1373" customFormat="false" ht="15" hidden="false" customHeight="false" outlineLevel="0" collapsed="false">
      <c r="A1373" s="38" t="n">
        <v>43412</v>
      </c>
      <c r="B1373" s="39" t="n">
        <v>1342</v>
      </c>
      <c r="C1373" s="40" t="n">
        <v>12833859.53</v>
      </c>
      <c r="D1373" s="40" t="n">
        <f aca="false">MAX(D1372,C1373)</f>
        <v>27863258.68</v>
      </c>
      <c r="E1373" s="41" t="n">
        <f aca="false">C1373/D1373-1</f>
        <v>-0.539398471751187</v>
      </c>
      <c r="F1373" s="42" t="n">
        <f aca="false">YEAR(A1373)</f>
        <v>2018</v>
      </c>
    </row>
    <row r="1374" customFormat="false" ht="15" hidden="false" customHeight="false" outlineLevel="0" collapsed="false">
      <c r="A1374" s="38" t="n">
        <v>43413</v>
      </c>
      <c r="B1374" s="39" t="n">
        <v>1324.5</v>
      </c>
      <c r="C1374" s="40" t="n">
        <v>12167109.53</v>
      </c>
      <c r="D1374" s="40" t="n">
        <f aca="false">MAX(D1373,C1374)</f>
        <v>27863258.68</v>
      </c>
      <c r="E1374" s="41" t="n">
        <f aca="false">C1374/D1374-1</f>
        <v>-0.563327833627248</v>
      </c>
      <c r="F1374" s="42" t="n">
        <f aca="false">YEAR(A1374)</f>
        <v>2018</v>
      </c>
    </row>
    <row r="1375" customFormat="false" ht="15" hidden="false" customHeight="false" outlineLevel="0" collapsed="false">
      <c r="A1375" s="38" t="n">
        <v>43416</v>
      </c>
      <c r="B1375" s="39" t="n">
        <v>1331</v>
      </c>
      <c r="C1375" s="40" t="n">
        <v>12414759.53</v>
      </c>
      <c r="D1375" s="40" t="n">
        <f aca="false">MAX(D1374,C1375)</f>
        <v>27863258.68</v>
      </c>
      <c r="E1375" s="41" t="n">
        <f aca="false">C1375/D1375-1</f>
        <v>-0.554439784930425</v>
      </c>
      <c r="F1375" s="42" t="n">
        <f aca="false">YEAR(A1375)</f>
        <v>2018</v>
      </c>
    </row>
    <row r="1376" customFormat="false" ht="15" hidden="false" customHeight="false" outlineLevel="0" collapsed="false">
      <c r="A1376" s="38" t="n">
        <v>43417</v>
      </c>
      <c r="B1376" s="39" t="n">
        <v>1307</v>
      </c>
      <c r="C1376" s="40" t="n">
        <v>11500359.53</v>
      </c>
      <c r="D1376" s="40" t="n">
        <f aca="false">MAX(D1375,C1376)</f>
        <v>27863258.68</v>
      </c>
      <c r="E1376" s="41" t="n">
        <f aca="false">C1376/D1376-1</f>
        <v>-0.587257195503308</v>
      </c>
      <c r="F1376" s="42" t="n">
        <f aca="false">YEAR(A1376)</f>
        <v>2018</v>
      </c>
    </row>
    <row r="1377" customFormat="false" ht="15" hidden="false" customHeight="false" outlineLevel="0" collapsed="false">
      <c r="A1377" s="38" t="n">
        <v>43418</v>
      </c>
      <c r="B1377" s="39" t="n">
        <v>1329</v>
      </c>
      <c r="C1377" s="40" t="n">
        <v>12338559.53</v>
      </c>
      <c r="D1377" s="40" t="n">
        <f aca="false">MAX(D1376,C1377)</f>
        <v>27863258.68</v>
      </c>
      <c r="E1377" s="41" t="n">
        <f aca="false">C1377/D1377-1</f>
        <v>-0.557174569144832</v>
      </c>
      <c r="F1377" s="42" t="n">
        <f aca="false">YEAR(A1377)</f>
        <v>2018</v>
      </c>
    </row>
    <row r="1378" customFormat="false" ht="15" hidden="false" customHeight="false" outlineLevel="0" collapsed="false">
      <c r="A1378" s="38" t="n">
        <v>43419</v>
      </c>
      <c r="B1378" s="39" t="n">
        <v>1353</v>
      </c>
      <c r="C1378" s="40" t="n">
        <v>13252959.53</v>
      </c>
      <c r="D1378" s="40" t="n">
        <f aca="false">MAX(D1377,C1378)</f>
        <v>27863258.68</v>
      </c>
      <c r="E1378" s="41" t="n">
        <f aca="false">C1378/D1378-1</f>
        <v>-0.524357158571949</v>
      </c>
      <c r="F1378" s="42" t="n">
        <f aca="false">YEAR(A1378)</f>
        <v>2018</v>
      </c>
    </row>
    <row r="1379" customFormat="false" ht="15" hidden="false" customHeight="false" outlineLevel="0" collapsed="false">
      <c r="A1379" s="38" t="n">
        <v>43420</v>
      </c>
      <c r="B1379" s="39" t="n">
        <v>1353.5</v>
      </c>
      <c r="C1379" s="40" t="n">
        <v>13272009.53</v>
      </c>
      <c r="D1379" s="40" t="n">
        <f aca="false">MAX(D1378,C1379)</f>
        <v>27863258.68</v>
      </c>
      <c r="E1379" s="41" t="n">
        <f aca="false">C1379/D1379-1</f>
        <v>-0.523673462518348</v>
      </c>
      <c r="F1379" s="42" t="n">
        <f aca="false">YEAR(A1379)</f>
        <v>2018</v>
      </c>
    </row>
    <row r="1380" customFormat="false" ht="15" hidden="false" customHeight="false" outlineLevel="0" collapsed="false">
      <c r="A1380" s="38" t="n">
        <v>43423</v>
      </c>
      <c r="B1380" s="39" t="n">
        <v>1352</v>
      </c>
      <c r="C1380" s="40" t="n">
        <v>13214859.53</v>
      </c>
      <c r="D1380" s="40" t="n">
        <f aca="false">MAX(D1379,C1380)</f>
        <v>27863258.68</v>
      </c>
      <c r="E1380" s="41" t="n">
        <f aca="false">C1380/D1380-1</f>
        <v>-0.525724550679153</v>
      </c>
      <c r="F1380" s="42" t="n">
        <f aca="false">YEAR(A1380)</f>
        <v>2018</v>
      </c>
    </row>
    <row r="1381" customFormat="false" ht="15" hidden="false" customHeight="false" outlineLevel="0" collapsed="false">
      <c r="A1381" s="38" t="n">
        <v>43424</v>
      </c>
      <c r="B1381" s="39" t="n">
        <v>1336</v>
      </c>
      <c r="C1381" s="40" t="n">
        <v>12605259.53</v>
      </c>
      <c r="D1381" s="40" t="n">
        <f aca="false">MAX(D1380,C1381)</f>
        <v>27863258.68</v>
      </c>
      <c r="E1381" s="41" t="n">
        <f aca="false">C1381/D1381-1</f>
        <v>-0.547602824394408</v>
      </c>
      <c r="F1381" s="42" t="n">
        <f aca="false">YEAR(A1381)</f>
        <v>2018</v>
      </c>
    </row>
    <row r="1382" customFormat="false" ht="15" hidden="false" customHeight="false" outlineLevel="0" collapsed="false">
      <c r="A1382" s="38" t="n">
        <v>43425</v>
      </c>
      <c r="B1382" s="39" t="n">
        <v>1345.5</v>
      </c>
      <c r="C1382" s="40" t="n">
        <v>12967209.53</v>
      </c>
      <c r="D1382" s="40" t="n">
        <f aca="false">MAX(D1381,C1382)</f>
        <v>27863258.68</v>
      </c>
      <c r="E1382" s="41" t="n">
        <f aca="false">C1382/D1382-1</f>
        <v>-0.534612599375975</v>
      </c>
      <c r="F1382" s="42" t="n">
        <f aca="false">YEAR(A1382)</f>
        <v>2018</v>
      </c>
    </row>
    <row r="1383" customFormat="false" ht="15" hidden="false" customHeight="false" outlineLevel="0" collapsed="false">
      <c r="A1383" s="38" t="n">
        <v>43426</v>
      </c>
      <c r="B1383" s="39" t="n">
        <v>1327</v>
      </c>
      <c r="C1383" s="40" t="n">
        <v>13539849.16</v>
      </c>
      <c r="D1383" s="40" t="n">
        <f aca="false">MAX(D1382,C1383)</f>
        <v>27863258.68</v>
      </c>
      <c r="E1383" s="41" t="n">
        <f aca="false">C1383/D1383-1</f>
        <v>-0.514060816952513</v>
      </c>
      <c r="F1383" s="42" t="n">
        <f aca="false">YEAR(A1383)</f>
        <v>2018</v>
      </c>
    </row>
    <row r="1384" customFormat="false" ht="15" hidden="false" customHeight="false" outlineLevel="0" collapsed="false">
      <c r="A1384" s="38" t="n">
        <v>43427</v>
      </c>
      <c r="B1384" s="39" t="n">
        <v>1307.5</v>
      </c>
      <c r="C1384" s="40" t="n">
        <v>14319069.16</v>
      </c>
      <c r="D1384" s="40" t="n">
        <f aca="false">MAX(D1383,C1384)</f>
        <v>27863258.68</v>
      </c>
      <c r="E1384" s="41" t="n">
        <f aca="false">C1384/D1384-1</f>
        <v>-0.486094956643456</v>
      </c>
      <c r="F1384" s="42" t="n">
        <f aca="false">YEAR(A1384)</f>
        <v>2018</v>
      </c>
    </row>
    <row r="1385" customFormat="false" ht="15" hidden="false" customHeight="false" outlineLevel="0" collapsed="false">
      <c r="A1385" s="38" t="n">
        <v>43430</v>
      </c>
      <c r="B1385" s="39" t="n">
        <v>1254</v>
      </c>
      <c r="C1385" s="40" t="n">
        <v>16456929.16</v>
      </c>
      <c r="D1385" s="40" t="n">
        <f aca="false">MAX(D1384,C1385)</f>
        <v>27863258.68</v>
      </c>
      <c r="E1385" s="41" t="n">
        <f aca="false">C1385/D1385-1</f>
        <v>-0.409368109128864</v>
      </c>
      <c r="F1385" s="42" t="n">
        <f aca="false">YEAR(A1385)</f>
        <v>2018</v>
      </c>
    </row>
    <row r="1386" customFormat="false" ht="15" hidden="false" customHeight="false" outlineLevel="0" collapsed="false">
      <c r="A1386" s="38" t="n">
        <v>43431</v>
      </c>
      <c r="B1386" s="39" t="n">
        <v>1250.5</v>
      </c>
      <c r="C1386" s="40" t="n">
        <v>16596789.16</v>
      </c>
      <c r="D1386" s="40" t="n">
        <f aca="false">MAX(D1385,C1386)</f>
        <v>27863258.68</v>
      </c>
      <c r="E1386" s="41" t="n">
        <f aca="false">C1386/D1386-1</f>
        <v>-0.404348595740059</v>
      </c>
      <c r="F1386" s="42" t="n">
        <f aca="false">YEAR(A1386)</f>
        <v>2018</v>
      </c>
    </row>
    <row r="1387" customFormat="false" ht="15" hidden="false" customHeight="false" outlineLevel="0" collapsed="false">
      <c r="A1387" s="38" t="n">
        <v>43432</v>
      </c>
      <c r="B1387" s="39" t="n">
        <v>1270</v>
      </c>
      <c r="C1387" s="40" t="n">
        <v>15817569.16</v>
      </c>
      <c r="D1387" s="40" t="n">
        <f aca="false">MAX(D1386,C1387)</f>
        <v>27863258.68</v>
      </c>
      <c r="E1387" s="41" t="n">
        <f aca="false">C1387/D1387-1</f>
        <v>-0.432314456049116</v>
      </c>
      <c r="F1387" s="42" t="n">
        <f aca="false">YEAR(A1387)</f>
        <v>2018</v>
      </c>
    </row>
    <row r="1388" customFormat="false" ht="15" hidden="false" customHeight="false" outlineLevel="0" collapsed="false">
      <c r="A1388" s="38" t="n">
        <v>43433</v>
      </c>
      <c r="B1388" s="39" t="n">
        <v>1277.5</v>
      </c>
      <c r="C1388" s="40" t="n">
        <v>15517869.16</v>
      </c>
      <c r="D1388" s="40" t="n">
        <f aca="false">MAX(D1387,C1388)</f>
        <v>27863258.68</v>
      </c>
      <c r="E1388" s="41" t="n">
        <f aca="false">C1388/D1388-1</f>
        <v>-0.443070556167984</v>
      </c>
      <c r="F1388" s="42" t="n">
        <f aca="false">YEAR(A1388)</f>
        <v>2018</v>
      </c>
    </row>
    <row r="1389" customFormat="false" ht="15" hidden="false" customHeight="false" outlineLevel="0" collapsed="false">
      <c r="A1389" s="38" t="n">
        <v>43434</v>
      </c>
      <c r="B1389" s="39" t="n">
        <v>1267.5</v>
      </c>
      <c r="C1389" s="40" t="n">
        <v>15917469.16</v>
      </c>
      <c r="D1389" s="40" t="n">
        <f aca="false">MAX(D1388,C1389)</f>
        <v>27863258.68</v>
      </c>
      <c r="E1389" s="41" t="n">
        <f aca="false">C1389/D1389-1</f>
        <v>-0.428729089342826</v>
      </c>
      <c r="F1389" s="42" t="n">
        <f aca="false">YEAR(A1389)</f>
        <v>2018</v>
      </c>
    </row>
    <row r="1390" customFormat="false" ht="15" hidden="false" customHeight="false" outlineLevel="0" collapsed="false">
      <c r="A1390" s="38" t="n">
        <v>43437</v>
      </c>
      <c r="B1390" s="39" t="n">
        <v>1311</v>
      </c>
      <c r="C1390" s="40" t="n">
        <v>14179209.16</v>
      </c>
      <c r="D1390" s="40" t="n">
        <f aca="false">MAX(D1389,C1390)</f>
        <v>27863258.68</v>
      </c>
      <c r="E1390" s="41" t="n">
        <f aca="false">C1390/D1390-1</f>
        <v>-0.491114470032261</v>
      </c>
      <c r="F1390" s="42" t="n">
        <f aca="false">YEAR(A1390)</f>
        <v>2018</v>
      </c>
    </row>
    <row r="1391" customFormat="false" ht="15" hidden="false" customHeight="false" outlineLevel="0" collapsed="false">
      <c r="A1391" s="38" t="n">
        <v>43438</v>
      </c>
      <c r="B1391" s="39" t="n">
        <v>1316</v>
      </c>
      <c r="C1391" s="40" t="n">
        <v>13979409.16</v>
      </c>
      <c r="D1391" s="40" t="n">
        <f aca="false">MAX(D1390,C1391)</f>
        <v>27863258.68</v>
      </c>
      <c r="E1391" s="41" t="n">
        <f aca="false">C1391/D1391-1</f>
        <v>-0.49828520344484</v>
      </c>
      <c r="F1391" s="42" t="n">
        <f aca="false">YEAR(A1391)</f>
        <v>2018</v>
      </c>
    </row>
    <row r="1392" customFormat="false" ht="15" hidden="false" customHeight="false" outlineLevel="0" collapsed="false">
      <c r="A1392" s="38" t="n">
        <v>43439</v>
      </c>
      <c r="B1392" s="39" t="n">
        <v>1330</v>
      </c>
      <c r="C1392" s="40" t="n">
        <v>13419969.16</v>
      </c>
      <c r="D1392" s="40" t="n">
        <f aca="false">MAX(D1391,C1392)</f>
        <v>27863258.68</v>
      </c>
      <c r="E1392" s="41" t="n">
        <f aca="false">C1392/D1392-1</f>
        <v>-0.51836325700006</v>
      </c>
      <c r="F1392" s="42" t="n">
        <f aca="false">YEAR(A1392)</f>
        <v>2018</v>
      </c>
    </row>
    <row r="1393" customFormat="false" ht="15" hidden="false" customHeight="false" outlineLevel="0" collapsed="false">
      <c r="A1393" s="38" t="n">
        <v>43440</v>
      </c>
      <c r="B1393" s="39" t="n">
        <v>1320</v>
      </c>
      <c r="C1393" s="40" t="n">
        <v>13819569.16</v>
      </c>
      <c r="D1393" s="40" t="n">
        <f aca="false">MAX(D1392,C1393)</f>
        <v>27863258.68</v>
      </c>
      <c r="E1393" s="41" t="n">
        <f aca="false">C1393/D1393-1</f>
        <v>-0.504021790174903</v>
      </c>
      <c r="F1393" s="42" t="n">
        <f aca="false">YEAR(A1393)</f>
        <v>2018</v>
      </c>
    </row>
    <row r="1394" customFormat="false" ht="15" hidden="false" customHeight="false" outlineLevel="0" collapsed="false">
      <c r="A1394" s="38" t="n">
        <v>43441</v>
      </c>
      <c r="B1394" s="39" t="n">
        <v>1343.5</v>
      </c>
      <c r="C1394" s="40" t="n">
        <v>12880509.16</v>
      </c>
      <c r="D1394" s="40" t="n">
        <f aca="false">MAX(D1393,C1394)</f>
        <v>27863258.68</v>
      </c>
      <c r="E1394" s="41" t="n">
        <f aca="false">C1394/D1394-1</f>
        <v>-0.537724237214023</v>
      </c>
      <c r="F1394" s="42" t="n">
        <f aca="false">YEAR(A1394)</f>
        <v>2018</v>
      </c>
    </row>
    <row r="1395" customFormat="false" ht="15" hidden="false" customHeight="false" outlineLevel="0" collapsed="false">
      <c r="A1395" s="38" t="n">
        <v>43444</v>
      </c>
      <c r="B1395" s="39" t="n">
        <v>1317</v>
      </c>
      <c r="C1395" s="40" t="n">
        <v>13939449.16</v>
      </c>
      <c r="D1395" s="40" t="n">
        <f aca="false">MAX(D1394,C1395)</f>
        <v>27863258.68</v>
      </c>
      <c r="E1395" s="41" t="n">
        <f aca="false">C1395/D1395-1</f>
        <v>-0.499719350127356</v>
      </c>
      <c r="F1395" s="42" t="n">
        <f aca="false">YEAR(A1395)</f>
        <v>2018</v>
      </c>
    </row>
    <row r="1396" customFormat="false" ht="15" hidden="false" customHeight="false" outlineLevel="0" collapsed="false">
      <c r="A1396" s="38" t="n">
        <v>43445</v>
      </c>
      <c r="B1396" s="39" t="n">
        <v>1303.5</v>
      </c>
      <c r="C1396" s="40" t="n">
        <v>14478909.16</v>
      </c>
      <c r="D1396" s="40" t="n">
        <f aca="false">MAX(D1395,C1396)</f>
        <v>27863258.68</v>
      </c>
      <c r="E1396" s="41" t="n">
        <f aca="false">C1396/D1396-1</f>
        <v>-0.480358369913393</v>
      </c>
      <c r="F1396" s="42" t="n">
        <f aca="false">YEAR(A1396)</f>
        <v>2018</v>
      </c>
    </row>
    <row r="1397" customFormat="false" ht="15" hidden="false" customHeight="false" outlineLevel="0" collapsed="false">
      <c r="A1397" s="38" t="n">
        <v>43446</v>
      </c>
      <c r="B1397" s="39" t="n">
        <v>1299</v>
      </c>
      <c r="C1397" s="40" t="n">
        <v>14658729.16</v>
      </c>
      <c r="D1397" s="40" t="n">
        <f aca="false">MAX(D1396,C1397)</f>
        <v>27863258.68</v>
      </c>
      <c r="E1397" s="41" t="n">
        <f aca="false">C1397/D1397-1</f>
        <v>-0.473904709842072</v>
      </c>
      <c r="F1397" s="42" t="n">
        <f aca="false">YEAR(A1397)</f>
        <v>2018</v>
      </c>
    </row>
    <row r="1398" customFormat="false" ht="15" hidden="false" customHeight="false" outlineLevel="0" collapsed="false">
      <c r="A1398" s="38" t="n">
        <v>43447</v>
      </c>
      <c r="B1398" s="39" t="n">
        <v>1304</v>
      </c>
      <c r="C1398" s="40" t="n">
        <v>14458929.16</v>
      </c>
      <c r="D1398" s="40" t="n">
        <f aca="false">MAX(D1397,C1398)</f>
        <v>27863258.68</v>
      </c>
      <c r="E1398" s="41" t="n">
        <f aca="false">C1398/D1398-1</f>
        <v>-0.481075443254651</v>
      </c>
      <c r="F1398" s="42" t="n">
        <f aca="false">YEAR(A1398)</f>
        <v>2018</v>
      </c>
    </row>
    <row r="1399" customFormat="false" ht="15" hidden="false" customHeight="false" outlineLevel="0" collapsed="false">
      <c r="A1399" s="38" t="n">
        <v>43448</v>
      </c>
      <c r="B1399" s="39" t="n">
        <v>1306</v>
      </c>
      <c r="C1399" s="40" t="n">
        <v>14379009.16</v>
      </c>
      <c r="D1399" s="40" t="n">
        <f aca="false">MAX(D1398,C1399)</f>
        <v>27863258.68</v>
      </c>
      <c r="E1399" s="41" t="n">
        <f aca="false">C1399/D1399-1</f>
        <v>-0.483943736619682</v>
      </c>
      <c r="F1399" s="42" t="n">
        <f aca="false">YEAR(A1399)</f>
        <v>2018</v>
      </c>
    </row>
    <row r="1400" customFormat="false" ht="15" hidden="false" customHeight="false" outlineLevel="0" collapsed="false">
      <c r="A1400" s="38" t="n">
        <v>43451</v>
      </c>
      <c r="B1400" s="39" t="n">
        <v>1297</v>
      </c>
      <c r="C1400" s="40" t="n">
        <v>14738649.16</v>
      </c>
      <c r="D1400" s="40" t="n">
        <f aca="false">MAX(D1399,C1400)</f>
        <v>27863258.68</v>
      </c>
      <c r="E1400" s="41" t="n">
        <f aca="false">C1400/D1400-1</f>
        <v>-0.471036416477041</v>
      </c>
      <c r="F1400" s="42" t="n">
        <f aca="false">YEAR(A1400)</f>
        <v>2018</v>
      </c>
    </row>
    <row r="1401" customFormat="false" ht="15" hidden="false" customHeight="false" outlineLevel="0" collapsed="false">
      <c r="A1401" s="38" t="n">
        <v>43452</v>
      </c>
      <c r="B1401" s="39" t="n">
        <v>1274.5</v>
      </c>
      <c r="C1401" s="40" t="n">
        <v>15637749.16</v>
      </c>
      <c r="D1401" s="40" t="n">
        <f aca="false">MAX(D1400,C1401)</f>
        <v>27863258.68</v>
      </c>
      <c r="E1401" s="41" t="n">
        <f aca="false">C1401/D1401-1</f>
        <v>-0.438768116120437</v>
      </c>
      <c r="F1401" s="42" t="n">
        <f aca="false">YEAR(A1401)</f>
        <v>2018</v>
      </c>
    </row>
    <row r="1402" customFormat="false" ht="15" hidden="false" customHeight="false" outlineLevel="0" collapsed="false">
      <c r="A1402" s="38" t="n">
        <v>43453</v>
      </c>
      <c r="B1402" s="39" t="n">
        <v>1252</v>
      </c>
      <c r="C1402" s="40" t="n">
        <v>16536849.16</v>
      </c>
      <c r="D1402" s="40" t="n">
        <f aca="false">MAX(D1401,C1402)</f>
        <v>27863258.68</v>
      </c>
      <c r="E1402" s="41" t="n">
        <f aca="false">C1402/D1402-1</f>
        <v>-0.406499815763832</v>
      </c>
      <c r="F1402" s="42" t="n">
        <f aca="false">YEAR(A1402)</f>
        <v>2018</v>
      </c>
    </row>
    <row r="1403" customFormat="false" ht="15" hidden="false" customHeight="false" outlineLevel="0" collapsed="false">
      <c r="A1403" s="38" t="n">
        <v>43454</v>
      </c>
      <c r="B1403" s="39" t="n">
        <v>1246</v>
      </c>
      <c r="C1403" s="40" t="n">
        <v>16776609.16</v>
      </c>
      <c r="D1403" s="40" t="n">
        <f aca="false">MAX(D1402,C1403)</f>
        <v>27863258.68</v>
      </c>
      <c r="E1403" s="41" t="n">
        <f aca="false">C1403/D1403-1</f>
        <v>-0.397894935668738</v>
      </c>
      <c r="F1403" s="42" t="n">
        <f aca="false">YEAR(A1403)</f>
        <v>2018</v>
      </c>
    </row>
    <row r="1404" customFormat="false" ht="15" hidden="false" customHeight="false" outlineLevel="0" collapsed="false">
      <c r="A1404" s="38" t="n">
        <v>43455</v>
      </c>
      <c r="B1404" s="39" t="n">
        <v>1245</v>
      </c>
      <c r="C1404" s="40" t="n">
        <v>16816569.16</v>
      </c>
      <c r="D1404" s="40" t="n">
        <f aca="false">MAX(D1403,C1404)</f>
        <v>27863258.68</v>
      </c>
      <c r="E1404" s="41" t="n">
        <f aca="false">C1404/D1404-1</f>
        <v>-0.396460788986222</v>
      </c>
      <c r="F1404" s="42" t="n">
        <f aca="false">YEAR(A1404)</f>
        <v>2018</v>
      </c>
    </row>
    <row r="1405" customFormat="false" ht="15" hidden="false" customHeight="false" outlineLevel="0" collapsed="false">
      <c r="A1405" s="38" t="n">
        <v>43458</v>
      </c>
      <c r="B1405" s="39" t="n">
        <v>1244</v>
      </c>
      <c r="C1405" s="40" t="n">
        <v>16856529.16</v>
      </c>
      <c r="D1405" s="40" t="n">
        <f aca="false">MAX(D1404,C1405)</f>
        <v>27863258.68</v>
      </c>
      <c r="E1405" s="41" t="n">
        <f aca="false">C1405/D1405-1</f>
        <v>-0.395026642303706</v>
      </c>
      <c r="F1405" s="42" t="n">
        <f aca="false">YEAR(A1405)</f>
        <v>2018</v>
      </c>
    </row>
    <row r="1406" customFormat="false" ht="15" hidden="false" customHeight="false" outlineLevel="0" collapsed="false">
      <c r="A1406" s="38" t="n">
        <v>43459</v>
      </c>
      <c r="B1406" s="39" t="n">
        <v>1212</v>
      </c>
      <c r="C1406" s="40" t="n">
        <v>18135249.16</v>
      </c>
      <c r="D1406" s="40" t="n">
        <f aca="false">MAX(D1405,C1406)</f>
        <v>27863258.68</v>
      </c>
      <c r="E1406" s="41" t="n">
        <f aca="false">C1406/D1406-1</f>
        <v>-0.349133948463202</v>
      </c>
      <c r="F1406" s="42" t="n">
        <f aca="false">YEAR(A1406)</f>
        <v>2018</v>
      </c>
    </row>
    <row r="1407" customFormat="false" ht="15" hidden="false" customHeight="false" outlineLevel="0" collapsed="false">
      <c r="A1407" s="38" t="n">
        <v>43460</v>
      </c>
      <c r="B1407" s="39" t="n">
        <v>1215.5</v>
      </c>
      <c r="C1407" s="40" t="n">
        <v>17995389.16</v>
      </c>
      <c r="D1407" s="40" t="n">
        <f aca="false">MAX(D1406,C1407)</f>
        <v>27863258.68</v>
      </c>
      <c r="E1407" s="41" t="n">
        <f aca="false">C1407/D1407-1</f>
        <v>-0.354153461852008</v>
      </c>
      <c r="F1407" s="42" t="n">
        <f aca="false">YEAR(A1407)</f>
        <v>2018</v>
      </c>
    </row>
    <row r="1408" customFormat="false" ht="15" hidden="false" customHeight="false" outlineLevel="0" collapsed="false">
      <c r="A1408" s="38" t="n">
        <v>43461</v>
      </c>
      <c r="B1408" s="39" t="n">
        <v>1211.5</v>
      </c>
      <c r="C1408" s="40" t="n">
        <v>18155229.16</v>
      </c>
      <c r="D1408" s="40" t="n">
        <f aca="false">MAX(D1407,C1408)</f>
        <v>27863258.68</v>
      </c>
      <c r="E1408" s="41" t="n">
        <f aca="false">C1408/D1408-1</f>
        <v>-0.348416875121945</v>
      </c>
      <c r="F1408" s="42" t="n">
        <f aca="false">YEAR(A1408)</f>
        <v>2018</v>
      </c>
    </row>
    <row r="1409" customFormat="false" ht="15" hidden="false" customHeight="false" outlineLevel="0" collapsed="false">
      <c r="A1409" s="38" t="n">
        <v>43462</v>
      </c>
      <c r="B1409" s="39" t="n">
        <v>1198</v>
      </c>
      <c r="C1409" s="40" t="n">
        <v>18694689.16</v>
      </c>
      <c r="D1409" s="40" t="n">
        <f aca="false">MAX(D1408,C1409)</f>
        <v>27863258.68</v>
      </c>
      <c r="E1409" s="41" t="n">
        <f aca="false">C1409/D1409-1</f>
        <v>-0.329055894907982</v>
      </c>
      <c r="F1409" s="42" t="n">
        <f aca="false">YEAR(A1409)</f>
        <v>2018</v>
      </c>
    </row>
    <row r="1410" customFormat="false" ht="15" hidden="false" customHeight="false" outlineLevel="0" collapsed="false">
      <c r="A1410" s="38" t="n">
        <v>43467</v>
      </c>
      <c r="B1410" s="39" t="n">
        <v>1163.5</v>
      </c>
      <c r="C1410" s="40" t="n">
        <v>20073309.16</v>
      </c>
      <c r="D1410" s="40" t="n">
        <f aca="false">MAX(D1409,C1410)</f>
        <v>27863258.68</v>
      </c>
      <c r="E1410" s="41" t="n">
        <f aca="false">C1410/D1410-1</f>
        <v>-0.279577834361189</v>
      </c>
      <c r="F1410" s="42" t="n">
        <f aca="false">YEAR(A1410)</f>
        <v>2019</v>
      </c>
    </row>
    <row r="1411" customFormat="false" ht="15" hidden="false" customHeight="false" outlineLevel="0" collapsed="false">
      <c r="A1411" s="38" t="n">
        <v>43468</v>
      </c>
      <c r="B1411" s="39" t="n">
        <v>1191</v>
      </c>
      <c r="C1411" s="40" t="n">
        <v>18974409.16</v>
      </c>
      <c r="D1411" s="40" t="n">
        <f aca="false">MAX(D1410,C1411)</f>
        <v>27863258.68</v>
      </c>
      <c r="E1411" s="41" t="n">
        <f aca="false">C1411/D1411-1</f>
        <v>-0.319016868130372</v>
      </c>
      <c r="F1411" s="42" t="n">
        <f aca="false">YEAR(A1411)</f>
        <v>2019</v>
      </c>
    </row>
    <row r="1412" customFormat="false" ht="15" hidden="false" customHeight="false" outlineLevel="0" collapsed="false">
      <c r="A1412" s="38" t="n">
        <v>43469</v>
      </c>
      <c r="B1412" s="39" t="n">
        <v>1201.5</v>
      </c>
      <c r="C1412" s="40" t="n">
        <v>18554829.16</v>
      </c>
      <c r="D1412" s="40" t="n">
        <f aca="false">MAX(D1411,C1412)</f>
        <v>27863258.68</v>
      </c>
      <c r="E1412" s="41" t="n">
        <f aca="false">C1412/D1412-1</f>
        <v>-0.334075408296787</v>
      </c>
      <c r="F1412" s="42" t="n">
        <f aca="false">YEAR(A1412)</f>
        <v>2019</v>
      </c>
    </row>
    <row r="1413" customFormat="false" ht="15" hidden="false" customHeight="false" outlineLevel="0" collapsed="false">
      <c r="A1413" s="38" t="n">
        <v>43472</v>
      </c>
      <c r="B1413" s="39" t="n">
        <v>1211</v>
      </c>
      <c r="C1413" s="40" t="n">
        <v>18175209.16</v>
      </c>
      <c r="D1413" s="40" t="n">
        <f aca="false">MAX(D1412,C1413)</f>
        <v>27863258.68</v>
      </c>
      <c r="E1413" s="41" t="n">
        <f aca="false">C1413/D1413-1</f>
        <v>-0.347699801780687</v>
      </c>
      <c r="F1413" s="42" t="n">
        <f aca="false">YEAR(A1413)</f>
        <v>2019</v>
      </c>
    </row>
    <row r="1414" customFormat="false" ht="15" hidden="false" customHeight="false" outlineLevel="0" collapsed="false">
      <c r="A1414" s="38" t="n">
        <v>43473</v>
      </c>
      <c r="B1414" s="39" t="n">
        <v>1200</v>
      </c>
      <c r="C1414" s="40" t="n">
        <v>18614769.16</v>
      </c>
      <c r="D1414" s="40" t="n">
        <f aca="false">MAX(D1413,C1414)</f>
        <v>27863258.68</v>
      </c>
      <c r="E1414" s="41" t="n">
        <f aca="false">C1414/D1414-1</f>
        <v>-0.331924188273014</v>
      </c>
      <c r="F1414" s="42" t="n">
        <f aca="false">YEAR(A1414)</f>
        <v>2019</v>
      </c>
    </row>
    <row r="1415" customFormat="false" ht="15" hidden="false" customHeight="false" outlineLevel="0" collapsed="false">
      <c r="A1415" s="38" t="n">
        <v>43474</v>
      </c>
      <c r="B1415" s="39" t="n">
        <v>1203.5</v>
      </c>
      <c r="C1415" s="40" t="n">
        <v>18474909.16</v>
      </c>
      <c r="D1415" s="40" t="n">
        <f aca="false">MAX(D1414,C1415)</f>
        <v>27863258.68</v>
      </c>
      <c r="E1415" s="41" t="n">
        <f aca="false">C1415/D1415-1</f>
        <v>-0.336943701661819</v>
      </c>
      <c r="F1415" s="42" t="n">
        <f aca="false">YEAR(A1415)</f>
        <v>2019</v>
      </c>
    </row>
    <row r="1416" customFormat="false" ht="15" hidden="false" customHeight="false" outlineLevel="0" collapsed="false">
      <c r="A1416" s="38" t="n">
        <v>43475</v>
      </c>
      <c r="B1416" s="39" t="n">
        <v>1207</v>
      </c>
      <c r="C1416" s="40" t="n">
        <v>18335049.16</v>
      </c>
      <c r="D1416" s="40" t="n">
        <f aca="false">MAX(D1415,C1416)</f>
        <v>27863258.68</v>
      </c>
      <c r="E1416" s="41" t="n">
        <f aca="false">C1416/D1416-1</f>
        <v>-0.341963215050624</v>
      </c>
      <c r="F1416" s="42" t="n">
        <f aca="false">YEAR(A1416)</f>
        <v>2019</v>
      </c>
    </row>
    <row r="1417" customFormat="false" ht="15" hidden="false" customHeight="false" outlineLevel="0" collapsed="false">
      <c r="A1417" s="38" t="n">
        <v>43476</v>
      </c>
      <c r="B1417" s="39" t="n">
        <v>1246.5</v>
      </c>
      <c r="C1417" s="40" t="n">
        <v>16756629.16</v>
      </c>
      <c r="D1417" s="40" t="n">
        <f aca="false">MAX(D1416,C1417)</f>
        <v>27863258.68</v>
      </c>
      <c r="E1417" s="41" t="n">
        <f aca="false">C1417/D1417-1</f>
        <v>-0.398612009009996</v>
      </c>
      <c r="F1417" s="42" t="n">
        <f aca="false">YEAR(A1417)</f>
        <v>2019</v>
      </c>
    </row>
    <row r="1418" customFormat="false" ht="15" hidden="false" customHeight="false" outlineLevel="0" collapsed="false">
      <c r="A1418" s="38" t="n">
        <v>43479</v>
      </c>
      <c r="B1418" s="39" t="n">
        <v>1257.5</v>
      </c>
      <c r="C1418" s="40" t="n">
        <v>16317069.16</v>
      </c>
      <c r="D1418" s="40" t="n">
        <f aca="false">MAX(D1417,C1418)</f>
        <v>27863258.68</v>
      </c>
      <c r="E1418" s="41" t="n">
        <f aca="false">C1418/D1418-1</f>
        <v>-0.414387622517669</v>
      </c>
      <c r="F1418" s="42" t="n">
        <f aca="false">YEAR(A1418)</f>
        <v>2019</v>
      </c>
    </row>
    <row r="1419" customFormat="false" ht="15" hidden="false" customHeight="false" outlineLevel="0" collapsed="false">
      <c r="A1419" s="38" t="n">
        <v>43480</v>
      </c>
      <c r="B1419" s="39" t="n">
        <v>1249</v>
      </c>
      <c r="C1419" s="40" t="n">
        <v>16656729.16</v>
      </c>
      <c r="D1419" s="40" t="n">
        <f aca="false">MAX(D1418,C1419)</f>
        <v>27863258.68</v>
      </c>
      <c r="E1419" s="41" t="n">
        <f aca="false">C1419/D1419-1</f>
        <v>-0.402197375716285</v>
      </c>
      <c r="F1419" s="42" t="n">
        <f aca="false">YEAR(A1419)</f>
        <v>2019</v>
      </c>
    </row>
    <row r="1420" customFormat="false" ht="15" hidden="false" customHeight="false" outlineLevel="0" collapsed="false">
      <c r="A1420" s="38" t="n">
        <v>43481</v>
      </c>
      <c r="B1420" s="39" t="n">
        <v>1244</v>
      </c>
      <c r="C1420" s="40" t="n">
        <v>16856529.16</v>
      </c>
      <c r="D1420" s="40" t="n">
        <f aca="false">MAX(D1419,C1420)</f>
        <v>27863258.68</v>
      </c>
      <c r="E1420" s="41" t="n">
        <f aca="false">C1420/D1420-1</f>
        <v>-0.395026642303706</v>
      </c>
      <c r="F1420" s="42" t="n">
        <f aca="false">YEAR(A1420)</f>
        <v>2019</v>
      </c>
    </row>
    <row r="1421" customFormat="false" ht="15" hidden="false" customHeight="false" outlineLevel="0" collapsed="false">
      <c r="A1421" s="38" t="n">
        <v>43482</v>
      </c>
      <c r="B1421" s="39" t="n">
        <v>1244.5</v>
      </c>
      <c r="C1421" s="40" t="n">
        <v>16836549.16</v>
      </c>
      <c r="D1421" s="40" t="n">
        <f aca="false">MAX(D1420,C1421)</f>
        <v>27863258.68</v>
      </c>
      <c r="E1421" s="41" t="n">
        <f aca="false">C1421/D1421-1</f>
        <v>-0.395743715644964</v>
      </c>
      <c r="F1421" s="42" t="n">
        <f aca="false">YEAR(A1421)</f>
        <v>2019</v>
      </c>
    </row>
    <row r="1422" customFormat="false" ht="15" hidden="false" customHeight="false" outlineLevel="0" collapsed="false">
      <c r="A1422" s="38" t="n">
        <v>43483</v>
      </c>
      <c r="B1422" s="39" t="n">
        <v>1250</v>
      </c>
      <c r="C1422" s="40" t="n">
        <v>16616769.16</v>
      </c>
      <c r="D1422" s="40" t="n">
        <f aca="false">MAX(D1421,C1422)</f>
        <v>27863258.68</v>
      </c>
      <c r="E1422" s="41" t="n">
        <f aca="false">C1422/D1422-1</f>
        <v>-0.403631522398801</v>
      </c>
      <c r="F1422" s="42" t="n">
        <f aca="false">YEAR(A1422)</f>
        <v>2019</v>
      </c>
    </row>
    <row r="1423" customFormat="false" ht="15" hidden="false" customHeight="false" outlineLevel="0" collapsed="false">
      <c r="A1423" s="38" t="n">
        <v>43486</v>
      </c>
      <c r="B1423" s="39" t="n">
        <v>1225</v>
      </c>
      <c r="C1423" s="40" t="n">
        <v>17615769.16</v>
      </c>
      <c r="D1423" s="40" t="n">
        <f aca="false">MAX(D1422,C1423)</f>
        <v>27863258.68</v>
      </c>
      <c r="E1423" s="41" t="n">
        <f aca="false">C1423/D1423-1</f>
        <v>-0.367777855335907</v>
      </c>
      <c r="F1423" s="42" t="n">
        <f aca="false">YEAR(A1423)</f>
        <v>2019</v>
      </c>
    </row>
    <row r="1424" customFormat="false" ht="15" hidden="false" customHeight="false" outlineLevel="0" collapsed="false">
      <c r="A1424" s="38" t="n">
        <v>43487</v>
      </c>
      <c r="B1424" s="39" t="n">
        <v>1226.5</v>
      </c>
      <c r="C1424" s="40" t="n">
        <v>17555829.16</v>
      </c>
      <c r="D1424" s="40" t="n">
        <f aca="false">MAX(D1423,C1424)</f>
        <v>27863258.68</v>
      </c>
      <c r="E1424" s="41" t="n">
        <f aca="false">C1424/D1424-1</f>
        <v>-0.369929075359681</v>
      </c>
      <c r="F1424" s="42" t="n">
        <f aca="false">YEAR(A1424)</f>
        <v>2019</v>
      </c>
    </row>
    <row r="1425" customFormat="false" ht="15" hidden="false" customHeight="false" outlineLevel="0" collapsed="false">
      <c r="A1425" s="38" t="n">
        <v>43488</v>
      </c>
      <c r="B1425" s="39" t="n">
        <v>1242.5</v>
      </c>
      <c r="C1425" s="40" t="n">
        <v>16916469.16</v>
      </c>
      <c r="D1425" s="40" t="n">
        <f aca="false">MAX(D1424,C1425)</f>
        <v>27863258.68</v>
      </c>
      <c r="E1425" s="41" t="n">
        <f aca="false">C1425/D1425-1</f>
        <v>-0.392875422279933</v>
      </c>
      <c r="F1425" s="42" t="n">
        <f aca="false">YEAR(A1425)</f>
        <v>2019</v>
      </c>
    </row>
    <row r="1426" customFormat="false" ht="15" hidden="false" customHeight="false" outlineLevel="0" collapsed="false">
      <c r="A1426" s="38" t="n">
        <v>43489</v>
      </c>
      <c r="B1426" s="39" t="n">
        <v>1227</v>
      </c>
      <c r="C1426" s="40" t="n">
        <v>17535849.16</v>
      </c>
      <c r="D1426" s="40" t="n">
        <f aca="false">MAX(D1425,C1426)</f>
        <v>27863258.68</v>
      </c>
      <c r="E1426" s="41" t="n">
        <f aca="false">C1426/D1426-1</f>
        <v>-0.370646148700939</v>
      </c>
      <c r="F1426" s="42" t="n">
        <f aca="false">YEAR(A1426)</f>
        <v>2019</v>
      </c>
    </row>
    <row r="1427" customFormat="false" ht="15" hidden="false" customHeight="false" outlineLevel="0" collapsed="false">
      <c r="A1427" s="38" t="n">
        <v>43490</v>
      </c>
      <c r="B1427" s="39" t="n">
        <v>1223</v>
      </c>
      <c r="C1427" s="40" t="n">
        <v>17695689.16</v>
      </c>
      <c r="D1427" s="40" t="n">
        <f aca="false">MAX(D1426,C1427)</f>
        <v>27863258.68</v>
      </c>
      <c r="E1427" s="41" t="n">
        <f aca="false">C1427/D1427-1</f>
        <v>-0.364909561970876</v>
      </c>
      <c r="F1427" s="42" t="n">
        <f aca="false">YEAR(A1427)</f>
        <v>2019</v>
      </c>
    </row>
    <row r="1428" customFormat="false" ht="15" hidden="false" customHeight="false" outlineLevel="0" collapsed="false">
      <c r="A1428" s="38" t="n">
        <v>43493</v>
      </c>
      <c r="B1428" s="39" t="n">
        <v>1233.5</v>
      </c>
      <c r="C1428" s="40" t="n">
        <v>17276109.16</v>
      </c>
      <c r="D1428" s="40" t="n">
        <f aca="false">MAX(D1427,C1428)</f>
        <v>27863258.68</v>
      </c>
      <c r="E1428" s="41" t="n">
        <f aca="false">C1428/D1428-1</f>
        <v>-0.379968102137291</v>
      </c>
      <c r="F1428" s="42" t="n">
        <f aca="false">YEAR(A1428)</f>
        <v>2019</v>
      </c>
    </row>
    <row r="1429" customFormat="false" ht="15" hidden="false" customHeight="false" outlineLevel="0" collapsed="false">
      <c r="A1429" s="38" t="n">
        <v>43494</v>
      </c>
      <c r="B1429" s="39" t="n">
        <v>1220</v>
      </c>
      <c r="C1429" s="40" t="n">
        <v>17815569.16</v>
      </c>
      <c r="D1429" s="40" t="n">
        <f aca="false">MAX(D1428,C1429)</f>
        <v>27863258.68</v>
      </c>
      <c r="E1429" s="41" t="n">
        <f aca="false">C1429/D1429-1</f>
        <v>-0.360607121923328</v>
      </c>
      <c r="F1429" s="42" t="n">
        <f aca="false">YEAR(A1429)</f>
        <v>2019</v>
      </c>
    </row>
    <row r="1430" customFormat="false" ht="15" hidden="false" customHeight="false" outlineLevel="0" collapsed="false">
      <c r="A1430" s="38" t="n">
        <v>43495</v>
      </c>
      <c r="B1430" s="39" t="n">
        <v>1215.5</v>
      </c>
      <c r="C1430" s="40" t="n">
        <v>17995389.16</v>
      </c>
      <c r="D1430" s="40" t="n">
        <f aca="false">MAX(D1429,C1430)</f>
        <v>27863258.68</v>
      </c>
      <c r="E1430" s="41" t="n">
        <f aca="false">C1430/D1430-1</f>
        <v>-0.354153461852008</v>
      </c>
      <c r="F1430" s="42" t="n">
        <f aca="false">YEAR(A1430)</f>
        <v>2019</v>
      </c>
    </row>
    <row r="1431" customFormat="false" ht="15" hidden="false" customHeight="false" outlineLevel="0" collapsed="false">
      <c r="A1431" s="38" t="n">
        <v>43496</v>
      </c>
      <c r="B1431" s="39" t="n">
        <v>1278.5</v>
      </c>
      <c r="C1431" s="40" t="n">
        <v>15477909.16</v>
      </c>
      <c r="D1431" s="40" t="n">
        <f aca="false">MAX(D1430,C1431)</f>
        <v>27863258.68</v>
      </c>
      <c r="E1431" s="41" t="n">
        <f aca="false">C1431/D1431-1</f>
        <v>-0.4445047028505</v>
      </c>
      <c r="F1431" s="42" t="n">
        <f aca="false">YEAR(A1431)</f>
        <v>2019</v>
      </c>
    </row>
    <row r="1432" customFormat="false" ht="15" hidden="false" customHeight="false" outlineLevel="0" collapsed="false">
      <c r="A1432" s="38" t="n">
        <v>43497</v>
      </c>
      <c r="B1432" s="39" t="n">
        <v>1299.5</v>
      </c>
      <c r="C1432" s="40" t="n">
        <v>16291102.86</v>
      </c>
      <c r="D1432" s="40" t="n">
        <f aca="false">MAX(D1431,C1432)</f>
        <v>27863258.68</v>
      </c>
      <c r="E1432" s="41" t="n">
        <f aca="false">C1432/D1432-1</f>
        <v>-0.415319541511718</v>
      </c>
      <c r="F1432" s="42" t="n">
        <f aca="false">YEAR(A1432)</f>
        <v>2019</v>
      </c>
    </row>
    <row r="1433" customFormat="false" ht="15" hidden="false" customHeight="false" outlineLevel="0" collapsed="false">
      <c r="A1433" s="38" t="n">
        <v>43507</v>
      </c>
      <c r="B1433" s="39" t="n">
        <v>1281</v>
      </c>
      <c r="C1433" s="40" t="n">
        <v>15366472.86</v>
      </c>
      <c r="D1433" s="40" t="n">
        <f aca="false">MAX(D1432,C1433)</f>
        <v>27863258.68</v>
      </c>
      <c r="E1433" s="41" t="n">
        <f aca="false">C1433/D1433-1</f>
        <v>-0.448504102248819</v>
      </c>
      <c r="F1433" s="42" t="n">
        <f aca="false">YEAR(A1433)</f>
        <v>2019</v>
      </c>
    </row>
    <row r="1434" customFormat="false" ht="15" hidden="false" customHeight="false" outlineLevel="0" collapsed="false">
      <c r="A1434" s="38" t="n">
        <v>43508</v>
      </c>
      <c r="B1434" s="39" t="n">
        <v>1304.5</v>
      </c>
      <c r="C1434" s="40" t="n">
        <v>16541002.86</v>
      </c>
      <c r="D1434" s="40" t="n">
        <f aca="false">MAX(D1433,C1434)</f>
        <v>27863258.68</v>
      </c>
      <c r="E1434" s="41" t="n">
        <f aca="false">C1434/D1434-1</f>
        <v>-0.406350741312502</v>
      </c>
      <c r="F1434" s="42" t="n">
        <f aca="false">YEAR(A1434)</f>
        <v>2019</v>
      </c>
    </row>
    <row r="1435" customFormat="false" ht="15" hidden="false" customHeight="false" outlineLevel="0" collapsed="false">
      <c r="A1435" s="38" t="n">
        <v>43509</v>
      </c>
      <c r="B1435" s="39" t="n">
        <v>1292.5</v>
      </c>
      <c r="C1435" s="40" t="n">
        <v>15941242.86</v>
      </c>
      <c r="D1435" s="40" t="n">
        <f aca="false">MAX(D1434,C1435)</f>
        <v>27863258.68</v>
      </c>
      <c r="E1435" s="41" t="n">
        <f aca="false">C1435/D1435-1</f>
        <v>-0.427875861790621</v>
      </c>
      <c r="F1435" s="42" t="n">
        <f aca="false">YEAR(A1435)</f>
        <v>2019</v>
      </c>
    </row>
    <row r="1436" customFormat="false" ht="15" hidden="false" customHeight="false" outlineLevel="0" collapsed="false">
      <c r="A1436" s="38" t="n">
        <v>43510</v>
      </c>
      <c r="B1436" s="39" t="n">
        <v>1287</v>
      </c>
      <c r="C1436" s="40" t="n">
        <v>15666352.86</v>
      </c>
      <c r="D1436" s="40" t="n">
        <f aca="false">MAX(D1435,C1436)</f>
        <v>27863258.68</v>
      </c>
      <c r="E1436" s="41" t="n">
        <f aca="false">C1436/D1436-1</f>
        <v>-0.437741542009759</v>
      </c>
      <c r="F1436" s="42" t="n">
        <f aca="false">YEAR(A1436)</f>
        <v>2019</v>
      </c>
    </row>
    <row r="1437" customFormat="false" ht="15" hidden="false" customHeight="false" outlineLevel="0" collapsed="false">
      <c r="A1437" s="38" t="n">
        <v>43511</v>
      </c>
      <c r="B1437" s="39" t="n">
        <v>1288</v>
      </c>
      <c r="C1437" s="40" t="n">
        <v>15716332.86</v>
      </c>
      <c r="D1437" s="40" t="n">
        <f aca="false">MAX(D1436,C1437)</f>
        <v>27863258.68</v>
      </c>
      <c r="E1437" s="41" t="n">
        <f aca="false">C1437/D1437-1</f>
        <v>-0.435947781969916</v>
      </c>
      <c r="F1437" s="42" t="n">
        <f aca="false">YEAR(A1437)</f>
        <v>2019</v>
      </c>
    </row>
    <row r="1438" customFormat="false" ht="15" hidden="false" customHeight="false" outlineLevel="0" collapsed="false">
      <c r="A1438" s="38" t="n">
        <v>43514</v>
      </c>
      <c r="B1438" s="39" t="n">
        <v>1274.5</v>
      </c>
      <c r="C1438" s="40" t="n">
        <v>15041602.86</v>
      </c>
      <c r="D1438" s="40" t="n">
        <f aca="false">MAX(D1437,C1438)</f>
        <v>27863258.68</v>
      </c>
      <c r="E1438" s="41" t="n">
        <f aca="false">C1438/D1438-1</f>
        <v>-0.4601635425078</v>
      </c>
      <c r="F1438" s="42" t="n">
        <f aca="false">YEAR(A1438)</f>
        <v>2019</v>
      </c>
    </row>
    <row r="1439" customFormat="false" ht="15" hidden="false" customHeight="false" outlineLevel="0" collapsed="false">
      <c r="A1439" s="38" t="n">
        <v>43515</v>
      </c>
      <c r="B1439" s="39" t="n">
        <v>1272</v>
      </c>
      <c r="C1439" s="40" t="n">
        <v>14916652.86</v>
      </c>
      <c r="D1439" s="40" t="n">
        <f aca="false">MAX(D1438,C1439)</f>
        <v>27863258.68</v>
      </c>
      <c r="E1439" s="41" t="n">
        <f aca="false">C1439/D1439-1</f>
        <v>-0.464647942607408</v>
      </c>
      <c r="F1439" s="42" t="n">
        <f aca="false">YEAR(A1439)</f>
        <v>2019</v>
      </c>
    </row>
    <row r="1440" customFormat="false" ht="15" hidden="false" customHeight="false" outlineLevel="0" collapsed="false">
      <c r="A1440" s="38" t="n">
        <v>43516</v>
      </c>
      <c r="B1440" s="39" t="n">
        <v>1283</v>
      </c>
      <c r="C1440" s="40" t="n">
        <v>15466432.86</v>
      </c>
      <c r="D1440" s="40" t="n">
        <f aca="false">MAX(D1439,C1440)</f>
        <v>27863258.68</v>
      </c>
      <c r="E1440" s="41" t="n">
        <f aca="false">C1440/D1440-1</f>
        <v>-0.444916582169132</v>
      </c>
      <c r="F1440" s="42" t="n">
        <f aca="false">YEAR(A1440)</f>
        <v>2019</v>
      </c>
    </row>
    <row r="1441" customFormat="false" ht="15" hidden="false" customHeight="false" outlineLevel="0" collapsed="false">
      <c r="A1441" s="38" t="n">
        <v>43517</v>
      </c>
      <c r="B1441" s="39" t="n">
        <v>1304</v>
      </c>
      <c r="C1441" s="40" t="n">
        <v>16516012.86</v>
      </c>
      <c r="D1441" s="40" t="n">
        <f aca="false">MAX(D1440,C1441)</f>
        <v>27863258.68</v>
      </c>
      <c r="E1441" s="41" t="n">
        <f aca="false">C1441/D1441-1</f>
        <v>-0.407247621332423</v>
      </c>
      <c r="F1441" s="42" t="n">
        <f aca="false">YEAR(A1441)</f>
        <v>2019</v>
      </c>
    </row>
    <row r="1442" customFormat="false" ht="15" hidden="false" customHeight="false" outlineLevel="0" collapsed="false">
      <c r="A1442" s="38" t="n">
        <v>43518</v>
      </c>
      <c r="B1442" s="39" t="n">
        <v>1315.5</v>
      </c>
      <c r="C1442" s="40" t="n">
        <v>17090782.86</v>
      </c>
      <c r="D1442" s="40" t="n">
        <f aca="false">MAX(D1441,C1442)</f>
        <v>27863258.68</v>
      </c>
      <c r="E1442" s="41" t="n">
        <f aca="false">C1442/D1442-1</f>
        <v>-0.386619380874226</v>
      </c>
      <c r="F1442" s="42" t="n">
        <f aca="false">YEAR(A1442)</f>
        <v>2019</v>
      </c>
    </row>
    <row r="1443" customFormat="false" ht="15" hidden="false" customHeight="false" outlineLevel="0" collapsed="false">
      <c r="A1443" s="38" t="n">
        <v>43521</v>
      </c>
      <c r="B1443" s="39" t="n">
        <v>1312</v>
      </c>
      <c r="C1443" s="40" t="n">
        <v>16915852.86</v>
      </c>
      <c r="D1443" s="40" t="n">
        <f aca="false">MAX(D1442,C1443)</f>
        <v>27863258.68</v>
      </c>
      <c r="E1443" s="41" t="n">
        <f aca="false">C1443/D1443-1</f>
        <v>-0.392897541013677</v>
      </c>
      <c r="F1443" s="42" t="n">
        <f aca="false">YEAR(A1443)</f>
        <v>2019</v>
      </c>
    </row>
    <row r="1444" customFormat="false" ht="15" hidden="false" customHeight="false" outlineLevel="0" collapsed="false">
      <c r="A1444" s="38" t="n">
        <v>43522</v>
      </c>
      <c r="B1444" s="39" t="n">
        <v>1315.5</v>
      </c>
      <c r="C1444" s="40" t="n">
        <v>17090782.86</v>
      </c>
      <c r="D1444" s="40" t="n">
        <f aca="false">MAX(D1443,C1444)</f>
        <v>27863258.68</v>
      </c>
      <c r="E1444" s="41" t="n">
        <f aca="false">C1444/D1444-1</f>
        <v>-0.386619380874226</v>
      </c>
      <c r="F1444" s="42" t="n">
        <f aca="false">YEAR(A1444)</f>
        <v>2019</v>
      </c>
    </row>
    <row r="1445" customFormat="false" ht="15" hidden="false" customHeight="false" outlineLevel="0" collapsed="false">
      <c r="A1445" s="38" t="n">
        <v>43523</v>
      </c>
      <c r="B1445" s="39" t="n">
        <v>1317.5</v>
      </c>
      <c r="C1445" s="40" t="n">
        <v>17190742.86</v>
      </c>
      <c r="D1445" s="40" t="n">
        <f aca="false">MAX(D1444,C1445)</f>
        <v>27863258.68</v>
      </c>
      <c r="E1445" s="41" t="n">
        <f aca="false">C1445/D1445-1</f>
        <v>-0.383031860794539</v>
      </c>
      <c r="F1445" s="42" t="n">
        <f aca="false">YEAR(A1445)</f>
        <v>2019</v>
      </c>
    </row>
    <row r="1446" customFormat="false" ht="15" hidden="false" customHeight="false" outlineLevel="0" collapsed="false">
      <c r="A1446" s="38" t="n">
        <v>43524</v>
      </c>
      <c r="B1446" s="39" t="n">
        <v>1319</v>
      </c>
      <c r="C1446" s="40" t="n">
        <v>17265712.86</v>
      </c>
      <c r="D1446" s="40" t="n">
        <f aca="false">MAX(D1445,C1446)</f>
        <v>27863258.68</v>
      </c>
      <c r="E1446" s="41" t="n">
        <f aca="false">C1446/D1446-1</f>
        <v>-0.380341220734775</v>
      </c>
      <c r="F1446" s="42" t="n">
        <f aca="false">YEAR(A1446)</f>
        <v>2019</v>
      </c>
    </row>
    <row r="1447" customFormat="false" ht="15" hidden="false" customHeight="false" outlineLevel="0" collapsed="false">
      <c r="A1447" s="38" t="n">
        <v>43525</v>
      </c>
      <c r="B1447" s="39" t="n">
        <v>1335</v>
      </c>
      <c r="C1447" s="40" t="n">
        <v>18065392.86</v>
      </c>
      <c r="D1447" s="40" t="n">
        <f aca="false">MAX(D1446,C1447)</f>
        <v>27863258.68</v>
      </c>
      <c r="E1447" s="41" t="n">
        <f aca="false">C1447/D1447-1</f>
        <v>-0.351641060097282</v>
      </c>
      <c r="F1447" s="42" t="n">
        <f aca="false">YEAR(A1447)</f>
        <v>2019</v>
      </c>
    </row>
    <row r="1448" customFormat="false" ht="15" hidden="false" customHeight="false" outlineLevel="0" collapsed="false">
      <c r="A1448" s="38" t="n">
        <v>43528</v>
      </c>
      <c r="B1448" s="39" t="n">
        <v>1305</v>
      </c>
      <c r="C1448" s="40" t="n">
        <v>16565992.86</v>
      </c>
      <c r="D1448" s="40" t="n">
        <f aca="false">MAX(D1447,C1448)</f>
        <v>27863258.68</v>
      </c>
      <c r="E1448" s="41" t="n">
        <f aca="false">C1448/D1448-1</f>
        <v>-0.40545386129258</v>
      </c>
      <c r="F1448" s="42" t="n">
        <f aca="false">YEAR(A1448)</f>
        <v>2019</v>
      </c>
    </row>
    <row r="1449" customFormat="false" ht="15" hidden="false" customHeight="false" outlineLevel="0" collapsed="false">
      <c r="A1449" s="38" t="n">
        <v>43529</v>
      </c>
      <c r="B1449" s="39" t="n">
        <v>1301.5</v>
      </c>
      <c r="C1449" s="40" t="n">
        <v>16391062.86</v>
      </c>
      <c r="D1449" s="40" t="n">
        <f aca="false">MAX(D1448,C1449)</f>
        <v>27863258.68</v>
      </c>
      <c r="E1449" s="41" t="n">
        <f aca="false">C1449/D1449-1</f>
        <v>-0.411732021432032</v>
      </c>
      <c r="F1449" s="42" t="n">
        <f aca="false">YEAR(A1449)</f>
        <v>2019</v>
      </c>
    </row>
    <row r="1450" customFormat="false" ht="15" hidden="false" customHeight="false" outlineLevel="0" collapsed="false">
      <c r="A1450" s="38" t="n">
        <v>43530</v>
      </c>
      <c r="B1450" s="39" t="n">
        <v>1292</v>
      </c>
      <c r="C1450" s="40" t="n">
        <v>15916252.86</v>
      </c>
      <c r="D1450" s="40" t="n">
        <f aca="false">MAX(D1449,C1450)</f>
        <v>27863258.68</v>
      </c>
      <c r="E1450" s="41" t="n">
        <f aca="false">C1450/D1450-1</f>
        <v>-0.428772741810543</v>
      </c>
      <c r="F1450" s="42" t="n">
        <f aca="false">YEAR(A1450)</f>
        <v>2019</v>
      </c>
    </row>
    <row r="1451" customFormat="false" ht="15" hidden="false" customHeight="false" outlineLevel="0" collapsed="false">
      <c r="A1451" s="38" t="n">
        <v>43531</v>
      </c>
      <c r="B1451" s="39" t="n">
        <v>1298.5</v>
      </c>
      <c r="C1451" s="40" t="n">
        <v>16241122.86</v>
      </c>
      <c r="D1451" s="40" t="n">
        <f aca="false">MAX(D1450,C1451)</f>
        <v>27863258.68</v>
      </c>
      <c r="E1451" s="41" t="n">
        <f aca="false">C1451/D1451-1</f>
        <v>-0.417113301551561</v>
      </c>
      <c r="F1451" s="42" t="n">
        <f aca="false">YEAR(A1451)</f>
        <v>2019</v>
      </c>
    </row>
    <row r="1452" customFormat="false" ht="15" hidden="false" customHeight="false" outlineLevel="0" collapsed="false">
      <c r="A1452" s="38" t="n">
        <v>43532</v>
      </c>
      <c r="B1452" s="39" t="n">
        <v>1264</v>
      </c>
      <c r="C1452" s="40" t="n">
        <v>14516812.86</v>
      </c>
      <c r="D1452" s="40" t="n">
        <f aca="false">MAX(D1451,C1452)</f>
        <v>27863258.68</v>
      </c>
      <c r="E1452" s="41" t="n">
        <f aca="false">C1452/D1452-1</f>
        <v>-0.478998022926154</v>
      </c>
      <c r="F1452" s="42" t="n">
        <f aca="false">YEAR(A1452)</f>
        <v>2019</v>
      </c>
    </row>
    <row r="1453" customFormat="false" ht="15" hidden="false" customHeight="false" outlineLevel="0" collapsed="false">
      <c r="A1453" s="38" t="n">
        <v>43535</v>
      </c>
      <c r="B1453" s="39" t="n">
        <v>1250.5</v>
      </c>
      <c r="C1453" s="40" t="n">
        <v>13842082.86</v>
      </c>
      <c r="D1453" s="40" t="n">
        <f aca="false">MAX(D1452,C1453)</f>
        <v>27863258.68</v>
      </c>
      <c r="E1453" s="41" t="n">
        <f aca="false">C1453/D1453-1</f>
        <v>-0.503213783464038</v>
      </c>
      <c r="F1453" s="42" t="n">
        <f aca="false">YEAR(A1453)</f>
        <v>2019</v>
      </c>
    </row>
    <row r="1454" customFormat="false" ht="15" hidden="false" customHeight="false" outlineLevel="0" collapsed="false">
      <c r="A1454" s="38" t="n">
        <v>43536</v>
      </c>
      <c r="B1454" s="39" t="n">
        <v>1255</v>
      </c>
      <c r="C1454" s="40" t="n">
        <v>14066992.86</v>
      </c>
      <c r="D1454" s="40" t="n">
        <f aca="false">MAX(D1453,C1454)</f>
        <v>27863258.68</v>
      </c>
      <c r="E1454" s="41" t="n">
        <f aca="false">C1454/D1454-1</f>
        <v>-0.495141863284743</v>
      </c>
      <c r="F1454" s="42" t="n">
        <f aca="false">YEAR(A1454)</f>
        <v>2019</v>
      </c>
    </row>
    <row r="1455" customFormat="false" ht="15" hidden="false" customHeight="false" outlineLevel="0" collapsed="false">
      <c r="A1455" s="38" t="n">
        <v>43537</v>
      </c>
      <c r="B1455" s="39" t="n">
        <v>1257.5</v>
      </c>
      <c r="C1455" s="40" t="n">
        <v>14191942.86</v>
      </c>
      <c r="D1455" s="40" t="n">
        <f aca="false">MAX(D1454,C1455)</f>
        <v>27863258.68</v>
      </c>
      <c r="E1455" s="41" t="n">
        <f aca="false">C1455/D1455-1</f>
        <v>-0.490657463185135</v>
      </c>
      <c r="F1455" s="42" t="n">
        <f aca="false">YEAR(A1455)</f>
        <v>2019</v>
      </c>
    </row>
    <row r="1456" customFormat="false" ht="15" hidden="false" customHeight="false" outlineLevel="0" collapsed="false">
      <c r="A1456" s="38" t="n">
        <v>43538</v>
      </c>
      <c r="B1456" s="39" t="n">
        <v>1258.5</v>
      </c>
      <c r="C1456" s="40" t="n">
        <v>14241922.86</v>
      </c>
      <c r="D1456" s="40" t="n">
        <f aca="false">MAX(D1455,C1456)</f>
        <v>27863258.68</v>
      </c>
      <c r="E1456" s="41" t="n">
        <f aca="false">C1456/D1456-1</f>
        <v>-0.488863703145292</v>
      </c>
      <c r="F1456" s="42" t="n">
        <f aca="false">YEAR(A1456)</f>
        <v>2019</v>
      </c>
    </row>
    <row r="1457" customFormat="false" ht="15" hidden="false" customHeight="false" outlineLevel="0" collapsed="false">
      <c r="A1457" s="38" t="n">
        <v>43539</v>
      </c>
      <c r="B1457" s="39" t="n">
        <v>1259.5</v>
      </c>
      <c r="C1457" s="40" t="n">
        <v>14291902.86</v>
      </c>
      <c r="D1457" s="40" t="n">
        <f aca="false">MAX(D1456,C1457)</f>
        <v>27863258.68</v>
      </c>
      <c r="E1457" s="41" t="n">
        <f aca="false">C1457/D1457-1</f>
        <v>-0.487069943105449</v>
      </c>
      <c r="F1457" s="42" t="n">
        <f aca="false">YEAR(A1457)</f>
        <v>2019</v>
      </c>
    </row>
    <row r="1458" customFormat="false" ht="15" hidden="false" customHeight="false" outlineLevel="0" collapsed="false">
      <c r="A1458" s="38" t="n">
        <v>43542</v>
      </c>
      <c r="B1458" s="39" t="n">
        <v>1254.5</v>
      </c>
      <c r="C1458" s="40" t="n">
        <v>14042002.86</v>
      </c>
      <c r="D1458" s="40" t="n">
        <f aca="false">MAX(D1457,C1458)</f>
        <v>27863258.68</v>
      </c>
      <c r="E1458" s="41" t="n">
        <f aca="false">C1458/D1458-1</f>
        <v>-0.496038743304665</v>
      </c>
      <c r="F1458" s="42" t="n">
        <f aca="false">YEAR(A1458)</f>
        <v>2019</v>
      </c>
    </row>
    <row r="1459" customFormat="false" ht="15" hidden="false" customHeight="false" outlineLevel="0" collapsed="false">
      <c r="A1459" s="38" t="n">
        <v>43543</v>
      </c>
      <c r="B1459" s="39" t="n">
        <v>1251</v>
      </c>
      <c r="C1459" s="40" t="n">
        <v>13867072.86</v>
      </c>
      <c r="D1459" s="40" t="n">
        <f aca="false">MAX(D1458,C1459)</f>
        <v>27863258.68</v>
      </c>
      <c r="E1459" s="41" t="n">
        <f aca="false">C1459/D1459-1</f>
        <v>-0.502316903444117</v>
      </c>
      <c r="F1459" s="42" t="n">
        <f aca="false">YEAR(A1459)</f>
        <v>2019</v>
      </c>
    </row>
    <row r="1460" customFormat="false" ht="15" hidden="false" customHeight="false" outlineLevel="0" collapsed="false">
      <c r="A1460" s="38" t="n">
        <v>43544</v>
      </c>
      <c r="B1460" s="39" t="n">
        <v>1248</v>
      </c>
      <c r="C1460" s="40" t="n">
        <v>13717132.86</v>
      </c>
      <c r="D1460" s="40" t="n">
        <f aca="false">MAX(D1459,C1460)</f>
        <v>27863258.68</v>
      </c>
      <c r="E1460" s="41" t="n">
        <f aca="false">C1460/D1460-1</f>
        <v>-0.507698183563646</v>
      </c>
      <c r="F1460" s="42" t="n">
        <f aca="false">YEAR(A1460)</f>
        <v>2019</v>
      </c>
    </row>
    <row r="1461" customFormat="false" ht="15" hidden="false" customHeight="false" outlineLevel="0" collapsed="false">
      <c r="A1461" s="38" t="n">
        <v>43545</v>
      </c>
      <c r="B1461" s="39" t="n">
        <v>1256</v>
      </c>
      <c r="C1461" s="40" t="n">
        <v>13685899.52</v>
      </c>
      <c r="D1461" s="40" t="n">
        <f aca="false">MAX(D1460,C1461)</f>
        <v>27863258.68</v>
      </c>
      <c r="E1461" s="41" t="n">
        <f aca="false">C1461/D1461-1</f>
        <v>-0.508819134287993</v>
      </c>
      <c r="F1461" s="42" t="n">
        <f aca="false">YEAR(A1461)</f>
        <v>2019</v>
      </c>
    </row>
    <row r="1462" customFormat="false" ht="15" hidden="false" customHeight="false" outlineLevel="0" collapsed="false">
      <c r="A1462" s="38" t="n">
        <v>43546</v>
      </c>
      <c r="B1462" s="39" t="n">
        <v>1271.5</v>
      </c>
      <c r="C1462" s="40" t="n">
        <v>13685899.52</v>
      </c>
      <c r="D1462" s="40" t="n">
        <f aca="false">MAX(D1461,C1462)</f>
        <v>27863258.68</v>
      </c>
      <c r="E1462" s="41" t="n">
        <f aca="false">C1462/D1462-1</f>
        <v>-0.508819134287993</v>
      </c>
      <c r="F1462" s="42" t="n">
        <f aca="false">YEAR(A1462)</f>
        <v>2019</v>
      </c>
    </row>
    <row r="1463" customFormat="false" ht="15" hidden="false" customHeight="false" outlineLevel="0" collapsed="false">
      <c r="A1463" s="38" t="n">
        <v>43549</v>
      </c>
      <c r="B1463" s="39" t="n">
        <v>1262</v>
      </c>
      <c r="C1463" s="40" t="n">
        <v>13685899.52</v>
      </c>
      <c r="D1463" s="40" t="n">
        <f aca="false">MAX(D1462,C1463)</f>
        <v>27863258.68</v>
      </c>
      <c r="E1463" s="41" t="n">
        <f aca="false">C1463/D1463-1</f>
        <v>-0.508819134287993</v>
      </c>
      <c r="F1463" s="42" t="n">
        <f aca="false">YEAR(A1463)</f>
        <v>2019</v>
      </c>
    </row>
    <row r="1464" customFormat="false" ht="15" hidden="false" customHeight="false" outlineLevel="0" collapsed="false">
      <c r="A1464" s="38" t="n">
        <v>43550</v>
      </c>
      <c r="B1464" s="39" t="n">
        <v>1262.5</v>
      </c>
      <c r="C1464" s="40" t="n">
        <v>13685899.52</v>
      </c>
      <c r="D1464" s="40" t="n">
        <f aca="false">MAX(D1463,C1464)</f>
        <v>27863258.68</v>
      </c>
      <c r="E1464" s="41" t="n">
        <f aca="false">C1464/D1464-1</f>
        <v>-0.508819134287993</v>
      </c>
      <c r="F1464" s="42" t="n">
        <f aca="false">YEAR(A1464)</f>
        <v>2019</v>
      </c>
    </row>
    <row r="1465" customFormat="false" ht="15" hidden="false" customHeight="false" outlineLevel="0" collapsed="false">
      <c r="A1465" s="38" t="n">
        <v>43551</v>
      </c>
      <c r="B1465" s="39" t="n">
        <v>1260</v>
      </c>
      <c r="C1465" s="40" t="n">
        <v>13685899.52</v>
      </c>
      <c r="D1465" s="40" t="n">
        <f aca="false">MAX(D1464,C1465)</f>
        <v>27863258.68</v>
      </c>
      <c r="E1465" s="41" t="n">
        <f aca="false">C1465/D1465-1</f>
        <v>-0.508819134287993</v>
      </c>
      <c r="F1465" s="42" t="n">
        <f aca="false">YEAR(A1465)</f>
        <v>2019</v>
      </c>
    </row>
    <row r="1466" customFormat="false" ht="15" hidden="false" customHeight="false" outlineLevel="0" collapsed="false">
      <c r="A1466" s="38" t="n">
        <v>43552</v>
      </c>
      <c r="B1466" s="39" t="n">
        <v>1262</v>
      </c>
      <c r="C1466" s="40" t="n">
        <v>13685899.52</v>
      </c>
      <c r="D1466" s="40" t="n">
        <f aca="false">MAX(D1465,C1466)</f>
        <v>27863258.68</v>
      </c>
      <c r="E1466" s="41" t="n">
        <f aca="false">C1466/D1466-1</f>
        <v>-0.508819134287993</v>
      </c>
      <c r="F1466" s="42" t="n">
        <f aca="false">YEAR(A1466)</f>
        <v>2019</v>
      </c>
    </row>
    <row r="1467" customFormat="false" ht="15" hidden="false" customHeight="false" outlineLevel="0" collapsed="false">
      <c r="A1467" s="38" t="n">
        <v>43553</v>
      </c>
      <c r="B1467" s="39" t="n">
        <v>1261</v>
      </c>
      <c r="C1467" s="40" t="n">
        <v>13685899.52</v>
      </c>
      <c r="D1467" s="40" t="n">
        <f aca="false">MAX(D1466,C1467)</f>
        <v>27863258.68</v>
      </c>
      <c r="E1467" s="41" t="n">
        <f aca="false">C1467/D1467-1</f>
        <v>-0.508819134287993</v>
      </c>
      <c r="F1467" s="42" t="n">
        <f aca="false">YEAR(A1467)</f>
        <v>2019</v>
      </c>
    </row>
    <row r="1468" customFormat="false" ht="15" hidden="false" customHeight="false" outlineLevel="0" collapsed="false">
      <c r="A1468" s="38" t="n">
        <v>43556</v>
      </c>
      <c r="B1468" s="39" t="n">
        <v>1282.5</v>
      </c>
      <c r="C1468" s="40" t="n">
        <v>13685899.52</v>
      </c>
      <c r="D1468" s="40" t="n">
        <f aca="false">MAX(D1467,C1468)</f>
        <v>27863258.68</v>
      </c>
      <c r="E1468" s="41" t="n">
        <f aca="false">C1468/D1468-1</f>
        <v>-0.508819134287993</v>
      </c>
      <c r="F1468" s="42" t="n">
        <f aca="false">YEAR(A1468)</f>
        <v>2019</v>
      </c>
    </row>
    <row r="1469" customFormat="false" ht="15" hidden="false" customHeight="false" outlineLevel="0" collapsed="false">
      <c r="A1469" s="38" t="n">
        <v>43557</v>
      </c>
      <c r="B1469" s="39" t="n">
        <v>1271.5</v>
      </c>
      <c r="C1469" s="40" t="n">
        <v>13257826.79</v>
      </c>
      <c r="D1469" s="40" t="n">
        <f aca="false">MAX(D1468,C1469)</f>
        <v>27863258.68</v>
      </c>
      <c r="E1469" s="41" t="n">
        <f aca="false">C1469/D1469-1</f>
        <v>-0.524182474768597</v>
      </c>
      <c r="F1469" s="42" t="n">
        <f aca="false">YEAR(A1469)</f>
        <v>2019</v>
      </c>
    </row>
    <row r="1470" customFormat="false" ht="15" hidden="false" customHeight="false" outlineLevel="0" collapsed="false">
      <c r="A1470" s="38" t="n">
        <v>43558</v>
      </c>
      <c r="B1470" s="39" t="n">
        <v>1283</v>
      </c>
      <c r="C1470" s="40" t="n">
        <v>13769116.79</v>
      </c>
      <c r="D1470" s="40" t="n">
        <f aca="false">MAX(D1469,C1470)</f>
        <v>27863258.68</v>
      </c>
      <c r="E1470" s="41" t="n">
        <f aca="false">C1470/D1470-1</f>
        <v>-0.505832503364607</v>
      </c>
      <c r="F1470" s="42" t="n">
        <f aca="false">YEAR(A1470)</f>
        <v>2019</v>
      </c>
    </row>
    <row r="1471" customFormat="false" ht="15" hidden="false" customHeight="false" outlineLevel="0" collapsed="false">
      <c r="A1471" s="38" t="n">
        <v>43559</v>
      </c>
      <c r="B1471" s="39" t="n">
        <v>1287</v>
      </c>
      <c r="C1471" s="40" t="n">
        <v>13946956.79</v>
      </c>
      <c r="D1471" s="40" t="n">
        <f aca="false">MAX(D1470,C1471)</f>
        <v>27863258.68</v>
      </c>
      <c r="E1471" s="41" t="n">
        <f aca="false">C1471/D1471-1</f>
        <v>-0.499449904615392</v>
      </c>
      <c r="F1471" s="42" t="n">
        <f aca="false">YEAR(A1471)</f>
        <v>2019</v>
      </c>
    </row>
    <row r="1472" customFormat="false" ht="15" hidden="false" customHeight="false" outlineLevel="0" collapsed="false">
      <c r="A1472" s="38" t="n">
        <v>43563</v>
      </c>
      <c r="B1472" s="39" t="n">
        <v>1308</v>
      </c>
      <c r="C1472" s="40" t="n">
        <v>14880616.79</v>
      </c>
      <c r="D1472" s="40" t="n">
        <f aca="false">MAX(D1471,C1472)</f>
        <v>27863258.68</v>
      </c>
      <c r="E1472" s="41" t="n">
        <f aca="false">C1472/D1472-1</f>
        <v>-0.465941261182018</v>
      </c>
      <c r="F1472" s="42" t="n">
        <f aca="false">YEAR(A1472)</f>
        <v>2019</v>
      </c>
    </row>
    <row r="1473" customFormat="false" ht="15" hidden="false" customHeight="false" outlineLevel="0" collapsed="false">
      <c r="A1473" s="38" t="n">
        <v>43564</v>
      </c>
      <c r="B1473" s="39" t="n">
        <v>1288.5</v>
      </c>
      <c r="C1473" s="40" t="n">
        <v>14013646.79</v>
      </c>
      <c r="D1473" s="40" t="n">
        <f aca="false">MAX(D1472,C1473)</f>
        <v>27863258.68</v>
      </c>
      <c r="E1473" s="41" t="n">
        <f aca="false">C1473/D1473-1</f>
        <v>-0.497056430084437</v>
      </c>
      <c r="F1473" s="42" t="n">
        <f aca="false">YEAR(A1473)</f>
        <v>2019</v>
      </c>
    </row>
    <row r="1474" customFormat="false" ht="15" hidden="false" customHeight="false" outlineLevel="0" collapsed="false">
      <c r="A1474" s="38" t="n">
        <v>43565</v>
      </c>
      <c r="B1474" s="39" t="n">
        <v>1291.5</v>
      </c>
      <c r="C1474" s="40" t="n">
        <v>14147026.79</v>
      </c>
      <c r="D1474" s="40" t="n">
        <f aca="false">MAX(D1473,C1474)</f>
        <v>27863258.68</v>
      </c>
      <c r="E1474" s="41" t="n">
        <f aca="false">C1474/D1474-1</f>
        <v>-0.492269481022526</v>
      </c>
      <c r="F1474" s="42" t="n">
        <f aca="false">YEAR(A1474)</f>
        <v>2019</v>
      </c>
    </row>
    <row r="1475" customFormat="false" ht="15" hidden="false" customHeight="false" outlineLevel="0" collapsed="false">
      <c r="A1475" s="38" t="n">
        <v>43566</v>
      </c>
      <c r="B1475" s="39" t="n">
        <v>1286.5</v>
      </c>
      <c r="C1475" s="40" t="n">
        <v>13924726.79</v>
      </c>
      <c r="D1475" s="40" t="n">
        <f aca="false">MAX(D1474,C1475)</f>
        <v>27863258.68</v>
      </c>
      <c r="E1475" s="41" t="n">
        <f aca="false">C1475/D1475-1</f>
        <v>-0.500247729459044</v>
      </c>
      <c r="F1475" s="42" t="n">
        <f aca="false">YEAR(A1475)</f>
        <v>2019</v>
      </c>
    </row>
    <row r="1476" customFormat="false" ht="15" hidden="false" customHeight="false" outlineLevel="0" collapsed="false">
      <c r="A1476" s="38" t="n">
        <v>43567</v>
      </c>
      <c r="B1476" s="39" t="n">
        <v>1291.5</v>
      </c>
      <c r="C1476" s="40" t="n">
        <v>14147026.79</v>
      </c>
      <c r="D1476" s="40" t="n">
        <f aca="false">MAX(D1475,C1476)</f>
        <v>27863258.68</v>
      </c>
      <c r="E1476" s="41" t="n">
        <f aca="false">C1476/D1476-1</f>
        <v>-0.492269481022526</v>
      </c>
      <c r="F1476" s="42" t="n">
        <f aca="false">YEAR(A1476)</f>
        <v>2019</v>
      </c>
    </row>
    <row r="1477" customFormat="false" ht="15" hidden="false" customHeight="false" outlineLevel="0" collapsed="false">
      <c r="A1477" s="38" t="n">
        <v>43570</v>
      </c>
      <c r="B1477" s="39" t="n">
        <v>1299.5</v>
      </c>
      <c r="C1477" s="40" t="n">
        <v>14502706.79</v>
      </c>
      <c r="D1477" s="40" t="n">
        <f aca="false">MAX(D1476,C1477)</f>
        <v>27863258.68</v>
      </c>
      <c r="E1477" s="41" t="n">
        <f aca="false">C1477/D1477-1</f>
        <v>-0.479504283524098</v>
      </c>
      <c r="F1477" s="42" t="n">
        <f aca="false">YEAR(A1477)</f>
        <v>2019</v>
      </c>
    </row>
    <row r="1478" customFormat="false" ht="15" hidden="false" customHeight="false" outlineLevel="0" collapsed="false">
      <c r="A1478" s="38" t="n">
        <v>43571</v>
      </c>
      <c r="B1478" s="39" t="n">
        <v>1297</v>
      </c>
      <c r="C1478" s="40" t="n">
        <v>14391556.79</v>
      </c>
      <c r="D1478" s="40" t="n">
        <f aca="false">MAX(D1477,C1478)</f>
        <v>27863258.68</v>
      </c>
      <c r="E1478" s="41" t="n">
        <f aca="false">C1478/D1478-1</f>
        <v>-0.483493407742357</v>
      </c>
      <c r="F1478" s="42" t="n">
        <f aca="false">YEAR(A1478)</f>
        <v>2019</v>
      </c>
    </row>
    <row r="1479" customFormat="false" ht="15" hidden="false" customHeight="false" outlineLevel="0" collapsed="false">
      <c r="A1479" s="38" t="n">
        <v>43572</v>
      </c>
      <c r="B1479" s="39" t="n">
        <v>1302</v>
      </c>
      <c r="C1479" s="40" t="n">
        <v>14613856.79</v>
      </c>
      <c r="D1479" s="40" t="n">
        <f aca="false">MAX(D1478,C1479)</f>
        <v>27863258.68</v>
      </c>
      <c r="E1479" s="41" t="n">
        <f aca="false">C1479/D1479-1</f>
        <v>-0.475515159305839</v>
      </c>
      <c r="F1479" s="42" t="n">
        <f aca="false">YEAR(A1479)</f>
        <v>2019</v>
      </c>
    </row>
    <row r="1480" customFormat="false" ht="15" hidden="false" customHeight="false" outlineLevel="0" collapsed="false">
      <c r="A1480" s="38" t="n">
        <v>43573</v>
      </c>
      <c r="B1480" s="39" t="n">
        <v>1302</v>
      </c>
      <c r="C1480" s="40" t="n">
        <v>14613856.79</v>
      </c>
      <c r="D1480" s="40" t="n">
        <f aca="false">MAX(D1479,C1480)</f>
        <v>27863258.68</v>
      </c>
      <c r="E1480" s="41" t="n">
        <f aca="false">C1480/D1480-1</f>
        <v>-0.475515159305839</v>
      </c>
      <c r="F1480" s="42" t="n">
        <f aca="false">YEAR(A1480)</f>
        <v>2019</v>
      </c>
    </row>
    <row r="1481" customFormat="false" ht="15" hidden="false" customHeight="false" outlineLevel="0" collapsed="false">
      <c r="A1481" s="38" t="n">
        <v>43574</v>
      </c>
      <c r="B1481" s="39" t="n">
        <v>1319</v>
      </c>
      <c r="C1481" s="40" t="n">
        <v>15369676.79</v>
      </c>
      <c r="D1481" s="40" t="n">
        <f aca="false">MAX(D1480,C1481)</f>
        <v>27863258.68</v>
      </c>
      <c r="E1481" s="41" t="n">
        <f aca="false">C1481/D1481-1</f>
        <v>-0.448389114621679</v>
      </c>
      <c r="F1481" s="42" t="n">
        <f aca="false">YEAR(A1481)</f>
        <v>2019</v>
      </c>
    </row>
    <row r="1482" customFormat="false" ht="15" hidden="false" customHeight="false" outlineLevel="0" collapsed="false">
      <c r="A1482" s="38" t="n">
        <v>43577</v>
      </c>
      <c r="B1482" s="39" t="n">
        <v>1316.5</v>
      </c>
      <c r="C1482" s="40" t="n">
        <v>15258526.79</v>
      </c>
      <c r="D1482" s="40" t="n">
        <f aca="false">MAX(D1481,C1482)</f>
        <v>27863258.68</v>
      </c>
      <c r="E1482" s="41" t="n">
        <f aca="false">C1482/D1482-1</f>
        <v>-0.452378238839937</v>
      </c>
      <c r="F1482" s="42" t="n">
        <f aca="false">YEAR(A1482)</f>
        <v>2019</v>
      </c>
    </row>
    <row r="1483" customFormat="false" ht="15" hidden="false" customHeight="false" outlineLevel="0" collapsed="false">
      <c r="A1483" s="38" t="n">
        <v>43578</v>
      </c>
      <c r="B1483" s="39" t="n">
        <v>1321.5</v>
      </c>
      <c r="C1483" s="40" t="n">
        <v>15480826.79</v>
      </c>
      <c r="D1483" s="40" t="n">
        <f aca="false">MAX(D1482,C1483)</f>
        <v>27863258.68</v>
      </c>
      <c r="E1483" s="41" t="n">
        <f aca="false">C1483/D1483-1</f>
        <v>-0.44439999040342</v>
      </c>
      <c r="F1483" s="42" t="n">
        <f aca="false">YEAR(A1483)</f>
        <v>2019</v>
      </c>
    </row>
    <row r="1484" customFormat="false" ht="15" hidden="false" customHeight="false" outlineLevel="0" collapsed="false">
      <c r="A1484" s="38" t="n">
        <v>43579</v>
      </c>
      <c r="B1484" s="39" t="n">
        <v>1336.5</v>
      </c>
      <c r="C1484" s="40" t="n">
        <v>16147726.79</v>
      </c>
      <c r="D1484" s="40" t="n">
        <f aca="false">MAX(D1483,C1484)</f>
        <v>27863258.68</v>
      </c>
      <c r="E1484" s="41" t="n">
        <f aca="false">C1484/D1484-1</f>
        <v>-0.420465245093866</v>
      </c>
      <c r="F1484" s="42" t="n">
        <f aca="false">YEAR(A1484)</f>
        <v>2019</v>
      </c>
    </row>
    <row r="1485" customFormat="false" ht="15" hidden="false" customHeight="false" outlineLevel="0" collapsed="false">
      <c r="A1485" s="38" t="n">
        <v>43580</v>
      </c>
      <c r="B1485" s="39" t="n">
        <v>1333</v>
      </c>
      <c r="C1485" s="40" t="n">
        <v>15992116.79</v>
      </c>
      <c r="D1485" s="40" t="n">
        <f aca="false">MAX(D1484,C1485)</f>
        <v>27863258.68</v>
      </c>
      <c r="E1485" s="41" t="n">
        <f aca="false">C1485/D1485-1</f>
        <v>-0.426050018999429</v>
      </c>
      <c r="F1485" s="42" t="n">
        <f aca="false">YEAR(A1485)</f>
        <v>2019</v>
      </c>
    </row>
    <row r="1486" customFormat="false" ht="15" hidden="false" customHeight="false" outlineLevel="0" collapsed="false">
      <c r="A1486" s="38" t="n">
        <v>43581</v>
      </c>
      <c r="B1486" s="39" t="n">
        <v>1338</v>
      </c>
      <c r="C1486" s="40" t="n">
        <v>16214416.79</v>
      </c>
      <c r="D1486" s="40" t="n">
        <f aca="false">MAX(D1485,C1486)</f>
        <v>27863258.68</v>
      </c>
      <c r="E1486" s="41" t="n">
        <f aca="false">C1486/D1486-1</f>
        <v>-0.418071770562911</v>
      </c>
      <c r="F1486" s="42" t="n">
        <f aca="false">YEAR(A1486)</f>
        <v>2019</v>
      </c>
    </row>
    <row r="1487" customFormat="false" ht="15" hidden="false" customHeight="false" outlineLevel="0" collapsed="false">
      <c r="A1487" s="38" t="n">
        <v>43584</v>
      </c>
      <c r="B1487" s="39" t="n">
        <v>1349</v>
      </c>
      <c r="C1487" s="40" t="n">
        <v>16703476.79</v>
      </c>
      <c r="D1487" s="40" t="n">
        <f aca="false">MAX(D1486,C1487)</f>
        <v>27863258.68</v>
      </c>
      <c r="E1487" s="41" t="n">
        <f aca="false">C1487/D1487-1</f>
        <v>-0.400519624002572</v>
      </c>
      <c r="F1487" s="42" t="n">
        <f aca="false">YEAR(A1487)</f>
        <v>2019</v>
      </c>
    </row>
    <row r="1488" customFormat="false" ht="15" hidden="false" customHeight="false" outlineLevel="0" collapsed="false">
      <c r="A1488" s="38" t="n">
        <v>43585</v>
      </c>
      <c r="B1488" s="39" t="n">
        <v>1350.5</v>
      </c>
      <c r="C1488" s="40" t="n">
        <v>16770166.79</v>
      </c>
      <c r="D1488" s="40" t="n">
        <f aca="false">MAX(D1487,C1488)</f>
        <v>27863258.68</v>
      </c>
      <c r="E1488" s="41" t="n">
        <f aca="false">C1488/D1488-1</f>
        <v>-0.398126149471617</v>
      </c>
      <c r="F1488" s="42" t="n">
        <f aca="false">YEAR(A1488)</f>
        <v>2019</v>
      </c>
    </row>
    <row r="1489" customFormat="false" ht="15" hidden="false" customHeight="false" outlineLevel="0" collapsed="false">
      <c r="A1489" s="38" t="n">
        <v>43591</v>
      </c>
      <c r="B1489" s="39" t="n">
        <v>1361</v>
      </c>
      <c r="C1489" s="40" t="n">
        <v>17236996.79</v>
      </c>
      <c r="D1489" s="40" t="n">
        <f aca="false">MAX(D1488,C1489)</f>
        <v>27863258.68</v>
      </c>
      <c r="E1489" s="41" t="n">
        <f aca="false">C1489/D1489-1</f>
        <v>-0.381371827754929</v>
      </c>
      <c r="F1489" s="42" t="n">
        <f aca="false">YEAR(A1489)</f>
        <v>2019</v>
      </c>
    </row>
    <row r="1490" customFormat="false" ht="15" hidden="false" customHeight="false" outlineLevel="0" collapsed="false">
      <c r="A1490" s="38" t="n">
        <v>43592</v>
      </c>
      <c r="B1490" s="39" t="n">
        <v>1371.5</v>
      </c>
      <c r="C1490" s="40" t="n">
        <v>17703826.79</v>
      </c>
      <c r="D1490" s="40" t="n">
        <f aca="false">MAX(D1489,C1490)</f>
        <v>27863258.68</v>
      </c>
      <c r="E1490" s="41" t="n">
        <f aca="false">C1490/D1490-1</f>
        <v>-0.364617506038242</v>
      </c>
      <c r="F1490" s="42" t="n">
        <f aca="false">YEAR(A1490)</f>
        <v>2019</v>
      </c>
    </row>
    <row r="1491" customFormat="false" ht="15" hidden="false" customHeight="false" outlineLevel="0" collapsed="false">
      <c r="A1491" s="38" t="n">
        <v>43593</v>
      </c>
      <c r="B1491" s="39" t="n">
        <v>1366.5</v>
      </c>
      <c r="C1491" s="40" t="n">
        <v>17481526.79</v>
      </c>
      <c r="D1491" s="40" t="n">
        <f aca="false">MAX(D1490,C1491)</f>
        <v>27863258.68</v>
      </c>
      <c r="E1491" s="41" t="n">
        <f aca="false">C1491/D1491-1</f>
        <v>-0.37259575447476</v>
      </c>
      <c r="F1491" s="42" t="n">
        <f aca="false">YEAR(A1491)</f>
        <v>2019</v>
      </c>
    </row>
    <row r="1492" customFormat="false" ht="15" hidden="false" customHeight="false" outlineLevel="0" collapsed="false">
      <c r="A1492" s="38" t="n">
        <v>43594</v>
      </c>
      <c r="B1492" s="39" t="n">
        <v>1355.5</v>
      </c>
      <c r="C1492" s="40" t="n">
        <v>16992466.79</v>
      </c>
      <c r="D1492" s="40" t="n">
        <f aca="false">MAX(D1491,C1492)</f>
        <v>27863258.68</v>
      </c>
      <c r="E1492" s="41" t="n">
        <f aca="false">C1492/D1492-1</f>
        <v>-0.390147901035099</v>
      </c>
      <c r="F1492" s="42" t="n">
        <f aca="false">YEAR(A1492)</f>
        <v>2019</v>
      </c>
    </row>
    <row r="1493" customFormat="false" ht="15" hidden="false" customHeight="false" outlineLevel="0" collapsed="false">
      <c r="A1493" s="38" t="n">
        <v>43595</v>
      </c>
      <c r="B1493" s="39" t="n">
        <v>1360.5</v>
      </c>
      <c r="C1493" s="40" t="n">
        <v>17214766.79</v>
      </c>
      <c r="D1493" s="40" t="n">
        <f aca="false">MAX(D1492,C1493)</f>
        <v>27863258.68</v>
      </c>
      <c r="E1493" s="41" t="n">
        <f aca="false">C1493/D1493-1</f>
        <v>-0.382169652598581</v>
      </c>
      <c r="F1493" s="42" t="n">
        <f aca="false">YEAR(A1493)</f>
        <v>2019</v>
      </c>
    </row>
    <row r="1494" customFormat="false" ht="15" hidden="false" customHeight="false" outlineLevel="0" collapsed="false">
      <c r="A1494" s="38" t="n">
        <v>43598</v>
      </c>
      <c r="B1494" s="39" t="n">
        <v>1349.5</v>
      </c>
      <c r="C1494" s="40" t="n">
        <v>16725706.79</v>
      </c>
      <c r="D1494" s="40" t="n">
        <f aca="false">MAX(D1493,C1494)</f>
        <v>27863258.68</v>
      </c>
      <c r="E1494" s="41" t="n">
        <f aca="false">C1494/D1494-1</f>
        <v>-0.39972179915892</v>
      </c>
      <c r="F1494" s="42" t="n">
        <f aca="false">YEAR(A1494)</f>
        <v>2019</v>
      </c>
    </row>
    <row r="1495" customFormat="false" ht="15" hidden="false" customHeight="false" outlineLevel="0" collapsed="false">
      <c r="A1495" s="38" t="n">
        <v>43599</v>
      </c>
      <c r="B1495" s="39" t="n">
        <v>1336</v>
      </c>
      <c r="C1495" s="40" t="n">
        <v>16125496.79</v>
      </c>
      <c r="D1495" s="40" t="n">
        <f aca="false">MAX(D1494,C1495)</f>
        <v>27863258.68</v>
      </c>
      <c r="E1495" s="41" t="n">
        <f aca="false">C1495/D1495-1</f>
        <v>-0.421263069937518</v>
      </c>
      <c r="F1495" s="42" t="n">
        <f aca="false">YEAR(A1495)</f>
        <v>2019</v>
      </c>
    </row>
    <row r="1496" customFormat="false" ht="15" hidden="false" customHeight="false" outlineLevel="0" collapsed="false">
      <c r="A1496" s="38" t="n">
        <v>43600</v>
      </c>
      <c r="B1496" s="39" t="n">
        <v>1369</v>
      </c>
      <c r="C1496" s="40" t="n">
        <v>17592676.79</v>
      </c>
      <c r="D1496" s="40" t="n">
        <f aca="false">MAX(D1495,C1496)</f>
        <v>27863258.68</v>
      </c>
      <c r="E1496" s="41" t="n">
        <f aca="false">C1496/D1496-1</f>
        <v>-0.368606630256501</v>
      </c>
      <c r="F1496" s="42" t="n">
        <f aca="false">YEAR(A1496)</f>
        <v>2019</v>
      </c>
    </row>
    <row r="1497" customFormat="false" ht="15" hidden="false" customHeight="false" outlineLevel="0" collapsed="false">
      <c r="A1497" s="38" t="n">
        <v>43601</v>
      </c>
      <c r="B1497" s="39" t="n">
        <v>1368</v>
      </c>
      <c r="C1497" s="40" t="n">
        <v>17548216.79</v>
      </c>
      <c r="D1497" s="40" t="n">
        <f aca="false">MAX(D1496,C1497)</f>
        <v>27863258.68</v>
      </c>
      <c r="E1497" s="41" t="n">
        <f aca="false">C1497/D1497-1</f>
        <v>-0.370202279943805</v>
      </c>
      <c r="F1497" s="42" t="n">
        <f aca="false">YEAR(A1497)</f>
        <v>2019</v>
      </c>
    </row>
    <row r="1498" customFormat="false" ht="15" hidden="false" customHeight="false" outlineLevel="0" collapsed="false">
      <c r="A1498" s="38" t="n">
        <v>43602</v>
      </c>
      <c r="B1498" s="39" t="n">
        <v>1389</v>
      </c>
      <c r="C1498" s="40" t="n">
        <v>18481876.79</v>
      </c>
      <c r="D1498" s="40" t="n">
        <f aca="false">MAX(D1497,C1498)</f>
        <v>27863258.68</v>
      </c>
      <c r="E1498" s="41" t="n">
        <f aca="false">C1498/D1498-1</f>
        <v>-0.33669363651043</v>
      </c>
      <c r="F1498" s="42" t="n">
        <f aca="false">YEAR(A1498)</f>
        <v>2019</v>
      </c>
    </row>
    <row r="1499" customFormat="false" ht="15" hidden="false" customHeight="false" outlineLevel="0" collapsed="false">
      <c r="A1499" s="38" t="n">
        <v>43605</v>
      </c>
      <c r="B1499" s="39" t="n">
        <v>1386</v>
      </c>
      <c r="C1499" s="40" t="n">
        <v>18348496.79</v>
      </c>
      <c r="D1499" s="40" t="n">
        <f aca="false">MAX(D1498,C1499)</f>
        <v>27863258.68</v>
      </c>
      <c r="E1499" s="41" t="n">
        <f aca="false">C1499/D1499-1</f>
        <v>-0.341480585572341</v>
      </c>
      <c r="F1499" s="42" t="n">
        <f aca="false">YEAR(A1499)</f>
        <v>2019</v>
      </c>
    </row>
    <row r="1500" customFormat="false" ht="15" hidden="false" customHeight="false" outlineLevel="0" collapsed="false">
      <c r="A1500" s="38" t="n">
        <v>43606</v>
      </c>
      <c r="B1500" s="39" t="n">
        <v>1402</v>
      </c>
      <c r="C1500" s="40" t="n">
        <v>19059856.79</v>
      </c>
      <c r="D1500" s="40" t="n">
        <f aca="false">MAX(D1499,C1500)</f>
        <v>27863258.68</v>
      </c>
      <c r="E1500" s="41" t="n">
        <f aca="false">C1500/D1500-1</f>
        <v>-0.315950190575484</v>
      </c>
      <c r="F1500" s="42" t="n">
        <f aca="false">YEAR(A1500)</f>
        <v>2019</v>
      </c>
    </row>
    <row r="1501" customFormat="false" ht="15" hidden="false" customHeight="false" outlineLevel="0" collapsed="false">
      <c r="A1501" s="38" t="n">
        <v>43607</v>
      </c>
      <c r="B1501" s="39" t="n">
        <v>1386.5</v>
      </c>
      <c r="C1501" s="40" t="n">
        <v>18370726.79</v>
      </c>
      <c r="D1501" s="40" t="n">
        <f aca="false">MAX(D1500,C1501)</f>
        <v>27863258.68</v>
      </c>
      <c r="E1501" s="41" t="n">
        <f aca="false">C1501/D1501-1</f>
        <v>-0.340682760728689</v>
      </c>
      <c r="F1501" s="42" t="n">
        <f aca="false">YEAR(A1501)</f>
        <v>2019</v>
      </c>
    </row>
    <row r="1502" customFormat="false" ht="15" hidden="false" customHeight="false" outlineLevel="0" collapsed="false">
      <c r="A1502" s="38" t="n">
        <v>43608</v>
      </c>
      <c r="B1502" s="39" t="n">
        <v>1390.5</v>
      </c>
      <c r="C1502" s="40" t="n">
        <v>18548566.79</v>
      </c>
      <c r="D1502" s="40" t="n">
        <f aca="false">MAX(D1501,C1502)</f>
        <v>27863258.68</v>
      </c>
      <c r="E1502" s="41" t="n">
        <f aca="false">C1502/D1502-1</f>
        <v>-0.334300161979475</v>
      </c>
      <c r="F1502" s="42" t="n">
        <f aca="false">YEAR(A1502)</f>
        <v>2019</v>
      </c>
    </row>
    <row r="1503" customFormat="false" ht="15" hidden="false" customHeight="false" outlineLevel="0" collapsed="false">
      <c r="A1503" s="38" t="n">
        <v>43609</v>
      </c>
      <c r="B1503" s="39" t="n">
        <v>1416.5</v>
      </c>
      <c r="C1503" s="40" t="n">
        <v>19704526.79</v>
      </c>
      <c r="D1503" s="40" t="n">
        <f aca="false">MAX(D1502,C1503)</f>
        <v>27863258.68</v>
      </c>
      <c r="E1503" s="41" t="n">
        <f aca="false">C1503/D1503-1</f>
        <v>-0.292813270109582</v>
      </c>
      <c r="F1503" s="42" t="n">
        <f aca="false">YEAR(A1503)</f>
        <v>2019</v>
      </c>
    </row>
    <row r="1504" customFormat="false" ht="15" hidden="false" customHeight="false" outlineLevel="0" collapsed="false">
      <c r="A1504" s="38" t="n">
        <v>43612</v>
      </c>
      <c r="B1504" s="39" t="n">
        <v>1386.5</v>
      </c>
      <c r="C1504" s="40" t="n">
        <v>18370726.79</v>
      </c>
      <c r="D1504" s="40" t="n">
        <f aca="false">MAX(D1503,C1504)</f>
        <v>27863258.68</v>
      </c>
      <c r="E1504" s="41" t="n">
        <f aca="false">C1504/D1504-1</f>
        <v>-0.340682760728689</v>
      </c>
      <c r="F1504" s="42" t="n">
        <f aca="false">YEAR(A1504)</f>
        <v>2019</v>
      </c>
    </row>
    <row r="1505" customFormat="false" ht="15" hidden="false" customHeight="false" outlineLevel="0" collapsed="false">
      <c r="A1505" s="38" t="n">
        <v>43613</v>
      </c>
      <c r="B1505" s="39" t="n">
        <v>1381.5</v>
      </c>
      <c r="C1505" s="40" t="n">
        <v>18148426.79</v>
      </c>
      <c r="D1505" s="40" t="n">
        <f aca="false">MAX(D1504,C1505)</f>
        <v>27863258.68</v>
      </c>
      <c r="E1505" s="41" t="n">
        <f aca="false">C1505/D1505-1</f>
        <v>-0.348661009165207</v>
      </c>
      <c r="F1505" s="42" t="n">
        <f aca="false">YEAR(A1505)</f>
        <v>2019</v>
      </c>
    </row>
    <row r="1506" customFormat="false" ht="15" hidden="false" customHeight="false" outlineLevel="0" collapsed="false">
      <c r="A1506" s="38" t="n">
        <v>43614</v>
      </c>
      <c r="B1506" s="39" t="n">
        <v>1390</v>
      </c>
      <c r="C1506" s="40" t="n">
        <v>18526336.79</v>
      </c>
      <c r="D1506" s="40" t="n">
        <f aca="false">MAX(D1505,C1506)</f>
        <v>27863258.68</v>
      </c>
      <c r="E1506" s="41" t="n">
        <f aca="false">C1506/D1506-1</f>
        <v>-0.335097986823126</v>
      </c>
      <c r="F1506" s="42" t="n">
        <f aca="false">YEAR(A1506)</f>
        <v>2019</v>
      </c>
    </row>
    <row r="1507" customFormat="false" ht="15" hidden="false" customHeight="false" outlineLevel="0" collapsed="false">
      <c r="A1507" s="38" t="n">
        <v>43615</v>
      </c>
      <c r="B1507" s="39" t="n">
        <v>1395</v>
      </c>
      <c r="C1507" s="40" t="n">
        <v>18748636.79</v>
      </c>
      <c r="D1507" s="40" t="n">
        <f aca="false">MAX(D1506,C1507)</f>
        <v>27863258.68</v>
      </c>
      <c r="E1507" s="41" t="n">
        <f aca="false">C1507/D1507-1</f>
        <v>-0.327119738386609</v>
      </c>
      <c r="F1507" s="42" t="n">
        <f aca="false">YEAR(A1507)</f>
        <v>2019</v>
      </c>
    </row>
    <row r="1508" customFormat="false" ht="15" hidden="false" customHeight="false" outlineLevel="0" collapsed="false">
      <c r="A1508" s="38" t="n">
        <v>43616</v>
      </c>
      <c r="B1508" s="39" t="n">
        <v>1384.5</v>
      </c>
      <c r="C1508" s="40" t="n">
        <v>18281806.79</v>
      </c>
      <c r="D1508" s="40" t="n">
        <f aca="false">MAX(D1507,C1508)</f>
        <v>27863258.68</v>
      </c>
      <c r="E1508" s="41" t="n">
        <f aca="false">C1508/D1508-1</f>
        <v>-0.343874060103296</v>
      </c>
      <c r="F1508" s="42" t="n">
        <f aca="false">YEAR(A1508)</f>
        <v>2019</v>
      </c>
    </row>
    <row r="1509" customFormat="false" ht="15" hidden="false" customHeight="false" outlineLevel="0" collapsed="false">
      <c r="A1509" s="38" t="n">
        <v>43619</v>
      </c>
      <c r="B1509" s="39" t="n">
        <v>1367.5</v>
      </c>
      <c r="C1509" s="40" t="n">
        <v>17525986.79</v>
      </c>
      <c r="D1509" s="40" t="n">
        <f aca="false">MAX(D1508,C1509)</f>
        <v>27863258.68</v>
      </c>
      <c r="E1509" s="41" t="n">
        <f aca="false">C1509/D1509-1</f>
        <v>-0.371000104787456</v>
      </c>
      <c r="F1509" s="42" t="n">
        <f aca="false">YEAR(A1509)</f>
        <v>2019</v>
      </c>
    </row>
    <row r="1510" customFormat="false" ht="15" hidden="false" customHeight="false" outlineLevel="0" collapsed="false">
      <c r="A1510" s="38" t="n">
        <v>43620</v>
      </c>
      <c r="B1510" s="39" t="n">
        <v>1379</v>
      </c>
      <c r="C1510" s="40" t="n">
        <v>18037276.79</v>
      </c>
      <c r="D1510" s="40" t="n">
        <f aca="false">MAX(D1509,C1510)</f>
        <v>27863258.68</v>
      </c>
      <c r="E1510" s="41" t="n">
        <f aca="false">C1510/D1510-1</f>
        <v>-0.352650133383465</v>
      </c>
      <c r="F1510" s="42" t="n">
        <f aca="false">YEAR(A1510)</f>
        <v>2019</v>
      </c>
    </row>
    <row r="1511" customFormat="false" ht="15" hidden="false" customHeight="false" outlineLevel="0" collapsed="false">
      <c r="A1511" s="38" t="n">
        <v>43621</v>
      </c>
      <c r="B1511" s="39" t="n">
        <v>1376.5</v>
      </c>
      <c r="C1511" s="40" t="n">
        <v>17926126.79</v>
      </c>
      <c r="D1511" s="40" t="n">
        <f aca="false">MAX(D1510,C1511)</f>
        <v>27863258.68</v>
      </c>
      <c r="E1511" s="41" t="n">
        <f aca="false">C1511/D1511-1</f>
        <v>-0.356639257601724</v>
      </c>
      <c r="F1511" s="42" t="n">
        <f aca="false">YEAR(A1511)</f>
        <v>2019</v>
      </c>
    </row>
    <row r="1512" customFormat="false" ht="15" hidden="false" customHeight="false" outlineLevel="0" collapsed="false">
      <c r="A1512" s="38" t="n">
        <v>43622</v>
      </c>
      <c r="B1512" s="39" t="n">
        <v>1386.5</v>
      </c>
      <c r="C1512" s="40" t="n">
        <v>18370726.79</v>
      </c>
      <c r="D1512" s="40" t="n">
        <f aca="false">MAX(D1511,C1512)</f>
        <v>27863258.68</v>
      </c>
      <c r="E1512" s="41" t="n">
        <f aca="false">C1512/D1512-1</f>
        <v>-0.340682760728689</v>
      </c>
      <c r="F1512" s="42" t="n">
        <f aca="false">YEAR(A1512)</f>
        <v>2019</v>
      </c>
    </row>
    <row r="1513" customFormat="false" ht="15" hidden="false" customHeight="false" outlineLevel="0" collapsed="false">
      <c r="A1513" s="38" t="n">
        <v>43626</v>
      </c>
      <c r="B1513" s="39" t="n">
        <v>1413</v>
      </c>
      <c r="C1513" s="40" t="n">
        <v>19548916.79</v>
      </c>
      <c r="D1513" s="40" t="n">
        <f aca="false">MAX(D1512,C1513)</f>
        <v>27863258.68</v>
      </c>
      <c r="E1513" s="41" t="n">
        <f aca="false">C1513/D1513-1</f>
        <v>-0.298398044015145</v>
      </c>
      <c r="F1513" s="42" t="n">
        <f aca="false">YEAR(A1513)</f>
        <v>2019</v>
      </c>
    </row>
    <row r="1514" customFormat="false" ht="15" hidden="false" customHeight="false" outlineLevel="0" collapsed="false">
      <c r="A1514" s="38" t="n">
        <v>43627</v>
      </c>
      <c r="B1514" s="39" t="n">
        <v>1435</v>
      </c>
      <c r="C1514" s="40" t="n">
        <v>20527036.79</v>
      </c>
      <c r="D1514" s="40" t="n">
        <f aca="false">MAX(D1513,C1514)</f>
        <v>27863258.68</v>
      </c>
      <c r="E1514" s="41" t="n">
        <f aca="false">C1514/D1514-1</f>
        <v>-0.263293750894467</v>
      </c>
      <c r="F1514" s="42" t="n">
        <f aca="false">YEAR(A1514)</f>
        <v>2019</v>
      </c>
    </row>
    <row r="1515" customFormat="false" ht="15" hidden="false" customHeight="false" outlineLevel="0" collapsed="false">
      <c r="A1515" s="38" t="n">
        <v>43628</v>
      </c>
      <c r="B1515" s="39" t="n">
        <v>1397.5</v>
      </c>
      <c r="C1515" s="40" t="n">
        <v>18859786.79</v>
      </c>
      <c r="D1515" s="40" t="n">
        <f aca="false">MAX(D1514,C1515)</f>
        <v>27863258.68</v>
      </c>
      <c r="E1515" s="41" t="n">
        <f aca="false">C1515/D1515-1</f>
        <v>-0.32313061416835</v>
      </c>
      <c r="F1515" s="42" t="n">
        <f aca="false">YEAR(A1515)</f>
        <v>2019</v>
      </c>
    </row>
    <row r="1516" customFormat="false" ht="15" hidden="false" customHeight="false" outlineLevel="0" collapsed="false">
      <c r="A1516" s="38" t="n">
        <v>43629</v>
      </c>
      <c r="B1516" s="39" t="n">
        <v>1403</v>
      </c>
      <c r="C1516" s="40" t="n">
        <v>19104316.79</v>
      </c>
      <c r="D1516" s="40" t="n">
        <f aca="false">MAX(D1515,C1516)</f>
        <v>27863258.68</v>
      </c>
      <c r="E1516" s="41" t="n">
        <f aca="false">C1516/D1516-1</f>
        <v>-0.31435454088818</v>
      </c>
      <c r="F1516" s="42" t="n">
        <f aca="false">YEAR(A1516)</f>
        <v>2019</v>
      </c>
    </row>
    <row r="1517" customFormat="false" ht="15" hidden="false" customHeight="false" outlineLevel="0" collapsed="false">
      <c r="A1517" s="38" t="n">
        <v>43630</v>
      </c>
      <c r="B1517" s="39" t="n">
        <v>1384</v>
      </c>
      <c r="C1517" s="40" t="n">
        <v>18259576.79</v>
      </c>
      <c r="D1517" s="40" t="n">
        <f aca="false">MAX(D1516,C1517)</f>
        <v>27863258.68</v>
      </c>
      <c r="E1517" s="41" t="n">
        <f aca="false">C1517/D1517-1</f>
        <v>-0.344671884946948</v>
      </c>
      <c r="F1517" s="42" t="n">
        <f aca="false">YEAR(A1517)</f>
        <v>2019</v>
      </c>
    </row>
    <row r="1518" customFormat="false" ht="15" hidden="false" customHeight="false" outlineLevel="0" collapsed="false">
      <c r="A1518" s="38" t="n">
        <v>43633</v>
      </c>
      <c r="B1518" s="39" t="n">
        <v>1381</v>
      </c>
      <c r="C1518" s="40" t="n">
        <v>18126196.79</v>
      </c>
      <c r="D1518" s="40" t="n">
        <f aca="false">MAX(D1517,C1518)</f>
        <v>27863258.68</v>
      </c>
      <c r="E1518" s="41" t="n">
        <f aca="false">C1518/D1518-1</f>
        <v>-0.349458834008858</v>
      </c>
      <c r="F1518" s="42" t="n">
        <f aca="false">YEAR(A1518)</f>
        <v>2019</v>
      </c>
    </row>
    <row r="1519" customFormat="false" ht="15" hidden="false" customHeight="false" outlineLevel="0" collapsed="false">
      <c r="A1519" s="38" t="n">
        <v>43634</v>
      </c>
      <c r="B1519" s="39" t="n">
        <v>1386</v>
      </c>
      <c r="C1519" s="40" t="n">
        <v>18348496.79</v>
      </c>
      <c r="D1519" s="40" t="n">
        <f aca="false">MAX(D1518,C1519)</f>
        <v>27863258.68</v>
      </c>
      <c r="E1519" s="41" t="n">
        <f aca="false">C1519/D1519-1</f>
        <v>-0.341480585572341</v>
      </c>
      <c r="F1519" s="42" t="n">
        <f aca="false">YEAR(A1519)</f>
        <v>2019</v>
      </c>
    </row>
    <row r="1520" customFormat="false" ht="15" hidden="false" customHeight="false" outlineLevel="0" collapsed="false">
      <c r="A1520" s="38" t="n">
        <v>43635</v>
      </c>
      <c r="B1520" s="39" t="n">
        <v>1390</v>
      </c>
      <c r="C1520" s="40" t="n">
        <v>18320099.44</v>
      </c>
      <c r="D1520" s="40" t="n">
        <f aca="false">MAX(D1519,C1520)</f>
        <v>27863258.68</v>
      </c>
      <c r="E1520" s="41" t="n">
        <f aca="false">C1520/D1520-1</f>
        <v>-0.34249975387301</v>
      </c>
      <c r="F1520" s="42" t="n">
        <f aca="false">YEAR(A1520)</f>
        <v>2019</v>
      </c>
    </row>
    <row r="1521" customFormat="false" ht="15" hidden="false" customHeight="false" outlineLevel="0" collapsed="false">
      <c r="A1521" s="38" t="n">
        <v>43636</v>
      </c>
      <c r="B1521" s="39" t="n">
        <v>1395.5</v>
      </c>
      <c r="C1521" s="40" t="n">
        <v>18320099.44</v>
      </c>
      <c r="D1521" s="40" t="n">
        <f aca="false">MAX(D1520,C1521)</f>
        <v>27863258.68</v>
      </c>
      <c r="E1521" s="41" t="n">
        <f aca="false">C1521/D1521-1</f>
        <v>-0.34249975387301</v>
      </c>
      <c r="F1521" s="42" t="n">
        <f aca="false">YEAR(A1521)</f>
        <v>2019</v>
      </c>
    </row>
    <row r="1522" customFormat="false" ht="15" hidden="false" customHeight="false" outlineLevel="0" collapsed="false">
      <c r="A1522" s="38" t="n">
        <v>43637</v>
      </c>
      <c r="B1522" s="39" t="n">
        <v>1390</v>
      </c>
      <c r="C1522" s="40" t="n">
        <v>18320099.44</v>
      </c>
      <c r="D1522" s="40" t="n">
        <f aca="false">MAX(D1521,C1522)</f>
        <v>27863258.68</v>
      </c>
      <c r="E1522" s="41" t="n">
        <f aca="false">C1522/D1522-1</f>
        <v>-0.34249975387301</v>
      </c>
      <c r="F1522" s="42" t="n">
        <f aca="false">YEAR(A1522)</f>
        <v>2019</v>
      </c>
    </row>
    <row r="1523" customFormat="false" ht="15" hidden="false" customHeight="false" outlineLevel="0" collapsed="false">
      <c r="A1523" s="38" t="n">
        <v>43640</v>
      </c>
      <c r="B1523" s="39" t="n">
        <v>1373</v>
      </c>
      <c r="C1523" s="40" t="n">
        <v>18320099.44</v>
      </c>
      <c r="D1523" s="40" t="n">
        <f aca="false">MAX(D1522,C1523)</f>
        <v>27863258.68</v>
      </c>
      <c r="E1523" s="41" t="n">
        <f aca="false">C1523/D1523-1</f>
        <v>-0.34249975387301</v>
      </c>
      <c r="F1523" s="42" t="n">
        <f aca="false">YEAR(A1523)</f>
        <v>2019</v>
      </c>
    </row>
    <row r="1524" customFormat="false" ht="15" hidden="false" customHeight="false" outlineLevel="0" collapsed="false">
      <c r="A1524" s="38" t="n">
        <v>43641</v>
      </c>
      <c r="B1524" s="39" t="n">
        <v>1379</v>
      </c>
      <c r="C1524" s="40" t="n">
        <v>18320099.44</v>
      </c>
      <c r="D1524" s="40" t="n">
        <f aca="false">MAX(D1523,C1524)</f>
        <v>27863258.68</v>
      </c>
      <c r="E1524" s="41" t="n">
        <f aca="false">C1524/D1524-1</f>
        <v>-0.34249975387301</v>
      </c>
      <c r="F1524" s="42" t="n">
        <f aca="false">YEAR(A1524)</f>
        <v>2019</v>
      </c>
    </row>
    <row r="1525" customFormat="false" ht="15" hidden="false" customHeight="false" outlineLevel="0" collapsed="false">
      <c r="A1525" s="38" t="n">
        <v>43642</v>
      </c>
      <c r="B1525" s="39" t="n">
        <v>1376.5</v>
      </c>
      <c r="C1525" s="40" t="n">
        <v>18320099.44</v>
      </c>
      <c r="D1525" s="40" t="n">
        <f aca="false">MAX(D1524,C1525)</f>
        <v>27863258.68</v>
      </c>
      <c r="E1525" s="41" t="n">
        <f aca="false">C1525/D1525-1</f>
        <v>-0.34249975387301</v>
      </c>
      <c r="F1525" s="42" t="n">
        <f aca="false">YEAR(A1525)</f>
        <v>2019</v>
      </c>
    </row>
    <row r="1526" customFormat="false" ht="15" hidden="false" customHeight="false" outlineLevel="0" collapsed="false">
      <c r="A1526" s="38" t="n">
        <v>43643</v>
      </c>
      <c r="B1526" s="39" t="n">
        <v>1373</v>
      </c>
      <c r="C1526" s="40" t="n">
        <v>18320099.44</v>
      </c>
      <c r="D1526" s="40" t="n">
        <f aca="false">MAX(D1525,C1526)</f>
        <v>27863258.68</v>
      </c>
      <c r="E1526" s="41" t="n">
        <f aca="false">C1526/D1526-1</f>
        <v>-0.34249975387301</v>
      </c>
      <c r="F1526" s="42" t="n">
        <f aca="false">YEAR(A1526)</f>
        <v>2019</v>
      </c>
    </row>
    <row r="1527" customFormat="false" ht="15" hidden="false" customHeight="false" outlineLevel="0" collapsed="false">
      <c r="A1527" s="38" t="n">
        <v>43644</v>
      </c>
      <c r="B1527" s="39" t="n">
        <v>1390</v>
      </c>
      <c r="C1527" s="40" t="n">
        <v>18320099.44</v>
      </c>
      <c r="D1527" s="40" t="n">
        <f aca="false">MAX(D1526,C1527)</f>
        <v>27863258.68</v>
      </c>
      <c r="E1527" s="41" t="n">
        <f aca="false">C1527/D1527-1</f>
        <v>-0.34249975387301</v>
      </c>
      <c r="F1527" s="42" t="n">
        <f aca="false">YEAR(A1527)</f>
        <v>2019</v>
      </c>
    </row>
    <row r="1528" customFormat="false" ht="15" hidden="false" customHeight="false" outlineLevel="0" collapsed="false">
      <c r="A1528" s="38" t="n">
        <v>43647</v>
      </c>
      <c r="B1528" s="39" t="n">
        <v>1401.5</v>
      </c>
      <c r="C1528" s="40" t="n">
        <v>18320099.44</v>
      </c>
      <c r="D1528" s="40" t="n">
        <f aca="false">MAX(D1527,C1528)</f>
        <v>27863258.68</v>
      </c>
      <c r="E1528" s="41" t="n">
        <f aca="false">C1528/D1528-1</f>
        <v>-0.34249975387301</v>
      </c>
      <c r="F1528" s="42" t="n">
        <f aca="false">YEAR(A1528)</f>
        <v>2019</v>
      </c>
    </row>
    <row r="1529" customFormat="false" ht="15" hidden="false" customHeight="false" outlineLevel="0" collapsed="false">
      <c r="A1529" s="38" t="n">
        <v>43648</v>
      </c>
      <c r="B1529" s="39" t="n">
        <v>1397.5</v>
      </c>
      <c r="C1529" s="40" t="n">
        <v>18320099.44</v>
      </c>
      <c r="D1529" s="40" t="n">
        <f aca="false">MAX(D1528,C1529)</f>
        <v>27863258.68</v>
      </c>
      <c r="E1529" s="41" t="n">
        <f aca="false">C1529/D1529-1</f>
        <v>-0.34249975387301</v>
      </c>
      <c r="F1529" s="42" t="n">
        <f aca="false">YEAR(A1529)</f>
        <v>2019</v>
      </c>
    </row>
    <row r="1530" customFormat="false" ht="15" hidden="false" customHeight="false" outlineLevel="0" collapsed="false">
      <c r="A1530" s="38" t="n">
        <v>43649</v>
      </c>
      <c r="B1530" s="39" t="n">
        <v>1372</v>
      </c>
      <c r="C1530" s="40" t="n">
        <v>18320099.44</v>
      </c>
      <c r="D1530" s="40" t="n">
        <f aca="false">MAX(D1529,C1530)</f>
        <v>27863258.68</v>
      </c>
      <c r="E1530" s="41" t="n">
        <f aca="false">C1530/D1530-1</f>
        <v>-0.34249975387301</v>
      </c>
      <c r="F1530" s="42" t="n">
        <f aca="false">YEAR(A1530)</f>
        <v>2019</v>
      </c>
    </row>
    <row r="1531" customFormat="false" ht="15" hidden="false" customHeight="false" outlineLevel="0" collapsed="false">
      <c r="A1531" s="38" t="n">
        <v>43650</v>
      </c>
      <c r="B1531" s="39" t="n">
        <v>1374.5</v>
      </c>
      <c r="C1531" s="40" t="n">
        <v>18320099.44</v>
      </c>
      <c r="D1531" s="40" t="n">
        <f aca="false">MAX(D1530,C1531)</f>
        <v>27863258.68</v>
      </c>
      <c r="E1531" s="41" t="n">
        <f aca="false">C1531/D1531-1</f>
        <v>-0.34249975387301</v>
      </c>
      <c r="F1531" s="42" t="n">
        <f aca="false">YEAR(A1531)</f>
        <v>2019</v>
      </c>
    </row>
    <row r="1532" customFormat="false" ht="15" hidden="false" customHeight="false" outlineLevel="0" collapsed="false">
      <c r="A1532" s="38" t="n">
        <v>43651</v>
      </c>
      <c r="B1532" s="39" t="n">
        <v>1366</v>
      </c>
      <c r="C1532" s="40" t="n">
        <v>18618371.89</v>
      </c>
      <c r="D1532" s="40" t="n">
        <f aca="false">MAX(D1531,C1532)</f>
        <v>27863258.68</v>
      </c>
      <c r="E1532" s="41" t="n">
        <f aca="false">C1532/D1532-1</f>
        <v>-0.331794887890694</v>
      </c>
      <c r="F1532" s="42" t="n">
        <f aca="false">YEAR(A1532)</f>
        <v>2019</v>
      </c>
    </row>
    <row r="1533" customFormat="false" ht="15" hidden="false" customHeight="false" outlineLevel="0" collapsed="false">
      <c r="A1533" s="38" t="n">
        <v>43654</v>
      </c>
      <c r="B1533" s="39" t="n">
        <v>1371.5</v>
      </c>
      <c r="C1533" s="40" t="n">
        <v>18312461.89</v>
      </c>
      <c r="D1533" s="40" t="n">
        <f aca="false">MAX(D1532,C1533)</f>
        <v>27863258.68</v>
      </c>
      <c r="E1533" s="41" t="n">
        <f aca="false">C1533/D1533-1</f>
        <v>-0.342773862156169</v>
      </c>
      <c r="F1533" s="42" t="n">
        <f aca="false">YEAR(A1533)</f>
        <v>2019</v>
      </c>
    </row>
    <row r="1534" customFormat="false" ht="15" hidden="false" customHeight="false" outlineLevel="0" collapsed="false">
      <c r="A1534" s="38" t="n">
        <v>43655</v>
      </c>
      <c r="B1534" s="39" t="n">
        <v>1380.5</v>
      </c>
      <c r="C1534" s="40" t="n">
        <v>17811881.89</v>
      </c>
      <c r="D1534" s="40" t="n">
        <f aca="false">MAX(D1533,C1534)</f>
        <v>27863258.68</v>
      </c>
      <c r="E1534" s="41" t="n">
        <f aca="false">C1534/D1534-1</f>
        <v>-0.360739456408765</v>
      </c>
      <c r="F1534" s="42" t="n">
        <f aca="false">YEAR(A1534)</f>
        <v>2019</v>
      </c>
    </row>
    <row r="1535" customFormat="false" ht="15" hidden="false" customHeight="false" outlineLevel="0" collapsed="false">
      <c r="A1535" s="38" t="n">
        <v>43656</v>
      </c>
      <c r="B1535" s="39" t="n">
        <v>1371</v>
      </c>
      <c r="C1535" s="40" t="n">
        <v>18340271.89</v>
      </c>
      <c r="D1535" s="40" t="n">
        <f aca="false">MAX(D1534,C1535)</f>
        <v>27863258.68</v>
      </c>
      <c r="E1535" s="41" t="n">
        <f aca="false">C1535/D1535-1</f>
        <v>-0.34177577358658</v>
      </c>
      <c r="F1535" s="42" t="n">
        <f aca="false">YEAR(A1535)</f>
        <v>2019</v>
      </c>
    </row>
    <row r="1536" customFormat="false" ht="15" hidden="false" customHeight="false" outlineLevel="0" collapsed="false">
      <c r="A1536" s="38" t="n">
        <v>43657</v>
      </c>
      <c r="B1536" s="39" t="n">
        <v>1391</v>
      </c>
      <c r="C1536" s="40" t="n">
        <v>17227871.89</v>
      </c>
      <c r="D1536" s="40" t="n">
        <f aca="false">MAX(D1535,C1536)</f>
        <v>27863258.68</v>
      </c>
      <c r="E1536" s="41" t="n">
        <f aca="false">C1536/D1536-1</f>
        <v>-0.381699316370127</v>
      </c>
      <c r="F1536" s="42" t="n">
        <f aca="false">YEAR(A1536)</f>
        <v>2019</v>
      </c>
    </row>
    <row r="1537" customFormat="false" ht="15" hidden="false" customHeight="false" outlineLevel="0" collapsed="false">
      <c r="A1537" s="38" t="n">
        <v>43658</v>
      </c>
      <c r="B1537" s="39" t="n">
        <v>1393.5</v>
      </c>
      <c r="C1537" s="40" t="n">
        <v>17088821.89</v>
      </c>
      <c r="D1537" s="40" t="n">
        <f aca="false">MAX(D1536,C1537)</f>
        <v>27863258.68</v>
      </c>
      <c r="E1537" s="41" t="n">
        <f aca="false">C1537/D1537-1</f>
        <v>-0.38668975921807</v>
      </c>
      <c r="F1537" s="42" t="n">
        <f aca="false">YEAR(A1537)</f>
        <v>2019</v>
      </c>
    </row>
    <row r="1538" customFormat="false" ht="15" hidden="false" customHeight="false" outlineLevel="0" collapsed="false">
      <c r="A1538" s="38" t="n">
        <v>43661</v>
      </c>
      <c r="B1538" s="39" t="n">
        <v>1395</v>
      </c>
      <c r="C1538" s="40" t="n">
        <v>17005391.89</v>
      </c>
      <c r="D1538" s="40" t="n">
        <f aca="false">MAX(D1537,C1538)</f>
        <v>27863258.68</v>
      </c>
      <c r="E1538" s="41" t="n">
        <f aca="false">C1538/D1538-1</f>
        <v>-0.389684024926836</v>
      </c>
      <c r="F1538" s="42" t="n">
        <f aca="false">YEAR(A1538)</f>
        <v>2019</v>
      </c>
    </row>
    <row r="1539" customFormat="false" ht="15" hidden="false" customHeight="false" outlineLevel="0" collapsed="false">
      <c r="A1539" s="38" t="n">
        <v>43662</v>
      </c>
      <c r="B1539" s="39" t="n">
        <v>1417.5</v>
      </c>
      <c r="C1539" s="40" t="n">
        <v>15753941.89</v>
      </c>
      <c r="D1539" s="40" t="n">
        <f aca="false">MAX(D1538,C1539)</f>
        <v>27863258.68</v>
      </c>
      <c r="E1539" s="41" t="n">
        <f aca="false">C1539/D1539-1</f>
        <v>-0.434598010558326</v>
      </c>
      <c r="F1539" s="42" t="n">
        <f aca="false">YEAR(A1539)</f>
        <v>2019</v>
      </c>
    </row>
    <row r="1540" customFormat="false" ht="15" hidden="false" customHeight="false" outlineLevel="0" collapsed="false">
      <c r="A1540" s="38" t="n">
        <v>43663</v>
      </c>
      <c r="B1540" s="39" t="n">
        <v>1412</v>
      </c>
      <c r="C1540" s="40" t="n">
        <v>16059851.89</v>
      </c>
      <c r="D1540" s="40" t="n">
        <f aca="false">MAX(D1539,C1540)</f>
        <v>27863258.68</v>
      </c>
      <c r="E1540" s="41" t="n">
        <f aca="false">C1540/D1540-1</f>
        <v>-0.42361903629285</v>
      </c>
      <c r="F1540" s="42" t="n">
        <f aca="false">YEAR(A1540)</f>
        <v>2019</v>
      </c>
    </row>
    <row r="1541" customFormat="false" ht="15" hidden="false" customHeight="false" outlineLevel="0" collapsed="false">
      <c r="A1541" s="38" t="n">
        <v>43664</v>
      </c>
      <c r="B1541" s="39" t="n">
        <v>1413.5</v>
      </c>
      <c r="C1541" s="40" t="n">
        <v>15976421.89</v>
      </c>
      <c r="D1541" s="40" t="n">
        <f aca="false">MAX(D1540,C1541)</f>
        <v>27863258.68</v>
      </c>
      <c r="E1541" s="41" t="n">
        <f aca="false">C1541/D1541-1</f>
        <v>-0.426613302001616</v>
      </c>
      <c r="F1541" s="42" t="n">
        <f aca="false">YEAR(A1541)</f>
        <v>2019</v>
      </c>
    </row>
    <row r="1542" customFormat="false" ht="15" hidden="false" customHeight="false" outlineLevel="0" collapsed="false">
      <c r="A1542" s="38" t="n">
        <v>43665</v>
      </c>
      <c r="B1542" s="39" t="n">
        <v>1415.5</v>
      </c>
      <c r="C1542" s="40" t="n">
        <v>15865181.89</v>
      </c>
      <c r="D1542" s="40" t="n">
        <f aca="false">MAX(D1541,C1542)</f>
        <v>27863258.68</v>
      </c>
      <c r="E1542" s="41" t="n">
        <f aca="false">C1542/D1542-1</f>
        <v>-0.430605656279971</v>
      </c>
      <c r="F1542" s="42" t="n">
        <f aca="false">YEAR(A1542)</f>
        <v>2019</v>
      </c>
    </row>
    <row r="1543" customFormat="false" ht="15" hidden="false" customHeight="false" outlineLevel="0" collapsed="false">
      <c r="A1543" s="38" t="n">
        <v>43668</v>
      </c>
      <c r="B1543" s="39" t="n">
        <v>1393</v>
      </c>
      <c r="C1543" s="40" t="n">
        <v>17116631.89</v>
      </c>
      <c r="D1543" s="40" t="n">
        <f aca="false">MAX(D1542,C1543)</f>
        <v>27863258.68</v>
      </c>
      <c r="E1543" s="41" t="n">
        <f aca="false">C1543/D1543-1</f>
        <v>-0.385691670648481</v>
      </c>
      <c r="F1543" s="42" t="n">
        <f aca="false">YEAR(A1543)</f>
        <v>2019</v>
      </c>
    </row>
    <row r="1544" customFormat="false" ht="15" hidden="false" customHeight="false" outlineLevel="0" collapsed="false">
      <c r="A1544" s="38" t="n">
        <v>43669</v>
      </c>
      <c r="B1544" s="39" t="n">
        <v>1391</v>
      </c>
      <c r="C1544" s="40" t="n">
        <v>17227871.89</v>
      </c>
      <c r="D1544" s="40" t="n">
        <f aca="false">MAX(D1543,C1544)</f>
        <v>27863258.68</v>
      </c>
      <c r="E1544" s="41" t="n">
        <f aca="false">C1544/D1544-1</f>
        <v>-0.381699316370127</v>
      </c>
      <c r="F1544" s="42" t="n">
        <f aca="false">YEAR(A1544)</f>
        <v>2019</v>
      </c>
    </row>
    <row r="1545" customFormat="false" ht="15" hidden="false" customHeight="false" outlineLevel="0" collapsed="false">
      <c r="A1545" s="38" t="n">
        <v>43670</v>
      </c>
      <c r="B1545" s="39" t="n">
        <v>1406</v>
      </c>
      <c r="C1545" s="40" t="n">
        <v>16393571.89</v>
      </c>
      <c r="D1545" s="40" t="n">
        <f aca="false">MAX(D1544,C1545)</f>
        <v>27863258.68</v>
      </c>
      <c r="E1545" s="41" t="n">
        <f aca="false">C1545/D1545-1</f>
        <v>-0.411641973457787</v>
      </c>
      <c r="F1545" s="42" t="n">
        <f aca="false">YEAR(A1545)</f>
        <v>2019</v>
      </c>
    </row>
    <row r="1546" customFormat="false" ht="15" hidden="false" customHeight="false" outlineLevel="0" collapsed="false">
      <c r="A1546" s="38" t="n">
        <v>43671</v>
      </c>
      <c r="B1546" s="39" t="n">
        <v>1406</v>
      </c>
      <c r="C1546" s="40" t="n">
        <v>16393571.89</v>
      </c>
      <c r="D1546" s="40" t="n">
        <f aca="false">MAX(D1545,C1546)</f>
        <v>27863258.68</v>
      </c>
      <c r="E1546" s="41" t="n">
        <f aca="false">C1546/D1546-1</f>
        <v>-0.411641973457787</v>
      </c>
      <c r="F1546" s="42" t="n">
        <f aca="false">YEAR(A1546)</f>
        <v>2019</v>
      </c>
    </row>
    <row r="1547" customFormat="false" ht="15" hidden="false" customHeight="false" outlineLevel="0" collapsed="false">
      <c r="A1547" s="38" t="n">
        <v>43672</v>
      </c>
      <c r="B1547" s="39" t="n">
        <v>1402</v>
      </c>
      <c r="C1547" s="40" t="n">
        <v>16616051.89</v>
      </c>
      <c r="D1547" s="40" t="n">
        <f aca="false">MAX(D1546,C1547)</f>
        <v>27863258.68</v>
      </c>
      <c r="E1547" s="41" t="n">
        <f aca="false">C1547/D1547-1</f>
        <v>-0.403657264901077</v>
      </c>
      <c r="F1547" s="42" t="n">
        <f aca="false">YEAR(A1547)</f>
        <v>2019</v>
      </c>
    </row>
    <row r="1548" customFormat="false" ht="15" hidden="false" customHeight="false" outlineLevel="0" collapsed="false">
      <c r="A1548" s="38" t="n">
        <v>43675</v>
      </c>
      <c r="B1548" s="39" t="n">
        <v>1391.5</v>
      </c>
      <c r="C1548" s="40" t="n">
        <v>17200061.89</v>
      </c>
      <c r="D1548" s="40" t="n">
        <f aca="false">MAX(D1547,C1548)</f>
        <v>27863258.68</v>
      </c>
      <c r="E1548" s="41" t="n">
        <f aca="false">C1548/D1548-1</f>
        <v>-0.382697404939715</v>
      </c>
      <c r="F1548" s="42" t="n">
        <f aca="false">YEAR(A1548)</f>
        <v>2019</v>
      </c>
    </row>
    <row r="1549" customFormat="false" ht="15" hidden="false" customHeight="false" outlineLevel="0" collapsed="false">
      <c r="A1549" s="38" t="n">
        <v>43676</v>
      </c>
      <c r="B1549" s="39" t="n">
        <v>1395</v>
      </c>
      <c r="C1549" s="40" t="n">
        <v>17005391.89</v>
      </c>
      <c r="D1549" s="40" t="n">
        <f aca="false">MAX(D1548,C1549)</f>
        <v>27863258.68</v>
      </c>
      <c r="E1549" s="41" t="n">
        <f aca="false">C1549/D1549-1</f>
        <v>-0.389684024926836</v>
      </c>
      <c r="F1549" s="42" t="n">
        <f aca="false">YEAR(A1549)</f>
        <v>2019</v>
      </c>
    </row>
    <row r="1550" customFormat="false" ht="15" hidden="false" customHeight="false" outlineLevel="0" collapsed="false">
      <c r="A1550" s="38" t="n">
        <v>43677</v>
      </c>
      <c r="B1550" s="39" t="n">
        <v>1396.5</v>
      </c>
      <c r="C1550" s="40" t="n">
        <v>16921961.89</v>
      </c>
      <c r="D1550" s="40" t="n">
        <f aca="false">MAX(D1549,C1550)</f>
        <v>27863258.68</v>
      </c>
      <c r="E1550" s="41" t="n">
        <f aca="false">C1550/D1550-1</f>
        <v>-0.392678290635602</v>
      </c>
      <c r="F1550" s="42" t="n">
        <f aca="false">YEAR(A1550)</f>
        <v>2019</v>
      </c>
    </row>
    <row r="1551" customFormat="false" ht="15" hidden="false" customHeight="false" outlineLevel="0" collapsed="false">
      <c r="A1551" s="38" t="n">
        <v>43678</v>
      </c>
      <c r="B1551" s="39" t="n">
        <v>1388.5</v>
      </c>
      <c r="C1551" s="40" t="n">
        <v>17366921.89</v>
      </c>
      <c r="D1551" s="40" t="n">
        <f aca="false">MAX(D1550,C1551)</f>
        <v>27863258.68</v>
      </c>
      <c r="E1551" s="41" t="n">
        <f aca="false">C1551/D1551-1</f>
        <v>-0.376708873522183</v>
      </c>
      <c r="F1551" s="42" t="n">
        <f aca="false">YEAR(A1551)</f>
        <v>2019</v>
      </c>
    </row>
    <row r="1552" customFormat="false" ht="15" hidden="false" customHeight="false" outlineLevel="0" collapsed="false">
      <c r="A1552" s="38" t="n">
        <v>43679</v>
      </c>
      <c r="B1552" s="39" t="n">
        <v>1390</v>
      </c>
      <c r="C1552" s="40" t="n">
        <v>17283491.89</v>
      </c>
      <c r="D1552" s="40" t="n">
        <f aca="false">MAX(D1551,C1552)</f>
        <v>27863258.68</v>
      </c>
      <c r="E1552" s="41" t="n">
        <f aca="false">C1552/D1552-1</f>
        <v>-0.379703139230949</v>
      </c>
      <c r="F1552" s="42" t="n">
        <f aca="false">YEAR(A1552)</f>
        <v>2019</v>
      </c>
    </row>
    <row r="1553" customFormat="false" ht="15" hidden="false" customHeight="false" outlineLevel="0" collapsed="false">
      <c r="A1553" s="38" t="n">
        <v>43682</v>
      </c>
      <c r="B1553" s="39" t="n">
        <v>1383.5</v>
      </c>
      <c r="C1553" s="40" t="n">
        <v>17645021.89</v>
      </c>
      <c r="D1553" s="40" t="n">
        <f aca="false">MAX(D1552,C1553)</f>
        <v>27863258.68</v>
      </c>
      <c r="E1553" s="41" t="n">
        <f aca="false">C1553/D1553-1</f>
        <v>-0.366727987826297</v>
      </c>
      <c r="F1553" s="42" t="n">
        <f aca="false">YEAR(A1553)</f>
        <v>2019</v>
      </c>
    </row>
    <row r="1554" customFormat="false" ht="15" hidden="false" customHeight="false" outlineLevel="0" collapsed="false">
      <c r="A1554" s="38" t="n">
        <v>43683</v>
      </c>
      <c r="B1554" s="39" t="n">
        <v>1387.5</v>
      </c>
      <c r="C1554" s="40" t="n">
        <v>17422541.89</v>
      </c>
      <c r="D1554" s="40" t="n">
        <f aca="false">MAX(D1553,C1554)</f>
        <v>27863258.68</v>
      </c>
      <c r="E1554" s="41" t="n">
        <f aca="false">C1554/D1554-1</f>
        <v>-0.374712696383006</v>
      </c>
      <c r="F1554" s="42" t="n">
        <f aca="false">YEAR(A1554)</f>
        <v>2019</v>
      </c>
    </row>
    <row r="1555" customFormat="false" ht="15" hidden="false" customHeight="false" outlineLevel="0" collapsed="false">
      <c r="A1555" s="38" t="n">
        <v>43684</v>
      </c>
      <c r="B1555" s="39" t="n">
        <v>1372.5</v>
      </c>
      <c r="C1555" s="40" t="n">
        <v>18256841.89</v>
      </c>
      <c r="D1555" s="40" t="n">
        <f aca="false">MAX(D1554,C1555)</f>
        <v>27863258.68</v>
      </c>
      <c r="E1555" s="41" t="n">
        <f aca="false">C1555/D1555-1</f>
        <v>-0.344770039295346</v>
      </c>
      <c r="F1555" s="42" t="n">
        <f aca="false">YEAR(A1555)</f>
        <v>2019</v>
      </c>
    </row>
    <row r="1556" customFormat="false" ht="15" hidden="false" customHeight="false" outlineLevel="0" collapsed="false">
      <c r="A1556" s="38" t="n">
        <v>43685</v>
      </c>
      <c r="B1556" s="39" t="n">
        <v>1381</v>
      </c>
      <c r="C1556" s="40" t="n">
        <v>17784071.89</v>
      </c>
      <c r="D1556" s="40" t="n">
        <f aca="false">MAX(D1555,C1556)</f>
        <v>27863258.68</v>
      </c>
      <c r="E1556" s="41" t="n">
        <f aca="false">C1556/D1556-1</f>
        <v>-0.361737544978354</v>
      </c>
      <c r="F1556" s="42" t="n">
        <f aca="false">YEAR(A1556)</f>
        <v>2019</v>
      </c>
    </row>
    <row r="1557" customFormat="false" ht="15" hidden="false" customHeight="false" outlineLevel="0" collapsed="false">
      <c r="A1557" s="38" t="n">
        <v>43686</v>
      </c>
      <c r="B1557" s="39" t="n">
        <v>1378</v>
      </c>
      <c r="C1557" s="40" t="n">
        <v>17950931.89</v>
      </c>
      <c r="D1557" s="40" t="n">
        <f aca="false">MAX(D1556,C1557)</f>
        <v>27863258.68</v>
      </c>
      <c r="E1557" s="41" t="n">
        <f aca="false">C1557/D1557-1</f>
        <v>-0.355749013560822</v>
      </c>
      <c r="F1557" s="42" t="n">
        <f aca="false">YEAR(A1557)</f>
        <v>2019</v>
      </c>
    </row>
    <row r="1558" customFormat="false" ht="15" hidden="false" customHeight="false" outlineLevel="0" collapsed="false">
      <c r="A1558" s="38" t="n">
        <v>43689</v>
      </c>
      <c r="B1558" s="39" t="n">
        <v>1379</v>
      </c>
      <c r="C1558" s="40" t="n">
        <v>17895311.89</v>
      </c>
      <c r="D1558" s="40" t="n">
        <f aca="false">MAX(D1557,C1558)</f>
        <v>27863258.68</v>
      </c>
      <c r="E1558" s="41" t="n">
        <f aca="false">C1558/D1558-1</f>
        <v>-0.357745190699999</v>
      </c>
      <c r="F1558" s="42" t="n">
        <f aca="false">YEAR(A1558)</f>
        <v>2019</v>
      </c>
    </row>
    <row r="1559" customFormat="false" ht="15" hidden="false" customHeight="false" outlineLevel="0" collapsed="false">
      <c r="A1559" s="38" t="n">
        <v>43690</v>
      </c>
      <c r="B1559" s="39" t="n">
        <v>1375</v>
      </c>
      <c r="C1559" s="40" t="n">
        <v>18117791.89</v>
      </c>
      <c r="D1559" s="40" t="n">
        <f aca="false">MAX(D1558,C1559)</f>
        <v>27863258.68</v>
      </c>
      <c r="E1559" s="41" t="n">
        <f aca="false">C1559/D1559-1</f>
        <v>-0.34976048214329</v>
      </c>
      <c r="F1559" s="42" t="n">
        <f aca="false">YEAR(A1559)</f>
        <v>2019</v>
      </c>
    </row>
    <row r="1560" customFormat="false" ht="15" hidden="false" customHeight="false" outlineLevel="0" collapsed="false">
      <c r="A1560" s="38" t="n">
        <v>43691</v>
      </c>
      <c r="B1560" s="39" t="n">
        <v>1355</v>
      </c>
      <c r="C1560" s="40" t="n">
        <v>19230191.89</v>
      </c>
      <c r="D1560" s="40" t="n">
        <f aca="false">MAX(D1559,C1560)</f>
        <v>27863258.68</v>
      </c>
      <c r="E1560" s="41" t="n">
        <f aca="false">C1560/D1560-1</f>
        <v>-0.309836939359743</v>
      </c>
      <c r="F1560" s="42" t="n">
        <f aca="false">YEAR(A1560)</f>
        <v>2019</v>
      </c>
    </row>
    <row r="1561" customFormat="false" ht="15" hidden="false" customHeight="false" outlineLevel="0" collapsed="false">
      <c r="A1561" s="38" t="n">
        <v>43692</v>
      </c>
      <c r="B1561" s="39" t="n">
        <v>1358.5</v>
      </c>
      <c r="C1561" s="40" t="n">
        <v>19035521.89</v>
      </c>
      <c r="D1561" s="40" t="n">
        <f aca="false">MAX(D1560,C1561)</f>
        <v>27863258.68</v>
      </c>
      <c r="E1561" s="41" t="n">
        <f aca="false">C1561/D1561-1</f>
        <v>-0.316823559346864</v>
      </c>
      <c r="F1561" s="42" t="n">
        <f aca="false">YEAR(A1561)</f>
        <v>2019</v>
      </c>
    </row>
    <row r="1562" customFormat="false" ht="15" hidden="false" customHeight="false" outlineLevel="0" collapsed="false">
      <c r="A1562" s="38" t="n">
        <v>43693</v>
      </c>
      <c r="B1562" s="39" t="n">
        <v>1364.5</v>
      </c>
      <c r="C1562" s="40" t="n">
        <v>18701801.89</v>
      </c>
      <c r="D1562" s="40" t="n">
        <f aca="false">MAX(D1561,C1562)</f>
        <v>27863258.68</v>
      </c>
      <c r="E1562" s="41" t="n">
        <f aca="false">C1562/D1562-1</f>
        <v>-0.328800622181928</v>
      </c>
      <c r="F1562" s="42" t="n">
        <f aca="false">YEAR(A1562)</f>
        <v>2019</v>
      </c>
    </row>
    <row r="1563" customFormat="false" ht="15" hidden="false" customHeight="false" outlineLevel="0" collapsed="false">
      <c r="A1563" s="38" t="n">
        <v>43696</v>
      </c>
      <c r="B1563" s="39" t="n">
        <v>1364.5</v>
      </c>
      <c r="C1563" s="40" t="n">
        <v>18701801.89</v>
      </c>
      <c r="D1563" s="40" t="n">
        <f aca="false">MAX(D1562,C1563)</f>
        <v>27863258.68</v>
      </c>
      <c r="E1563" s="41" t="n">
        <f aca="false">C1563/D1563-1</f>
        <v>-0.328800622181928</v>
      </c>
      <c r="F1563" s="42" t="n">
        <f aca="false">YEAR(A1563)</f>
        <v>2019</v>
      </c>
    </row>
    <row r="1564" customFormat="false" ht="15" hidden="false" customHeight="false" outlineLevel="0" collapsed="false">
      <c r="A1564" s="38" t="n">
        <v>43697</v>
      </c>
      <c r="B1564" s="39" t="n">
        <v>1359</v>
      </c>
      <c r="C1564" s="40" t="n">
        <v>19007711.89</v>
      </c>
      <c r="D1564" s="40" t="n">
        <f aca="false">MAX(D1563,C1564)</f>
        <v>27863258.68</v>
      </c>
      <c r="E1564" s="41" t="n">
        <f aca="false">C1564/D1564-1</f>
        <v>-0.317821647916453</v>
      </c>
      <c r="F1564" s="42" t="n">
        <f aca="false">YEAR(A1564)</f>
        <v>2019</v>
      </c>
    </row>
    <row r="1565" customFormat="false" ht="15" hidden="false" customHeight="false" outlineLevel="0" collapsed="false">
      <c r="A1565" s="38" t="n">
        <v>43698</v>
      </c>
      <c r="B1565" s="39" t="n">
        <v>1340</v>
      </c>
      <c r="C1565" s="40" t="n">
        <v>20064491.89</v>
      </c>
      <c r="D1565" s="40" t="n">
        <f aca="false">MAX(D1564,C1565)</f>
        <v>27863258.68</v>
      </c>
      <c r="E1565" s="41" t="n">
        <f aca="false">C1565/D1565-1</f>
        <v>-0.279894282272083</v>
      </c>
      <c r="F1565" s="42" t="n">
        <f aca="false">YEAR(A1565)</f>
        <v>2019</v>
      </c>
    </row>
    <row r="1566" customFormat="false" ht="15" hidden="false" customHeight="false" outlineLevel="0" collapsed="false">
      <c r="A1566" s="38" t="n">
        <v>43699</v>
      </c>
      <c r="B1566" s="39" t="n">
        <v>1346</v>
      </c>
      <c r="C1566" s="40" t="n">
        <v>19730771.89</v>
      </c>
      <c r="D1566" s="40" t="n">
        <f aca="false">MAX(D1565,C1566)</f>
        <v>27863258.68</v>
      </c>
      <c r="E1566" s="41" t="n">
        <f aca="false">C1566/D1566-1</f>
        <v>-0.291871345107147</v>
      </c>
      <c r="F1566" s="42" t="n">
        <f aca="false">YEAR(A1566)</f>
        <v>2019</v>
      </c>
    </row>
    <row r="1567" customFormat="false" ht="15" hidden="false" customHeight="false" outlineLevel="0" collapsed="false">
      <c r="A1567" s="38" t="n">
        <v>43700</v>
      </c>
      <c r="B1567" s="39" t="n">
        <v>1339</v>
      </c>
      <c r="C1567" s="40" t="n">
        <v>20120111.89</v>
      </c>
      <c r="D1567" s="40" t="n">
        <f aca="false">MAX(D1566,C1567)</f>
        <v>27863258.68</v>
      </c>
      <c r="E1567" s="41" t="n">
        <f aca="false">C1567/D1567-1</f>
        <v>-0.277898105132906</v>
      </c>
      <c r="F1567" s="42" t="n">
        <f aca="false">YEAR(A1567)</f>
        <v>2019</v>
      </c>
    </row>
    <row r="1568" customFormat="false" ht="15" hidden="false" customHeight="false" outlineLevel="0" collapsed="false">
      <c r="A1568" s="38" t="n">
        <v>43703</v>
      </c>
      <c r="B1568" s="39" t="n">
        <v>1310.5</v>
      </c>
      <c r="C1568" s="40" t="n">
        <v>21705281.89</v>
      </c>
      <c r="D1568" s="40" t="n">
        <f aca="false">MAX(D1567,C1568)</f>
        <v>27863258.68</v>
      </c>
      <c r="E1568" s="41" t="n">
        <f aca="false">C1568/D1568-1</f>
        <v>-0.221007056666353</v>
      </c>
      <c r="F1568" s="42" t="n">
        <f aca="false">YEAR(A1568)</f>
        <v>2019</v>
      </c>
    </row>
    <row r="1569" customFormat="false" ht="15" hidden="false" customHeight="false" outlineLevel="0" collapsed="false">
      <c r="A1569" s="38" t="n">
        <v>43704</v>
      </c>
      <c r="B1569" s="39" t="n">
        <v>1305.5</v>
      </c>
      <c r="C1569" s="40" t="n">
        <v>21983381.89</v>
      </c>
      <c r="D1569" s="40" t="n">
        <f aca="false">MAX(D1568,C1569)</f>
        <v>27863258.68</v>
      </c>
      <c r="E1569" s="41" t="n">
        <f aca="false">C1569/D1569-1</f>
        <v>-0.211026170970466</v>
      </c>
      <c r="F1569" s="42" t="n">
        <f aca="false">YEAR(A1569)</f>
        <v>2019</v>
      </c>
    </row>
    <row r="1570" customFormat="false" ht="15" hidden="false" customHeight="false" outlineLevel="0" collapsed="false">
      <c r="A1570" s="38" t="n">
        <v>43705</v>
      </c>
      <c r="B1570" s="39" t="n">
        <v>1310</v>
      </c>
      <c r="C1570" s="40" t="n">
        <v>21733091.89</v>
      </c>
      <c r="D1570" s="40" t="n">
        <f aca="false">MAX(D1569,C1570)</f>
        <v>27863258.68</v>
      </c>
      <c r="E1570" s="41" t="n">
        <f aca="false">C1570/D1570-1</f>
        <v>-0.220008968096764</v>
      </c>
      <c r="F1570" s="42" t="n">
        <f aca="false">YEAR(A1570)</f>
        <v>2019</v>
      </c>
    </row>
    <row r="1571" customFormat="false" ht="15" hidden="false" customHeight="false" outlineLevel="0" collapsed="false">
      <c r="A1571" s="38" t="n">
        <v>43706</v>
      </c>
      <c r="B1571" s="39" t="n">
        <v>1295</v>
      </c>
      <c r="C1571" s="40" t="n">
        <v>22567391.89</v>
      </c>
      <c r="D1571" s="40" t="n">
        <f aca="false">MAX(D1570,C1571)</f>
        <v>27863258.68</v>
      </c>
      <c r="E1571" s="41" t="n">
        <f aca="false">C1571/D1571-1</f>
        <v>-0.190066311009104</v>
      </c>
      <c r="F1571" s="42" t="n">
        <f aca="false">YEAR(A1571)</f>
        <v>2019</v>
      </c>
    </row>
    <row r="1572" customFormat="false" ht="15" hidden="false" customHeight="false" outlineLevel="0" collapsed="false">
      <c r="A1572" s="38" t="n">
        <v>43707</v>
      </c>
      <c r="B1572" s="39" t="n">
        <v>1307</v>
      </c>
      <c r="C1572" s="40" t="n">
        <v>21899951.89</v>
      </c>
      <c r="D1572" s="40" t="n">
        <f aca="false">MAX(D1571,C1572)</f>
        <v>27863258.68</v>
      </c>
      <c r="E1572" s="41" t="n">
        <f aca="false">C1572/D1572-1</f>
        <v>-0.214020436679232</v>
      </c>
      <c r="F1572" s="42" t="n">
        <f aca="false">YEAR(A1572)</f>
        <v>2019</v>
      </c>
    </row>
    <row r="1573" customFormat="false" ht="15" hidden="false" customHeight="false" outlineLevel="0" collapsed="false">
      <c r="A1573" s="38" t="n">
        <v>43710</v>
      </c>
      <c r="B1573" s="39" t="n">
        <v>1314</v>
      </c>
      <c r="C1573" s="40" t="n">
        <v>21510611.89</v>
      </c>
      <c r="D1573" s="40" t="n">
        <f aca="false">MAX(D1572,C1573)</f>
        <v>27863258.68</v>
      </c>
      <c r="E1573" s="41" t="n">
        <f aca="false">C1573/D1573-1</f>
        <v>-0.227993676653473</v>
      </c>
      <c r="F1573" s="42" t="n">
        <f aca="false">YEAR(A1573)</f>
        <v>2019</v>
      </c>
    </row>
    <row r="1574" customFormat="false" ht="15" hidden="false" customHeight="false" outlineLevel="0" collapsed="false">
      <c r="A1574" s="38" t="n">
        <v>43711</v>
      </c>
      <c r="B1574" s="39" t="n">
        <v>1307.5</v>
      </c>
      <c r="C1574" s="40" t="n">
        <v>21872141.89</v>
      </c>
      <c r="D1574" s="40" t="n">
        <f aca="false">MAX(D1573,C1574)</f>
        <v>27863258.68</v>
      </c>
      <c r="E1574" s="41" t="n">
        <f aca="false">C1574/D1574-1</f>
        <v>-0.215018525248821</v>
      </c>
      <c r="F1574" s="42" t="n">
        <f aca="false">YEAR(A1574)</f>
        <v>2019</v>
      </c>
    </row>
    <row r="1575" customFormat="false" ht="15" hidden="false" customHeight="false" outlineLevel="0" collapsed="false">
      <c r="A1575" s="38" t="n">
        <v>43712</v>
      </c>
      <c r="B1575" s="39" t="n">
        <v>1316.5</v>
      </c>
      <c r="C1575" s="40" t="n">
        <v>21371561.89</v>
      </c>
      <c r="D1575" s="40" t="n">
        <f aca="false">MAX(D1574,C1575)</f>
        <v>27863258.68</v>
      </c>
      <c r="E1575" s="41" t="n">
        <f aca="false">C1575/D1575-1</f>
        <v>-0.232984119501416</v>
      </c>
      <c r="F1575" s="42" t="n">
        <f aca="false">YEAR(A1575)</f>
        <v>2019</v>
      </c>
    </row>
    <row r="1576" customFormat="false" ht="15" hidden="false" customHeight="false" outlineLevel="0" collapsed="false">
      <c r="A1576" s="38" t="n">
        <v>43713</v>
      </c>
      <c r="B1576" s="39" t="n">
        <v>1324</v>
      </c>
      <c r="C1576" s="40" t="n">
        <v>20954411.89</v>
      </c>
      <c r="D1576" s="40" t="n">
        <f aca="false">MAX(D1575,C1576)</f>
        <v>27863258.68</v>
      </c>
      <c r="E1576" s="41" t="n">
        <f aca="false">C1576/D1576-1</f>
        <v>-0.247955448045246</v>
      </c>
      <c r="F1576" s="42" t="n">
        <f aca="false">YEAR(A1576)</f>
        <v>2019</v>
      </c>
    </row>
    <row r="1577" customFormat="false" ht="15" hidden="false" customHeight="false" outlineLevel="0" collapsed="false">
      <c r="A1577" s="38" t="n">
        <v>43714</v>
      </c>
      <c r="B1577" s="39" t="n">
        <v>1319.5</v>
      </c>
      <c r="C1577" s="40" t="n">
        <v>21204701.89</v>
      </c>
      <c r="D1577" s="40" t="n">
        <f aca="false">MAX(D1576,C1577)</f>
        <v>27863258.68</v>
      </c>
      <c r="E1577" s="41" t="n">
        <f aca="false">C1577/D1577-1</f>
        <v>-0.238972650918948</v>
      </c>
      <c r="F1577" s="42" t="n">
        <f aca="false">YEAR(A1577)</f>
        <v>2019</v>
      </c>
    </row>
    <row r="1578" customFormat="false" ht="15" hidden="false" customHeight="false" outlineLevel="0" collapsed="false">
      <c r="A1578" s="38" t="n">
        <v>43717</v>
      </c>
      <c r="B1578" s="39" t="n">
        <v>1339</v>
      </c>
      <c r="C1578" s="40" t="n">
        <v>20120111.89</v>
      </c>
      <c r="D1578" s="40" t="n">
        <f aca="false">MAX(D1577,C1578)</f>
        <v>27863258.68</v>
      </c>
      <c r="E1578" s="41" t="n">
        <f aca="false">C1578/D1578-1</f>
        <v>-0.277898105132906</v>
      </c>
      <c r="F1578" s="42" t="n">
        <f aca="false">YEAR(A1578)</f>
        <v>2019</v>
      </c>
    </row>
    <row r="1579" customFormat="false" ht="15" hidden="false" customHeight="false" outlineLevel="0" collapsed="false">
      <c r="A1579" s="38" t="n">
        <v>43718</v>
      </c>
      <c r="B1579" s="39" t="n">
        <v>1333</v>
      </c>
      <c r="C1579" s="40" t="n">
        <v>20453831.89</v>
      </c>
      <c r="D1579" s="40" t="n">
        <f aca="false">MAX(D1578,C1579)</f>
        <v>27863258.68</v>
      </c>
      <c r="E1579" s="41" t="n">
        <f aca="false">C1579/D1579-1</f>
        <v>-0.265921042297842</v>
      </c>
      <c r="F1579" s="42" t="n">
        <f aca="false">YEAR(A1579)</f>
        <v>2019</v>
      </c>
    </row>
    <row r="1580" customFormat="false" ht="15" hidden="false" customHeight="false" outlineLevel="0" collapsed="false">
      <c r="A1580" s="38" t="n">
        <v>43719</v>
      </c>
      <c r="B1580" s="39" t="n">
        <v>1346</v>
      </c>
      <c r="C1580" s="40" t="n">
        <v>19730771.89</v>
      </c>
      <c r="D1580" s="40" t="n">
        <f aca="false">MAX(D1579,C1580)</f>
        <v>27863258.68</v>
      </c>
      <c r="E1580" s="41" t="n">
        <f aca="false">C1580/D1580-1</f>
        <v>-0.291871345107147</v>
      </c>
      <c r="F1580" s="42" t="n">
        <f aca="false">YEAR(A1580)</f>
        <v>2019</v>
      </c>
    </row>
    <row r="1581" customFormat="false" ht="15" hidden="false" customHeight="false" outlineLevel="0" collapsed="false">
      <c r="A1581" s="38" t="n">
        <v>43720</v>
      </c>
      <c r="B1581" s="39" t="n">
        <v>1353</v>
      </c>
      <c r="C1581" s="40" t="n">
        <v>19612025.04</v>
      </c>
      <c r="D1581" s="40" t="n">
        <f aca="false">MAX(D1580,C1581)</f>
        <v>27863258.68</v>
      </c>
      <c r="E1581" s="41" t="n">
        <f aca="false">C1581/D1581-1</f>
        <v>-0.296133116903611</v>
      </c>
      <c r="F1581" s="42" t="n">
        <f aca="false">YEAR(A1581)</f>
        <v>2019</v>
      </c>
    </row>
    <row r="1582" customFormat="false" ht="15" hidden="false" customHeight="false" outlineLevel="0" collapsed="false">
      <c r="A1582" s="38" t="n">
        <v>43724</v>
      </c>
      <c r="B1582" s="39" t="n">
        <v>1352</v>
      </c>
      <c r="C1582" s="40" t="n">
        <v>19612025.04</v>
      </c>
      <c r="D1582" s="40" t="n">
        <f aca="false">MAX(D1581,C1582)</f>
        <v>27863258.68</v>
      </c>
      <c r="E1582" s="41" t="n">
        <f aca="false">C1582/D1582-1</f>
        <v>-0.296133116903611</v>
      </c>
      <c r="F1582" s="42" t="n">
        <f aca="false">YEAR(A1582)</f>
        <v>2019</v>
      </c>
    </row>
    <row r="1583" customFormat="false" ht="15" hidden="false" customHeight="false" outlineLevel="0" collapsed="false">
      <c r="A1583" s="38" t="n">
        <v>43725</v>
      </c>
      <c r="B1583" s="39" t="n">
        <v>1341</v>
      </c>
      <c r="C1583" s="40" t="n">
        <v>19612025.04</v>
      </c>
      <c r="D1583" s="40" t="n">
        <f aca="false">MAX(D1582,C1583)</f>
        <v>27863258.68</v>
      </c>
      <c r="E1583" s="41" t="n">
        <f aca="false">C1583/D1583-1</f>
        <v>-0.296133116903611</v>
      </c>
      <c r="F1583" s="42" t="n">
        <f aca="false">YEAR(A1583)</f>
        <v>2019</v>
      </c>
    </row>
    <row r="1584" customFormat="false" ht="15" hidden="false" customHeight="false" outlineLevel="0" collapsed="false">
      <c r="A1584" s="38" t="n">
        <v>43726</v>
      </c>
      <c r="B1584" s="39" t="n">
        <v>1328.5</v>
      </c>
      <c r="C1584" s="40" t="n">
        <v>19612025.04</v>
      </c>
      <c r="D1584" s="40" t="n">
        <f aca="false">MAX(D1583,C1584)</f>
        <v>27863258.68</v>
      </c>
      <c r="E1584" s="41" t="n">
        <f aca="false">C1584/D1584-1</f>
        <v>-0.296133116903611</v>
      </c>
      <c r="F1584" s="42" t="n">
        <f aca="false">YEAR(A1584)</f>
        <v>2019</v>
      </c>
    </row>
    <row r="1585" customFormat="false" ht="15" hidden="false" customHeight="false" outlineLevel="0" collapsed="false">
      <c r="A1585" s="38" t="n">
        <v>43727</v>
      </c>
      <c r="B1585" s="39" t="n">
        <v>1313.5</v>
      </c>
      <c r="C1585" s="40" t="n">
        <v>19612025.04</v>
      </c>
      <c r="D1585" s="40" t="n">
        <f aca="false">MAX(D1584,C1585)</f>
        <v>27863258.68</v>
      </c>
      <c r="E1585" s="41" t="n">
        <f aca="false">C1585/D1585-1</f>
        <v>-0.296133116903611</v>
      </c>
      <c r="F1585" s="42" t="n">
        <f aca="false">YEAR(A1585)</f>
        <v>2019</v>
      </c>
    </row>
    <row r="1586" customFormat="false" ht="15" hidden="false" customHeight="false" outlineLevel="0" collapsed="false">
      <c r="A1586" s="38" t="n">
        <v>43728</v>
      </c>
      <c r="B1586" s="39" t="n">
        <v>1289</v>
      </c>
      <c r="C1586" s="40" t="n">
        <v>19612025.04</v>
      </c>
      <c r="D1586" s="40" t="n">
        <f aca="false">MAX(D1585,C1586)</f>
        <v>27863258.68</v>
      </c>
      <c r="E1586" s="41" t="n">
        <f aca="false">C1586/D1586-1</f>
        <v>-0.296133116903611</v>
      </c>
      <c r="F1586" s="42" t="n">
        <f aca="false">YEAR(A1586)</f>
        <v>2019</v>
      </c>
    </row>
    <row r="1587" customFormat="false" ht="15" hidden="false" customHeight="false" outlineLevel="0" collapsed="false">
      <c r="A1587" s="38" t="n">
        <v>43731</v>
      </c>
      <c r="B1587" s="39" t="n">
        <v>1293</v>
      </c>
      <c r="C1587" s="40" t="n">
        <v>19612025.04</v>
      </c>
      <c r="D1587" s="40" t="n">
        <f aca="false">MAX(D1586,C1587)</f>
        <v>27863258.68</v>
      </c>
      <c r="E1587" s="41" t="n">
        <f aca="false">C1587/D1587-1</f>
        <v>-0.296133116903611</v>
      </c>
      <c r="F1587" s="42" t="n">
        <f aca="false">YEAR(A1587)</f>
        <v>2019</v>
      </c>
    </row>
    <row r="1588" customFormat="false" ht="15" hidden="false" customHeight="false" outlineLevel="0" collapsed="false">
      <c r="A1588" s="38" t="n">
        <v>43732</v>
      </c>
      <c r="B1588" s="39" t="n">
        <v>1241</v>
      </c>
      <c r="C1588" s="40" t="n">
        <v>19612025.04</v>
      </c>
      <c r="D1588" s="40" t="n">
        <f aca="false">MAX(D1587,C1588)</f>
        <v>27863258.68</v>
      </c>
      <c r="E1588" s="41" t="n">
        <f aca="false">C1588/D1588-1</f>
        <v>-0.296133116903611</v>
      </c>
      <c r="F1588" s="42" t="n">
        <f aca="false">YEAR(A1588)</f>
        <v>2019</v>
      </c>
    </row>
    <row r="1589" customFormat="false" ht="15" hidden="false" customHeight="false" outlineLevel="0" collapsed="false">
      <c r="A1589" s="38" t="n">
        <v>43733</v>
      </c>
      <c r="B1589" s="39" t="n">
        <v>1250.5</v>
      </c>
      <c r="C1589" s="40" t="n">
        <v>19612025.04</v>
      </c>
      <c r="D1589" s="40" t="n">
        <f aca="false">MAX(D1588,C1589)</f>
        <v>27863258.68</v>
      </c>
      <c r="E1589" s="41" t="n">
        <f aca="false">C1589/D1589-1</f>
        <v>-0.296133116903611</v>
      </c>
      <c r="F1589" s="42" t="n">
        <f aca="false">YEAR(A1589)</f>
        <v>2019</v>
      </c>
    </row>
    <row r="1590" customFormat="false" ht="15" hidden="false" customHeight="false" outlineLevel="0" collapsed="false">
      <c r="A1590" s="38" t="n">
        <v>43734</v>
      </c>
      <c r="B1590" s="39" t="n">
        <v>1247.5</v>
      </c>
      <c r="C1590" s="40" t="n">
        <v>19612025.04</v>
      </c>
      <c r="D1590" s="40" t="n">
        <f aca="false">MAX(D1589,C1590)</f>
        <v>27863258.68</v>
      </c>
      <c r="E1590" s="41" t="n">
        <f aca="false">C1590/D1590-1</f>
        <v>-0.296133116903611</v>
      </c>
      <c r="F1590" s="42" t="n">
        <f aca="false">YEAR(A1590)</f>
        <v>2019</v>
      </c>
    </row>
    <row r="1591" customFormat="false" ht="15" hidden="false" customHeight="false" outlineLevel="0" collapsed="false">
      <c r="A1591" s="38" t="n">
        <v>43735</v>
      </c>
      <c r="B1591" s="39" t="n">
        <v>1230.5</v>
      </c>
      <c r="C1591" s="40" t="n">
        <v>19612025.04</v>
      </c>
      <c r="D1591" s="40" t="n">
        <f aca="false">MAX(D1590,C1591)</f>
        <v>27863258.68</v>
      </c>
      <c r="E1591" s="41" t="n">
        <f aca="false">C1591/D1591-1</f>
        <v>-0.296133116903611</v>
      </c>
      <c r="F1591" s="42" t="n">
        <f aca="false">YEAR(A1591)</f>
        <v>2019</v>
      </c>
    </row>
    <row r="1592" customFormat="false" ht="15" hidden="false" customHeight="false" outlineLevel="0" collapsed="false">
      <c r="A1592" s="38" t="n">
        <v>43738</v>
      </c>
      <c r="B1592" s="39" t="n">
        <v>1239</v>
      </c>
      <c r="C1592" s="40" t="n">
        <v>19612025.04</v>
      </c>
      <c r="D1592" s="40" t="n">
        <f aca="false">MAX(D1591,C1592)</f>
        <v>27863258.68</v>
      </c>
      <c r="E1592" s="41" t="n">
        <f aca="false">C1592/D1592-1</f>
        <v>-0.296133116903611</v>
      </c>
      <c r="F1592" s="42" t="n">
        <f aca="false">YEAR(A1592)</f>
        <v>2019</v>
      </c>
    </row>
    <row r="1593" customFormat="false" ht="15" hidden="false" customHeight="false" outlineLevel="0" collapsed="false">
      <c r="A1593" s="38" t="n">
        <v>43746</v>
      </c>
      <c r="B1593" s="39" t="n">
        <v>1253.5</v>
      </c>
      <c r="C1593" s="40" t="n">
        <v>19612025.04</v>
      </c>
      <c r="D1593" s="40" t="n">
        <f aca="false">MAX(D1592,C1593)</f>
        <v>27863258.68</v>
      </c>
      <c r="E1593" s="41" t="n">
        <f aca="false">C1593/D1593-1</f>
        <v>-0.296133116903611</v>
      </c>
      <c r="F1593" s="42" t="n">
        <f aca="false">YEAR(A1593)</f>
        <v>2019</v>
      </c>
    </row>
    <row r="1594" customFormat="false" ht="15" hidden="false" customHeight="false" outlineLevel="0" collapsed="false">
      <c r="A1594" s="38" t="n">
        <v>43747</v>
      </c>
      <c r="B1594" s="39" t="n">
        <v>1244</v>
      </c>
      <c r="C1594" s="40" t="n">
        <v>19612025.04</v>
      </c>
      <c r="D1594" s="40" t="n">
        <f aca="false">MAX(D1593,C1594)</f>
        <v>27863258.68</v>
      </c>
      <c r="E1594" s="41" t="n">
        <f aca="false">C1594/D1594-1</f>
        <v>-0.296133116903611</v>
      </c>
      <c r="F1594" s="42" t="n">
        <f aca="false">YEAR(A1594)</f>
        <v>2019</v>
      </c>
    </row>
    <row r="1595" customFormat="false" ht="15" hidden="false" customHeight="false" outlineLevel="0" collapsed="false">
      <c r="A1595" s="38" t="n">
        <v>43748</v>
      </c>
      <c r="B1595" s="39" t="n">
        <v>1246</v>
      </c>
      <c r="C1595" s="40" t="n">
        <v>19612025.04</v>
      </c>
      <c r="D1595" s="40" t="n">
        <f aca="false">MAX(D1594,C1595)</f>
        <v>27863258.68</v>
      </c>
      <c r="E1595" s="41" t="n">
        <f aca="false">C1595/D1595-1</f>
        <v>-0.296133116903611</v>
      </c>
      <c r="F1595" s="42" t="n">
        <f aca="false">YEAR(A1595)</f>
        <v>2019</v>
      </c>
    </row>
    <row r="1596" customFormat="false" ht="15" hidden="false" customHeight="false" outlineLevel="0" collapsed="false">
      <c r="A1596" s="38" t="n">
        <v>43749</v>
      </c>
      <c r="B1596" s="39" t="n">
        <v>1243</v>
      </c>
      <c r="C1596" s="40" t="n">
        <v>19612025.04</v>
      </c>
      <c r="D1596" s="40" t="n">
        <f aca="false">MAX(D1595,C1596)</f>
        <v>27863258.68</v>
      </c>
      <c r="E1596" s="41" t="n">
        <f aca="false">C1596/D1596-1</f>
        <v>-0.296133116903611</v>
      </c>
      <c r="F1596" s="42" t="n">
        <f aca="false">YEAR(A1596)</f>
        <v>2019</v>
      </c>
    </row>
    <row r="1597" customFormat="false" ht="15" hidden="false" customHeight="false" outlineLevel="0" collapsed="false">
      <c r="A1597" s="38" t="n">
        <v>43752</v>
      </c>
      <c r="B1597" s="39" t="n">
        <v>1227</v>
      </c>
      <c r="C1597" s="40" t="n">
        <v>19612025.04</v>
      </c>
      <c r="D1597" s="40" t="n">
        <f aca="false">MAX(D1596,C1597)</f>
        <v>27863258.68</v>
      </c>
      <c r="E1597" s="41" t="n">
        <f aca="false">C1597/D1597-1</f>
        <v>-0.296133116903611</v>
      </c>
      <c r="F1597" s="42" t="n">
        <f aca="false">YEAR(A1597)</f>
        <v>2019</v>
      </c>
    </row>
    <row r="1598" customFormat="false" ht="15" hidden="false" customHeight="false" outlineLevel="0" collapsed="false">
      <c r="A1598" s="38" t="n">
        <v>43753</v>
      </c>
      <c r="B1598" s="39" t="n">
        <v>1235</v>
      </c>
      <c r="C1598" s="40" t="n">
        <v>19612025.04</v>
      </c>
      <c r="D1598" s="40" t="n">
        <f aca="false">MAX(D1597,C1598)</f>
        <v>27863258.68</v>
      </c>
      <c r="E1598" s="41" t="n">
        <f aca="false">C1598/D1598-1</f>
        <v>-0.296133116903611</v>
      </c>
      <c r="F1598" s="42" t="n">
        <f aca="false">YEAR(A1598)</f>
        <v>2019</v>
      </c>
    </row>
    <row r="1599" customFormat="false" ht="15" hidden="false" customHeight="false" outlineLevel="0" collapsed="false">
      <c r="A1599" s="38" t="n">
        <v>43754</v>
      </c>
      <c r="B1599" s="39" t="n">
        <v>1211</v>
      </c>
      <c r="C1599" s="40" t="n">
        <v>19612025.04</v>
      </c>
      <c r="D1599" s="40" t="n">
        <f aca="false">MAX(D1598,C1599)</f>
        <v>27863258.68</v>
      </c>
      <c r="E1599" s="41" t="n">
        <f aca="false">C1599/D1599-1</f>
        <v>-0.296133116903611</v>
      </c>
      <c r="F1599" s="42" t="n">
        <f aca="false">YEAR(A1599)</f>
        <v>2019</v>
      </c>
    </row>
    <row r="1600" customFormat="false" ht="15" hidden="false" customHeight="false" outlineLevel="0" collapsed="false">
      <c r="A1600" s="38" t="n">
        <v>43755</v>
      </c>
      <c r="B1600" s="39" t="n">
        <v>1229.5</v>
      </c>
      <c r="C1600" s="40" t="n">
        <v>19612025.04</v>
      </c>
      <c r="D1600" s="40" t="n">
        <f aca="false">MAX(D1599,C1600)</f>
        <v>27863258.68</v>
      </c>
      <c r="E1600" s="41" t="n">
        <f aca="false">C1600/D1600-1</f>
        <v>-0.296133116903611</v>
      </c>
      <c r="F1600" s="42" t="n">
        <f aca="false">YEAR(A1600)</f>
        <v>2019</v>
      </c>
    </row>
    <row r="1601" customFormat="false" ht="15" hidden="false" customHeight="false" outlineLevel="0" collapsed="false">
      <c r="A1601" s="38" t="n">
        <v>43756</v>
      </c>
      <c r="B1601" s="39" t="n">
        <v>1233.5</v>
      </c>
      <c r="C1601" s="40" t="n">
        <v>19612025.04</v>
      </c>
      <c r="D1601" s="40" t="n">
        <f aca="false">MAX(D1600,C1601)</f>
        <v>27863258.68</v>
      </c>
      <c r="E1601" s="41" t="n">
        <f aca="false">C1601/D1601-1</f>
        <v>-0.296133116903611</v>
      </c>
      <c r="F1601" s="42" t="n">
        <f aca="false">YEAR(A1601)</f>
        <v>2019</v>
      </c>
    </row>
    <row r="1602" customFormat="false" ht="15" hidden="false" customHeight="false" outlineLevel="0" collapsed="false">
      <c r="A1602" s="38" t="n">
        <v>43759</v>
      </c>
      <c r="B1602" s="39" t="n">
        <v>1229.5</v>
      </c>
      <c r="C1602" s="40" t="n">
        <v>19612025.04</v>
      </c>
      <c r="D1602" s="40" t="n">
        <f aca="false">MAX(D1601,C1602)</f>
        <v>27863258.68</v>
      </c>
      <c r="E1602" s="41" t="n">
        <f aca="false">C1602/D1602-1</f>
        <v>-0.296133116903611</v>
      </c>
      <c r="F1602" s="42" t="n">
        <f aca="false">YEAR(A1602)</f>
        <v>2019</v>
      </c>
    </row>
    <row r="1603" customFormat="false" ht="15" hidden="false" customHeight="false" outlineLevel="0" collapsed="false">
      <c r="A1603" s="38" t="n">
        <v>43760</v>
      </c>
      <c r="B1603" s="39" t="n">
        <v>1233</v>
      </c>
      <c r="C1603" s="40" t="n">
        <v>19612025.04</v>
      </c>
      <c r="D1603" s="40" t="n">
        <f aca="false">MAX(D1602,C1603)</f>
        <v>27863258.68</v>
      </c>
      <c r="E1603" s="41" t="n">
        <f aca="false">C1603/D1603-1</f>
        <v>-0.296133116903611</v>
      </c>
      <c r="F1603" s="42" t="n">
        <f aca="false">YEAR(A1603)</f>
        <v>2019</v>
      </c>
    </row>
    <row r="1604" customFormat="false" ht="15" hidden="false" customHeight="false" outlineLevel="0" collapsed="false">
      <c r="A1604" s="38" t="n">
        <v>43761</v>
      </c>
      <c r="B1604" s="39" t="n">
        <v>1244.5</v>
      </c>
      <c r="C1604" s="40" t="n">
        <v>19612025.04</v>
      </c>
      <c r="D1604" s="40" t="n">
        <f aca="false">MAX(D1603,C1604)</f>
        <v>27863258.68</v>
      </c>
      <c r="E1604" s="41" t="n">
        <f aca="false">C1604/D1604-1</f>
        <v>-0.296133116903611</v>
      </c>
      <c r="F1604" s="42" t="n">
        <f aca="false">YEAR(A1604)</f>
        <v>2019</v>
      </c>
    </row>
    <row r="1605" customFormat="false" ht="15" hidden="false" customHeight="false" outlineLevel="0" collapsed="false">
      <c r="A1605" s="38" t="n">
        <v>43762</v>
      </c>
      <c r="B1605" s="39" t="n">
        <v>1248</v>
      </c>
      <c r="C1605" s="40" t="n">
        <v>19612025.04</v>
      </c>
      <c r="D1605" s="40" t="n">
        <f aca="false">MAX(D1604,C1605)</f>
        <v>27863258.68</v>
      </c>
      <c r="E1605" s="41" t="n">
        <f aca="false">C1605/D1605-1</f>
        <v>-0.296133116903611</v>
      </c>
      <c r="F1605" s="42" t="n">
        <f aca="false">YEAR(A1605)</f>
        <v>2019</v>
      </c>
    </row>
    <row r="1606" customFormat="false" ht="15" hidden="false" customHeight="false" outlineLevel="0" collapsed="false">
      <c r="A1606" s="38" t="n">
        <v>43763</v>
      </c>
      <c r="B1606" s="39" t="n">
        <v>1249.5</v>
      </c>
      <c r="C1606" s="40" t="n">
        <v>19612025.04</v>
      </c>
      <c r="D1606" s="40" t="n">
        <f aca="false">MAX(D1605,C1606)</f>
        <v>27863258.68</v>
      </c>
      <c r="E1606" s="41" t="n">
        <f aca="false">C1606/D1606-1</f>
        <v>-0.296133116903611</v>
      </c>
      <c r="F1606" s="42" t="n">
        <f aca="false">YEAR(A1606)</f>
        <v>2019</v>
      </c>
    </row>
    <row r="1607" customFormat="false" ht="15" hidden="false" customHeight="false" outlineLevel="0" collapsed="false">
      <c r="A1607" s="38" t="n">
        <v>43766</v>
      </c>
      <c r="B1607" s="39" t="n">
        <v>1239.5</v>
      </c>
      <c r="C1607" s="40" t="n">
        <v>19612025.04</v>
      </c>
      <c r="D1607" s="40" t="n">
        <f aca="false">MAX(D1606,C1607)</f>
        <v>27863258.68</v>
      </c>
      <c r="E1607" s="41" t="n">
        <f aca="false">C1607/D1607-1</f>
        <v>-0.296133116903611</v>
      </c>
      <c r="F1607" s="42" t="n">
        <f aca="false">YEAR(A1607)</f>
        <v>2019</v>
      </c>
    </row>
    <row r="1608" customFormat="false" ht="15" hidden="false" customHeight="false" outlineLevel="0" collapsed="false">
      <c r="A1608" s="38" t="n">
        <v>43767</v>
      </c>
      <c r="B1608" s="39" t="n">
        <v>1250.5</v>
      </c>
      <c r="C1608" s="40" t="n">
        <v>19612025.04</v>
      </c>
      <c r="D1608" s="40" t="n">
        <f aca="false">MAX(D1607,C1608)</f>
        <v>27863258.68</v>
      </c>
      <c r="E1608" s="41" t="n">
        <f aca="false">C1608/D1608-1</f>
        <v>-0.296133116903611</v>
      </c>
      <c r="F1608" s="42" t="n">
        <f aca="false">YEAR(A1608)</f>
        <v>2019</v>
      </c>
    </row>
    <row r="1609" customFormat="false" ht="15" hidden="false" customHeight="false" outlineLevel="0" collapsed="false">
      <c r="A1609" s="38" t="n">
        <v>43768</v>
      </c>
      <c r="B1609" s="39" t="n">
        <v>1249</v>
      </c>
      <c r="C1609" s="40" t="n">
        <v>19612025.04</v>
      </c>
      <c r="D1609" s="40" t="n">
        <f aca="false">MAX(D1608,C1609)</f>
        <v>27863258.68</v>
      </c>
      <c r="E1609" s="41" t="n">
        <f aca="false">C1609/D1609-1</f>
        <v>-0.296133116903611</v>
      </c>
      <c r="F1609" s="42" t="n">
        <f aca="false">YEAR(A1609)</f>
        <v>2019</v>
      </c>
    </row>
    <row r="1610" customFormat="false" ht="15" hidden="false" customHeight="false" outlineLevel="0" collapsed="false">
      <c r="A1610" s="38" t="n">
        <v>43769</v>
      </c>
      <c r="B1610" s="39" t="n">
        <v>1226</v>
      </c>
      <c r="C1610" s="40" t="n">
        <v>19612025.04</v>
      </c>
      <c r="D1610" s="40" t="n">
        <f aca="false">MAX(D1609,C1610)</f>
        <v>27863258.68</v>
      </c>
      <c r="E1610" s="41" t="n">
        <f aca="false">C1610/D1610-1</f>
        <v>-0.296133116903611</v>
      </c>
      <c r="F1610" s="42" t="n">
        <f aca="false">YEAR(A1610)</f>
        <v>2019</v>
      </c>
    </row>
    <row r="1611" customFormat="false" ht="15" hidden="false" customHeight="false" outlineLevel="0" collapsed="false">
      <c r="A1611" s="38" t="n">
        <v>43770</v>
      </c>
      <c r="B1611" s="39" t="n">
        <v>1225</v>
      </c>
      <c r="C1611" s="40" t="n">
        <v>19612025.04</v>
      </c>
      <c r="D1611" s="40" t="n">
        <f aca="false">MAX(D1610,C1611)</f>
        <v>27863258.68</v>
      </c>
      <c r="E1611" s="41" t="n">
        <f aca="false">C1611/D1611-1</f>
        <v>-0.296133116903611</v>
      </c>
      <c r="F1611" s="42" t="n">
        <f aca="false">YEAR(A1611)</f>
        <v>2019</v>
      </c>
    </row>
    <row r="1612" customFormat="false" ht="15" hidden="false" customHeight="false" outlineLevel="0" collapsed="false">
      <c r="A1612" s="38" t="n">
        <v>43773</v>
      </c>
      <c r="B1612" s="39" t="n">
        <v>1212</v>
      </c>
      <c r="C1612" s="40" t="n">
        <v>19612025.04</v>
      </c>
      <c r="D1612" s="40" t="n">
        <f aca="false">MAX(D1611,C1612)</f>
        <v>27863258.68</v>
      </c>
      <c r="E1612" s="41" t="n">
        <f aca="false">C1612/D1612-1</f>
        <v>-0.296133116903611</v>
      </c>
      <c r="F1612" s="42" t="n">
        <f aca="false">YEAR(A1612)</f>
        <v>2019</v>
      </c>
    </row>
    <row r="1613" customFormat="false" ht="15" hidden="false" customHeight="false" outlineLevel="0" collapsed="false">
      <c r="A1613" s="38" t="n">
        <v>43774</v>
      </c>
      <c r="B1613" s="39" t="n">
        <v>1231.5</v>
      </c>
      <c r="C1613" s="40" t="n">
        <v>19612025.04</v>
      </c>
      <c r="D1613" s="40" t="n">
        <f aca="false">MAX(D1612,C1613)</f>
        <v>27863258.68</v>
      </c>
      <c r="E1613" s="41" t="n">
        <f aca="false">C1613/D1613-1</f>
        <v>-0.296133116903611</v>
      </c>
      <c r="F1613" s="42" t="n">
        <f aca="false">YEAR(A1613)</f>
        <v>2019</v>
      </c>
    </row>
    <row r="1614" customFormat="false" ht="15" hidden="false" customHeight="false" outlineLevel="0" collapsed="false">
      <c r="A1614" s="38" t="n">
        <v>43775</v>
      </c>
      <c r="B1614" s="39" t="n">
        <v>1218.5</v>
      </c>
      <c r="C1614" s="40" t="n">
        <v>19612025.04</v>
      </c>
      <c r="D1614" s="40" t="n">
        <f aca="false">MAX(D1613,C1614)</f>
        <v>27863258.68</v>
      </c>
      <c r="E1614" s="41" t="n">
        <f aca="false">C1614/D1614-1</f>
        <v>-0.296133116903611</v>
      </c>
      <c r="F1614" s="42" t="n">
        <f aca="false">YEAR(A1614)</f>
        <v>2019</v>
      </c>
    </row>
    <row r="1615" customFormat="false" ht="15" hidden="false" customHeight="false" outlineLevel="0" collapsed="false">
      <c r="A1615" s="38" t="n">
        <v>43776</v>
      </c>
      <c r="B1615" s="39" t="n">
        <v>1222.5</v>
      </c>
      <c r="C1615" s="40" t="n">
        <v>19612025.04</v>
      </c>
      <c r="D1615" s="40" t="n">
        <f aca="false">MAX(D1614,C1615)</f>
        <v>27863258.68</v>
      </c>
      <c r="E1615" s="41" t="n">
        <f aca="false">C1615/D1615-1</f>
        <v>-0.296133116903611</v>
      </c>
      <c r="F1615" s="42" t="n">
        <f aca="false">YEAR(A1615)</f>
        <v>2019</v>
      </c>
    </row>
    <row r="1616" customFormat="false" ht="15" hidden="false" customHeight="false" outlineLevel="0" collapsed="false">
      <c r="A1616" s="38" t="n">
        <v>43777</v>
      </c>
      <c r="B1616" s="39" t="n">
        <v>1225.5</v>
      </c>
      <c r="C1616" s="40" t="n">
        <v>19612025.04</v>
      </c>
      <c r="D1616" s="40" t="n">
        <f aca="false">MAX(D1615,C1616)</f>
        <v>27863258.68</v>
      </c>
      <c r="E1616" s="41" t="n">
        <f aca="false">C1616/D1616-1</f>
        <v>-0.296133116903611</v>
      </c>
      <c r="F1616" s="42" t="n">
        <f aca="false">YEAR(A1616)</f>
        <v>2019</v>
      </c>
    </row>
    <row r="1617" customFormat="false" ht="15" hidden="false" customHeight="false" outlineLevel="0" collapsed="false">
      <c r="A1617" s="38" t="n">
        <v>43780</v>
      </c>
      <c r="B1617" s="39" t="n">
        <v>1209.5</v>
      </c>
      <c r="C1617" s="40" t="n">
        <v>19612025.04</v>
      </c>
      <c r="D1617" s="40" t="n">
        <f aca="false">MAX(D1616,C1617)</f>
        <v>27863258.68</v>
      </c>
      <c r="E1617" s="41" t="n">
        <f aca="false">C1617/D1617-1</f>
        <v>-0.296133116903611</v>
      </c>
      <c r="F1617" s="42" t="n">
        <f aca="false">YEAR(A1617)</f>
        <v>2019</v>
      </c>
    </row>
    <row r="1618" customFormat="false" ht="15" hidden="false" customHeight="false" outlineLevel="0" collapsed="false">
      <c r="A1618" s="38" t="n">
        <v>43781</v>
      </c>
      <c r="B1618" s="39" t="n">
        <v>1213</v>
      </c>
      <c r="C1618" s="40" t="n">
        <v>19612025.04</v>
      </c>
      <c r="D1618" s="40" t="n">
        <f aca="false">MAX(D1617,C1618)</f>
        <v>27863258.68</v>
      </c>
      <c r="E1618" s="41" t="n">
        <f aca="false">C1618/D1618-1</f>
        <v>-0.296133116903611</v>
      </c>
      <c r="F1618" s="42" t="n">
        <f aca="false">YEAR(A1618)</f>
        <v>2019</v>
      </c>
    </row>
    <row r="1619" customFormat="false" ht="15" hidden="false" customHeight="false" outlineLevel="0" collapsed="false">
      <c r="A1619" s="38" t="n">
        <v>43782</v>
      </c>
      <c r="B1619" s="39" t="n">
        <v>1212.5</v>
      </c>
      <c r="C1619" s="40" t="n">
        <v>19612025.04</v>
      </c>
      <c r="D1619" s="40" t="n">
        <f aca="false">MAX(D1618,C1619)</f>
        <v>27863258.68</v>
      </c>
      <c r="E1619" s="41" t="n">
        <f aca="false">C1619/D1619-1</f>
        <v>-0.296133116903611</v>
      </c>
      <c r="F1619" s="42" t="n">
        <f aca="false">YEAR(A1619)</f>
        <v>2019</v>
      </c>
    </row>
    <row r="1620" customFormat="false" ht="15" hidden="false" customHeight="false" outlineLevel="0" collapsed="false">
      <c r="A1620" s="38" t="n">
        <v>43783</v>
      </c>
      <c r="B1620" s="39" t="n">
        <v>1219.5</v>
      </c>
      <c r="C1620" s="40" t="n">
        <v>19612025.04</v>
      </c>
      <c r="D1620" s="40" t="n">
        <f aca="false">MAX(D1619,C1620)</f>
        <v>27863258.68</v>
      </c>
      <c r="E1620" s="41" t="n">
        <f aca="false">C1620/D1620-1</f>
        <v>-0.296133116903611</v>
      </c>
      <c r="F1620" s="42" t="n">
        <f aca="false">YEAR(A1620)</f>
        <v>2019</v>
      </c>
    </row>
    <row r="1621" customFormat="false" ht="15" hidden="false" customHeight="false" outlineLevel="0" collapsed="false">
      <c r="A1621" s="38" t="n">
        <v>43784</v>
      </c>
      <c r="B1621" s="39" t="n">
        <v>1209.5</v>
      </c>
      <c r="C1621" s="40" t="n">
        <v>19612025.04</v>
      </c>
      <c r="D1621" s="40" t="n">
        <f aca="false">MAX(D1620,C1621)</f>
        <v>27863258.68</v>
      </c>
      <c r="E1621" s="41" t="n">
        <f aca="false">C1621/D1621-1</f>
        <v>-0.296133116903611</v>
      </c>
      <c r="F1621" s="42" t="n">
        <f aca="false">YEAR(A1621)</f>
        <v>2019</v>
      </c>
    </row>
    <row r="1622" customFormat="false" ht="15" hidden="false" customHeight="false" outlineLevel="0" collapsed="false">
      <c r="A1622" s="38" t="n">
        <v>43787</v>
      </c>
      <c r="B1622" s="39" t="n">
        <v>1209</v>
      </c>
      <c r="C1622" s="40" t="n">
        <v>19612025.04</v>
      </c>
      <c r="D1622" s="40" t="n">
        <f aca="false">MAX(D1621,C1622)</f>
        <v>27863258.68</v>
      </c>
      <c r="E1622" s="41" t="n">
        <f aca="false">C1622/D1622-1</f>
        <v>-0.296133116903611</v>
      </c>
      <c r="F1622" s="42" t="n">
        <f aca="false">YEAR(A1622)</f>
        <v>2019</v>
      </c>
    </row>
    <row r="1623" customFormat="false" ht="15" hidden="false" customHeight="false" outlineLevel="0" collapsed="false">
      <c r="A1623" s="38" t="n">
        <v>43788</v>
      </c>
      <c r="B1623" s="39" t="n">
        <v>1236.5</v>
      </c>
      <c r="C1623" s="40" t="n">
        <v>19612025.04</v>
      </c>
      <c r="D1623" s="40" t="n">
        <f aca="false">MAX(D1622,C1623)</f>
        <v>27863258.68</v>
      </c>
      <c r="E1623" s="41" t="n">
        <f aca="false">C1623/D1623-1</f>
        <v>-0.296133116903611</v>
      </c>
      <c r="F1623" s="42" t="n">
        <f aca="false">YEAR(A1623)</f>
        <v>2019</v>
      </c>
    </row>
    <row r="1624" customFormat="false" ht="15" hidden="false" customHeight="false" outlineLevel="0" collapsed="false">
      <c r="A1624" s="38" t="n">
        <v>43789</v>
      </c>
      <c r="B1624" s="39" t="n">
        <v>1244.5</v>
      </c>
      <c r="C1624" s="40" t="n">
        <v>19999487.39</v>
      </c>
      <c r="D1624" s="40" t="n">
        <f aca="false">MAX(D1623,C1624)</f>
        <v>27863258.68</v>
      </c>
      <c r="E1624" s="41" t="n">
        <f aca="false">C1624/D1624-1</f>
        <v>-0.282227264955357</v>
      </c>
      <c r="F1624" s="42" t="n">
        <f aca="false">YEAR(A1624)</f>
        <v>2019</v>
      </c>
    </row>
    <row r="1625" customFormat="false" ht="15" hidden="false" customHeight="false" outlineLevel="0" collapsed="false">
      <c r="A1625" s="38" t="n">
        <v>43790</v>
      </c>
      <c r="B1625" s="39" t="n">
        <v>1237</v>
      </c>
      <c r="C1625" s="40" t="n">
        <v>19504937.39</v>
      </c>
      <c r="D1625" s="40" t="n">
        <f aca="false">MAX(D1624,C1625)</f>
        <v>27863258.68</v>
      </c>
      <c r="E1625" s="41" t="n">
        <f aca="false">C1625/D1625-1</f>
        <v>-0.299976445181537</v>
      </c>
      <c r="F1625" s="42" t="n">
        <f aca="false">YEAR(A1625)</f>
        <v>2019</v>
      </c>
    </row>
    <row r="1626" customFormat="false" ht="15" hidden="false" customHeight="false" outlineLevel="0" collapsed="false">
      <c r="A1626" s="38" t="n">
        <v>43791</v>
      </c>
      <c r="B1626" s="39" t="n">
        <v>1230</v>
      </c>
      <c r="C1626" s="40" t="n">
        <v>19043357.39</v>
      </c>
      <c r="D1626" s="40" t="n">
        <f aca="false">MAX(D1625,C1626)</f>
        <v>27863258.68</v>
      </c>
      <c r="E1626" s="41" t="n">
        <f aca="false">C1626/D1626-1</f>
        <v>-0.316542346725972</v>
      </c>
      <c r="F1626" s="42" t="n">
        <f aca="false">YEAR(A1626)</f>
        <v>2019</v>
      </c>
    </row>
    <row r="1627" customFormat="false" ht="15" hidden="false" customHeight="false" outlineLevel="0" collapsed="false">
      <c r="A1627" s="38" t="n">
        <v>43794</v>
      </c>
      <c r="B1627" s="39" t="n">
        <v>1243</v>
      </c>
      <c r="C1627" s="40" t="n">
        <v>19900577.39</v>
      </c>
      <c r="D1627" s="40" t="n">
        <f aca="false">MAX(D1626,C1627)</f>
        <v>27863258.68</v>
      </c>
      <c r="E1627" s="41" t="n">
        <f aca="false">C1627/D1627-1</f>
        <v>-0.285777101000593</v>
      </c>
      <c r="F1627" s="42" t="n">
        <f aca="false">YEAR(A1627)</f>
        <v>2019</v>
      </c>
    </row>
    <row r="1628" customFormat="false" ht="15" hidden="false" customHeight="false" outlineLevel="0" collapsed="false">
      <c r="A1628" s="38" t="n">
        <v>43795</v>
      </c>
      <c r="B1628" s="39" t="n">
        <v>1214</v>
      </c>
      <c r="C1628" s="40" t="n">
        <v>17988317.39</v>
      </c>
      <c r="D1628" s="40" t="n">
        <f aca="false">MAX(D1627,C1628)</f>
        <v>27863258.68</v>
      </c>
      <c r="E1628" s="41" t="n">
        <f aca="false">C1628/D1628-1</f>
        <v>-0.354407264541823</v>
      </c>
      <c r="F1628" s="42" t="n">
        <f aca="false">YEAR(A1628)</f>
        <v>2019</v>
      </c>
    </row>
    <row r="1629" customFormat="false" ht="15" hidden="false" customHeight="false" outlineLevel="0" collapsed="false">
      <c r="A1629" s="38" t="n">
        <v>43796</v>
      </c>
      <c r="B1629" s="39" t="n">
        <v>1212.5</v>
      </c>
      <c r="C1629" s="40" t="n">
        <v>17889407.39</v>
      </c>
      <c r="D1629" s="40" t="n">
        <f aca="false">MAX(D1628,C1629)</f>
        <v>27863258.68</v>
      </c>
      <c r="E1629" s="41" t="n">
        <f aca="false">C1629/D1629-1</f>
        <v>-0.357957100587059</v>
      </c>
      <c r="F1629" s="42" t="n">
        <f aca="false">YEAR(A1629)</f>
        <v>2019</v>
      </c>
    </row>
    <row r="1630" customFormat="false" ht="15" hidden="false" customHeight="false" outlineLevel="0" collapsed="false">
      <c r="A1630" s="38" t="n">
        <v>43797</v>
      </c>
      <c r="B1630" s="39" t="n">
        <v>1202</v>
      </c>
      <c r="C1630" s="40" t="n">
        <v>17197037.39</v>
      </c>
      <c r="D1630" s="40" t="n">
        <f aca="false">MAX(D1629,C1630)</f>
        <v>27863258.68</v>
      </c>
      <c r="E1630" s="41" t="n">
        <f aca="false">C1630/D1630-1</f>
        <v>-0.382805952903711</v>
      </c>
      <c r="F1630" s="42" t="n">
        <f aca="false">YEAR(A1630)</f>
        <v>2019</v>
      </c>
    </row>
    <row r="1631" customFormat="false" ht="15" hidden="false" customHeight="false" outlineLevel="0" collapsed="false">
      <c r="A1631" s="38" t="n">
        <v>43798</v>
      </c>
      <c r="B1631" s="39" t="n">
        <v>1207</v>
      </c>
      <c r="C1631" s="40" t="n">
        <v>17526737.39</v>
      </c>
      <c r="D1631" s="40" t="n">
        <f aca="false">MAX(D1630,C1631)</f>
        <v>27863258.68</v>
      </c>
      <c r="E1631" s="41" t="n">
        <f aca="false">C1631/D1631-1</f>
        <v>-0.370973166086258</v>
      </c>
      <c r="F1631" s="42" t="n">
        <f aca="false">YEAR(A1631)</f>
        <v>2019</v>
      </c>
    </row>
    <row r="1632" customFormat="false" ht="15" hidden="false" customHeight="false" outlineLevel="0" collapsed="false">
      <c r="A1632" s="38" t="n">
        <v>43801</v>
      </c>
      <c r="B1632" s="39" t="n">
        <v>1216.5</v>
      </c>
      <c r="C1632" s="40" t="n">
        <v>18153167.39</v>
      </c>
      <c r="D1632" s="40" t="n">
        <f aca="false">MAX(D1631,C1632)</f>
        <v>27863258.68</v>
      </c>
      <c r="E1632" s="41" t="n">
        <f aca="false">C1632/D1632-1</f>
        <v>-0.348490871133096</v>
      </c>
      <c r="F1632" s="42" t="n">
        <f aca="false">YEAR(A1632)</f>
        <v>2019</v>
      </c>
    </row>
    <row r="1633" customFormat="false" ht="15" hidden="false" customHeight="false" outlineLevel="0" collapsed="false">
      <c r="A1633" s="38" t="n">
        <v>43802</v>
      </c>
      <c r="B1633" s="39" t="n">
        <v>1216</v>
      </c>
      <c r="C1633" s="40" t="n">
        <v>18120197.39</v>
      </c>
      <c r="D1633" s="40" t="n">
        <f aca="false">MAX(D1632,C1633)</f>
        <v>27863258.68</v>
      </c>
      <c r="E1633" s="41" t="n">
        <f aca="false">C1633/D1633-1</f>
        <v>-0.349674149814841</v>
      </c>
      <c r="F1633" s="42" t="n">
        <f aca="false">YEAR(A1633)</f>
        <v>2019</v>
      </c>
    </row>
    <row r="1634" customFormat="false" ht="15" hidden="false" customHeight="false" outlineLevel="0" collapsed="false">
      <c r="A1634" s="38" t="n">
        <v>43803</v>
      </c>
      <c r="B1634" s="39" t="n">
        <v>1206.5</v>
      </c>
      <c r="C1634" s="40" t="n">
        <v>17493767.39</v>
      </c>
      <c r="D1634" s="40" t="n">
        <f aca="false">MAX(D1633,C1634)</f>
        <v>27863258.68</v>
      </c>
      <c r="E1634" s="41" t="n">
        <f aca="false">C1634/D1634-1</f>
        <v>-0.372156444768003</v>
      </c>
      <c r="F1634" s="42" t="n">
        <f aca="false">YEAR(A1634)</f>
        <v>2019</v>
      </c>
    </row>
    <row r="1635" customFormat="false" ht="15" hidden="false" customHeight="false" outlineLevel="0" collapsed="false">
      <c r="A1635" s="38" t="n">
        <v>43804</v>
      </c>
      <c r="B1635" s="39" t="n">
        <v>1210.5</v>
      </c>
      <c r="C1635" s="40" t="n">
        <v>17757527.39</v>
      </c>
      <c r="D1635" s="40" t="n">
        <f aca="false">MAX(D1634,C1635)</f>
        <v>27863258.68</v>
      </c>
      <c r="E1635" s="41" t="n">
        <f aca="false">C1635/D1635-1</f>
        <v>-0.36269021531404</v>
      </c>
      <c r="F1635" s="42" t="n">
        <f aca="false">YEAR(A1635)</f>
        <v>2019</v>
      </c>
    </row>
    <row r="1636" customFormat="false" ht="15" hidden="false" customHeight="false" outlineLevel="0" collapsed="false">
      <c r="A1636" s="38" t="n">
        <v>43805</v>
      </c>
      <c r="B1636" s="39" t="n">
        <v>1212.5</v>
      </c>
      <c r="C1636" s="40" t="n">
        <v>17889407.39</v>
      </c>
      <c r="D1636" s="40" t="n">
        <f aca="false">MAX(D1635,C1636)</f>
        <v>27863258.68</v>
      </c>
      <c r="E1636" s="41" t="n">
        <f aca="false">C1636/D1636-1</f>
        <v>-0.357957100587059</v>
      </c>
      <c r="F1636" s="42" t="n">
        <f aca="false">YEAR(A1636)</f>
        <v>2019</v>
      </c>
    </row>
    <row r="1637" customFormat="false" ht="15" hidden="false" customHeight="false" outlineLevel="0" collapsed="false">
      <c r="A1637" s="38" t="n">
        <v>43808</v>
      </c>
      <c r="B1637" s="39" t="n">
        <v>1220</v>
      </c>
      <c r="C1637" s="40" t="n">
        <v>18383957.39</v>
      </c>
      <c r="D1637" s="40" t="n">
        <f aca="false">MAX(D1636,C1637)</f>
        <v>27863258.68</v>
      </c>
      <c r="E1637" s="41" t="n">
        <f aca="false">C1637/D1637-1</f>
        <v>-0.340207920360879</v>
      </c>
      <c r="F1637" s="42" t="n">
        <f aca="false">YEAR(A1637)</f>
        <v>2019</v>
      </c>
    </row>
    <row r="1638" customFormat="false" ht="15" hidden="false" customHeight="false" outlineLevel="0" collapsed="false">
      <c r="A1638" s="38" t="n">
        <v>43809</v>
      </c>
      <c r="B1638" s="39" t="n">
        <v>1217</v>
      </c>
      <c r="C1638" s="40" t="n">
        <v>18186137.39</v>
      </c>
      <c r="D1638" s="40" t="n">
        <f aca="false">MAX(D1637,C1638)</f>
        <v>27863258.68</v>
      </c>
      <c r="E1638" s="41" t="n">
        <f aca="false">C1638/D1638-1</f>
        <v>-0.347307592451351</v>
      </c>
      <c r="F1638" s="42" t="n">
        <f aca="false">YEAR(A1638)</f>
        <v>2019</v>
      </c>
    </row>
    <row r="1639" customFormat="false" ht="15" hidden="false" customHeight="false" outlineLevel="0" collapsed="false">
      <c r="A1639" s="38" t="n">
        <v>43810</v>
      </c>
      <c r="B1639" s="39" t="n">
        <v>1210</v>
      </c>
      <c r="C1639" s="40" t="n">
        <v>17724557.39</v>
      </c>
      <c r="D1639" s="40" t="n">
        <f aca="false">MAX(D1638,C1639)</f>
        <v>27863258.68</v>
      </c>
      <c r="E1639" s="41" t="n">
        <f aca="false">C1639/D1639-1</f>
        <v>-0.363873493995786</v>
      </c>
      <c r="F1639" s="42" t="n">
        <f aca="false">YEAR(A1639)</f>
        <v>2019</v>
      </c>
    </row>
    <row r="1640" customFormat="false" ht="15" hidden="false" customHeight="false" outlineLevel="0" collapsed="false">
      <c r="A1640" s="38" t="n">
        <v>43811</v>
      </c>
      <c r="B1640" s="39" t="n">
        <v>1204</v>
      </c>
      <c r="C1640" s="40" t="n">
        <v>17328917.39</v>
      </c>
      <c r="D1640" s="40" t="n">
        <f aca="false">MAX(D1639,C1640)</f>
        <v>27863258.68</v>
      </c>
      <c r="E1640" s="41" t="n">
        <f aca="false">C1640/D1640-1</f>
        <v>-0.37807283817673</v>
      </c>
      <c r="F1640" s="42" t="n">
        <f aca="false">YEAR(A1640)</f>
        <v>2019</v>
      </c>
    </row>
    <row r="1641" customFormat="false" ht="15" hidden="false" customHeight="false" outlineLevel="0" collapsed="false">
      <c r="A1641" s="38" t="n">
        <v>43812</v>
      </c>
      <c r="B1641" s="39" t="n">
        <v>1201</v>
      </c>
      <c r="C1641" s="40" t="n">
        <v>17131097.39</v>
      </c>
      <c r="D1641" s="40" t="n">
        <f aca="false">MAX(D1640,C1641)</f>
        <v>27863258.68</v>
      </c>
      <c r="E1641" s="41" t="n">
        <f aca="false">C1641/D1641-1</f>
        <v>-0.385172510267202</v>
      </c>
      <c r="F1641" s="42" t="n">
        <f aca="false">YEAR(A1641)</f>
        <v>2019</v>
      </c>
    </row>
    <row r="1642" customFormat="false" ht="15" hidden="false" customHeight="false" outlineLevel="0" collapsed="false">
      <c r="A1642" s="38" t="n">
        <v>43815</v>
      </c>
      <c r="B1642" s="39" t="n">
        <v>1209</v>
      </c>
      <c r="C1642" s="40" t="n">
        <v>17658617.39</v>
      </c>
      <c r="D1642" s="40" t="n">
        <f aca="false">MAX(D1641,C1642)</f>
        <v>27863258.68</v>
      </c>
      <c r="E1642" s="41" t="n">
        <f aca="false">C1642/D1642-1</f>
        <v>-0.366240051359276</v>
      </c>
      <c r="F1642" s="42" t="n">
        <f aca="false">YEAR(A1642)</f>
        <v>2019</v>
      </c>
    </row>
    <row r="1643" customFormat="false" ht="15" hidden="false" customHeight="false" outlineLevel="0" collapsed="false">
      <c r="A1643" s="38" t="n">
        <v>43816</v>
      </c>
      <c r="B1643" s="39" t="n">
        <v>1205</v>
      </c>
      <c r="C1643" s="40" t="n">
        <v>17394857.39</v>
      </c>
      <c r="D1643" s="40" t="n">
        <f aca="false">MAX(D1642,C1643)</f>
        <v>27863258.68</v>
      </c>
      <c r="E1643" s="41" t="n">
        <f aca="false">C1643/D1643-1</f>
        <v>-0.375706280813239</v>
      </c>
      <c r="F1643" s="42" t="n">
        <f aca="false">YEAR(A1643)</f>
        <v>2019</v>
      </c>
    </row>
    <row r="1644" customFormat="false" ht="15" hidden="false" customHeight="false" outlineLevel="0" collapsed="false">
      <c r="A1644" s="38" t="n">
        <v>43817</v>
      </c>
      <c r="B1644" s="39" t="n">
        <v>1205.5</v>
      </c>
      <c r="C1644" s="40" t="n">
        <v>17427827.39</v>
      </c>
      <c r="D1644" s="40" t="n">
        <f aca="false">MAX(D1643,C1644)</f>
        <v>27863258.68</v>
      </c>
      <c r="E1644" s="41" t="n">
        <f aca="false">C1644/D1644-1</f>
        <v>-0.374523002131494</v>
      </c>
      <c r="F1644" s="42" t="n">
        <f aca="false">YEAR(A1644)</f>
        <v>2019</v>
      </c>
    </row>
    <row r="1645" customFormat="false" ht="15" hidden="false" customHeight="false" outlineLevel="0" collapsed="false">
      <c r="A1645" s="38" t="n">
        <v>43818</v>
      </c>
      <c r="B1645" s="39" t="n">
        <v>1202.5</v>
      </c>
      <c r="C1645" s="40" t="n">
        <v>17230007.39</v>
      </c>
      <c r="D1645" s="40" t="n">
        <f aca="false">MAX(D1644,C1645)</f>
        <v>27863258.68</v>
      </c>
      <c r="E1645" s="41" t="n">
        <f aca="false">C1645/D1645-1</f>
        <v>-0.381622674221966</v>
      </c>
      <c r="F1645" s="42" t="n">
        <f aca="false">YEAR(A1645)</f>
        <v>2019</v>
      </c>
    </row>
    <row r="1646" customFormat="false" ht="15" hidden="false" customHeight="false" outlineLevel="0" collapsed="false">
      <c r="A1646" s="38" t="n">
        <v>43819</v>
      </c>
      <c r="B1646" s="39" t="n">
        <v>1199.5</v>
      </c>
      <c r="C1646" s="40" t="n">
        <v>17032187.39</v>
      </c>
      <c r="D1646" s="40" t="n">
        <f aca="false">MAX(D1645,C1646)</f>
        <v>27863258.68</v>
      </c>
      <c r="E1646" s="41" t="n">
        <f aca="false">C1646/D1646-1</f>
        <v>-0.388722346312438</v>
      </c>
      <c r="F1646" s="42" t="n">
        <f aca="false">YEAR(A1646)</f>
        <v>2019</v>
      </c>
    </row>
    <row r="1647" customFormat="false" ht="15" hidden="false" customHeight="false" outlineLevel="0" collapsed="false">
      <c r="A1647" s="38" t="n">
        <v>43822</v>
      </c>
      <c r="B1647" s="39" t="n">
        <v>1182.5</v>
      </c>
      <c r="C1647" s="40" t="n">
        <v>16436753.15</v>
      </c>
      <c r="D1647" s="40" t="n">
        <f aca="false">MAX(D1646,C1647)</f>
        <v>27863258.68</v>
      </c>
      <c r="E1647" s="41" t="n">
        <f aca="false">C1647/D1647-1</f>
        <v>-0.410092217182115</v>
      </c>
      <c r="F1647" s="42" t="n">
        <f aca="false">YEAR(A1647)</f>
        <v>2019</v>
      </c>
    </row>
    <row r="1648" customFormat="false" ht="15" hidden="false" customHeight="false" outlineLevel="0" collapsed="false">
      <c r="A1648" s="38" t="n">
        <v>43823</v>
      </c>
      <c r="B1648" s="39" t="n">
        <v>1159.5</v>
      </c>
      <c r="C1648" s="40" t="n">
        <v>17647061.31</v>
      </c>
      <c r="D1648" s="40" t="n">
        <f aca="false">MAX(D1647,C1648)</f>
        <v>27863258.68</v>
      </c>
      <c r="E1648" s="41" t="n">
        <f aca="false">C1648/D1648-1</f>
        <v>-0.366654793946736</v>
      </c>
      <c r="F1648" s="42" t="n">
        <f aca="false">YEAR(A1648)</f>
        <v>2019</v>
      </c>
    </row>
    <row r="1649" customFormat="false" ht="15" hidden="false" customHeight="false" outlineLevel="0" collapsed="false">
      <c r="A1649" s="38" t="n">
        <v>43824</v>
      </c>
      <c r="B1649" s="39" t="n">
        <v>1159.5</v>
      </c>
      <c r="C1649" s="40" t="n">
        <v>17647061.31</v>
      </c>
      <c r="D1649" s="40" t="n">
        <f aca="false">MAX(D1648,C1649)</f>
        <v>27863258.68</v>
      </c>
      <c r="E1649" s="41" t="n">
        <f aca="false">C1649/D1649-1</f>
        <v>-0.366654793946736</v>
      </c>
      <c r="F1649" s="42" t="n">
        <f aca="false">YEAR(A1649)</f>
        <v>2019</v>
      </c>
    </row>
    <row r="1650" customFormat="false" ht="15" hidden="false" customHeight="false" outlineLevel="0" collapsed="false">
      <c r="A1650" s="38" t="n">
        <v>43825</v>
      </c>
      <c r="B1650" s="39" t="n">
        <v>1150</v>
      </c>
      <c r="C1650" s="40" t="n">
        <v>18197681.31</v>
      </c>
      <c r="D1650" s="40" t="n">
        <f aca="false">MAX(D1649,C1650)</f>
        <v>27863258.68</v>
      </c>
      <c r="E1650" s="41" t="n">
        <f aca="false">C1650/D1650-1</f>
        <v>-0.3468932862809</v>
      </c>
      <c r="F1650" s="42" t="n">
        <f aca="false">YEAR(A1650)</f>
        <v>2019</v>
      </c>
    </row>
    <row r="1651" customFormat="false" ht="15" hidden="false" customHeight="false" outlineLevel="0" collapsed="false">
      <c r="A1651" s="38" t="n">
        <v>43826</v>
      </c>
      <c r="B1651" s="39" t="n">
        <v>1153.5</v>
      </c>
      <c r="C1651" s="40" t="n">
        <v>17994821.31</v>
      </c>
      <c r="D1651" s="40" t="n">
        <f aca="false">MAX(D1650,C1651)</f>
        <v>27863258.68</v>
      </c>
      <c r="E1651" s="41" t="n">
        <f aca="false">C1651/D1651-1</f>
        <v>-0.354173841736734</v>
      </c>
      <c r="F1651" s="42" t="n">
        <f aca="false">YEAR(A1651)</f>
        <v>2019</v>
      </c>
    </row>
    <row r="1652" customFormat="false" ht="15" hidden="false" customHeight="false" outlineLevel="0" collapsed="false">
      <c r="A1652" s="38" t="n">
        <v>43829</v>
      </c>
      <c r="B1652" s="39" t="n">
        <v>1159</v>
      </c>
      <c r="C1652" s="40" t="n">
        <v>17676041.31</v>
      </c>
      <c r="D1652" s="40" t="n">
        <f aca="false">MAX(D1651,C1652)</f>
        <v>27863258.68</v>
      </c>
      <c r="E1652" s="41" t="n">
        <f aca="false">C1652/D1652-1</f>
        <v>-0.365614714595902</v>
      </c>
      <c r="F1652" s="42" t="n">
        <f aca="false">YEAR(A1652)</f>
        <v>2019</v>
      </c>
    </row>
    <row r="1653" customFormat="false" ht="15" hidden="false" customHeight="false" outlineLevel="0" collapsed="false">
      <c r="A1653" s="38" t="n">
        <v>43830</v>
      </c>
      <c r="B1653" s="39" t="n">
        <v>1166.5</v>
      </c>
      <c r="C1653" s="40" t="n">
        <v>17241341.31</v>
      </c>
      <c r="D1653" s="40" t="n">
        <f aca="false">MAX(D1652,C1653)</f>
        <v>27863258.68</v>
      </c>
      <c r="E1653" s="41" t="n">
        <f aca="false">C1653/D1653-1</f>
        <v>-0.381215904858405</v>
      </c>
      <c r="F1653" s="42" t="n">
        <f aca="false">YEAR(A1653)</f>
        <v>2019</v>
      </c>
    </row>
    <row r="1654" customFormat="false" ht="15" hidden="false" customHeight="false" outlineLevel="0" collapsed="false">
      <c r="A1654" s="38" t="n">
        <v>43832</v>
      </c>
      <c r="B1654" s="39" t="n">
        <v>1177.5</v>
      </c>
      <c r="C1654" s="40" t="n">
        <v>16603781.31</v>
      </c>
      <c r="D1654" s="40" t="n">
        <f aca="false">MAX(D1653,C1654)</f>
        <v>27863258.68</v>
      </c>
      <c r="E1654" s="41" t="n">
        <f aca="false">C1654/D1654-1</f>
        <v>-0.404097650576742</v>
      </c>
      <c r="F1654" s="42" t="n">
        <f aca="false">YEAR(A1654)</f>
        <v>2020</v>
      </c>
    </row>
    <row r="1655" customFormat="false" ht="15" hidden="false" customHeight="false" outlineLevel="0" collapsed="false">
      <c r="A1655" s="38" t="n">
        <v>43833</v>
      </c>
      <c r="B1655" s="39" t="n">
        <v>1180</v>
      </c>
      <c r="C1655" s="40" t="n">
        <v>16458881.31</v>
      </c>
      <c r="D1655" s="40" t="n">
        <f aca="false">MAX(D1654,C1655)</f>
        <v>27863258.68</v>
      </c>
      <c r="E1655" s="41" t="n">
        <f aca="false">C1655/D1655-1</f>
        <v>-0.409298047330909</v>
      </c>
      <c r="F1655" s="42" t="n">
        <f aca="false">YEAR(A1655)</f>
        <v>2020</v>
      </c>
    </row>
    <row r="1656" customFormat="false" ht="15" hidden="false" customHeight="false" outlineLevel="0" collapsed="false">
      <c r="A1656" s="38" t="n">
        <v>43836</v>
      </c>
      <c r="B1656" s="39" t="n">
        <v>1178.5</v>
      </c>
      <c r="C1656" s="40" t="n">
        <v>16545821.31</v>
      </c>
      <c r="D1656" s="40" t="n">
        <f aca="false">MAX(D1655,C1656)</f>
        <v>27863258.68</v>
      </c>
      <c r="E1656" s="41" t="n">
        <f aca="false">C1656/D1656-1</f>
        <v>-0.406177809278409</v>
      </c>
      <c r="F1656" s="42" t="n">
        <f aca="false">YEAR(A1656)</f>
        <v>2020</v>
      </c>
    </row>
    <row r="1657" customFormat="false" ht="15" hidden="false" customHeight="false" outlineLevel="0" collapsed="false">
      <c r="A1657" s="38" t="n">
        <v>43837</v>
      </c>
      <c r="B1657" s="39" t="n">
        <v>1192</v>
      </c>
      <c r="C1657" s="40" t="n">
        <v>15763361.31</v>
      </c>
      <c r="D1657" s="40" t="n">
        <f aca="false">MAX(D1656,C1657)</f>
        <v>27863258.68</v>
      </c>
      <c r="E1657" s="41" t="n">
        <f aca="false">C1657/D1657-1</f>
        <v>-0.434259951750913</v>
      </c>
      <c r="F1657" s="42" t="n">
        <f aca="false">YEAR(A1657)</f>
        <v>2020</v>
      </c>
    </row>
    <row r="1658" customFormat="false" ht="15" hidden="false" customHeight="false" outlineLevel="0" collapsed="false">
      <c r="A1658" s="38" t="n">
        <v>43838</v>
      </c>
      <c r="B1658" s="39" t="n">
        <v>1206.5</v>
      </c>
      <c r="C1658" s="40" t="n">
        <v>14737900.98</v>
      </c>
      <c r="D1658" s="40" t="n">
        <f aca="false">MAX(D1657,C1658)</f>
        <v>27863258.68</v>
      </c>
      <c r="E1658" s="41" t="n">
        <f aca="false">C1658/D1658-1</f>
        <v>-0.471063268325512</v>
      </c>
      <c r="F1658" s="42" t="n">
        <f aca="false">YEAR(A1658)</f>
        <v>2020</v>
      </c>
    </row>
    <row r="1659" customFormat="false" ht="15" hidden="false" customHeight="false" outlineLevel="0" collapsed="false">
      <c r="A1659" s="38" t="n">
        <v>43839</v>
      </c>
      <c r="B1659" s="39" t="n">
        <v>1202.5</v>
      </c>
      <c r="C1659" s="40" t="n">
        <v>14737900.98</v>
      </c>
      <c r="D1659" s="40" t="n">
        <f aca="false">MAX(D1658,C1659)</f>
        <v>27863258.68</v>
      </c>
      <c r="E1659" s="41" t="n">
        <f aca="false">C1659/D1659-1</f>
        <v>-0.471063268325512</v>
      </c>
      <c r="F1659" s="42" t="n">
        <f aca="false">YEAR(A1659)</f>
        <v>2020</v>
      </c>
    </row>
    <row r="1660" customFormat="false" ht="15" hidden="false" customHeight="false" outlineLevel="0" collapsed="false">
      <c r="A1660" s="38" t="n">
        <v>43840</v>
      </c>
      <c r="B1660" s="39" t="n">
        <v>1208</v>
      </c>
      <c r="C1660" s="40" t="n">
        <v>14737900.98</v>
      </c>
      <c r="D1660" s="40" t="n">
        <f aca="false">MAX(D1659,C1660)</f>
        <v>27863258.68</v>
      </c>
      <c r="E1660" s="41" t="n">
        <f aca="false">C1660/D1660-1</f>
        <v>-0.471063268325512</v>
      </c>
      <c r="F1660" s="42" t="n">
        <f aca="false">YEAR(A1660)</f>
        <v>2020</v>
      </c>
    </row>
    <row r="1661" customFormat="false" ht="15" hidden="false" customHeight="false" outlineLevel="0" collapsed="false">
      <c r="A1661" s="38" t="n">
        <v>43843</v>
      </c>
      <c r="B1661" s="39" t="n">
        <v>1208.5</v>
      </c>
      <c r="C1661" s="40" t="n">
        <v>14737900.98</v>
      </c>
      <c r="D1661" s="40" t="n">
        <f aca="false">MAX(D1660,C1661)</f>
        <v>27863258.68</v>
      </c>
      <c r="E1661" s="41" t="n">
        <f aca="false">C1661/D1661-1</f>
        <v>-0.471063268325512</v>
      </c>
      <c r="F1661" s="42" t="n">
        <f aca="false">YEAR(A1661)</f>
        <v>2020</v>
      </c>
    </row>
    <row r="1662" customFormat="false" ht="15" hidden="false" customHeight="false" outlineLevel="0" collapsed="false">
      <c r="A1662" s="38" t="n">
        <v>43844</v>
      </c>
      <c r="B1662" s="39" t="n">
        <v>1211.5</v>
      </c>
      <c r="C1662" s="40" t="n">
        <v>14737900.98</v>
      </c>
      <c r="D1662" s="40" t="n">
        <f aca="false">MAX(D1661,C1662)</f>
        <v>27863258.68</v>
      </c>
      <c r="E1662" s="41" t="n">
        <f aca="false">C1662/D1662-1</f>
        <v>-0.471063268325512</v>
      </c>
      <c r="F1662" s="42" t="n">
        <f aca="false">YEAR(A1662)</f>
        <v>2020</v>
      </c>
    </row>
    <row r="1663" customFormat="false" ht="15" hidden="false" customHeight="false" outlineLevel="0" collapsed="false">
      <c r="A1663" s="38" t="n">
        <v>43845</v>
      </c>
      <c r="B1663" s="39" t="n">
        <v>1208</v>
      </c>
      <c r="C1663" s="40" t="n">
        <v>14737900.98</v>
      </c>
      <c r="D1663" s="40" t="n">
        <f aca="false">MAX(D1662,C1663)</f>
        <v>27863258.68</v>
      </c>
      <c r="E1663" s="41" t="n">
        <f aca="false">C1663/D1663-1</f>
        <v>-0.471063268325512</v>
      </c>
      <c r="F1663" s="42" t="n">
        <f aca="false">YEAR(A1663)</f>
        <v>2020</v>
      </c>
    </row>
    <row r="1664" customFormat="false" ht="15" hidden="false" customHeight="false" outlineLevel="0" collapsed="false">
      <c r="A1664" s="38" t="n">
        <v>43846</v>
      </c>
      <c r="B1664" s="39" t="n">
        <v>1223</v>
      </c>
      <c r="C1664" s="40" t="n">
        <v>14737900.98</v>
      </c>
      <c r="D1664" s="40" t="n">
        <f aca="false">MAX(D1663,C1664)</f>
        <v>27863258.68</v>
      </c>
      <c r="E1664" s="41" t="n">
        <f aca="false">C1664/D1664-1</f>
        <v>-0.471063268325512</v>
      </c>
      <c r="F1664" s="42" t="n">
        <f aca="false">YEAR(A1664)</f>
        <v>2020</v>
      </c>
    </row>
    <row r="1665" customFormat="false" ht="15" hidden="false" customHeight="false" outlineLevel="0" collapsed="false">
      <c r="A1665" s="38" t="n">
        <v>43847</v>
      </c>
      <c r="B1665" s="39" t="n">
        <v>1218.5</v>
      </c>
      <c r="C1665" s="40" t="n">
        <v>14737900.98</v>
      </c>
      <c r="D1665" s="40" t="n">
        <f aca="false">MAX(D1664,C1665)</f>
        <v>27863258.68</v>
      </c>
      <c r="E1665" s="41" t="n">
        <f aca="false">C1665/D1665-1</f>
        <v>-0.471063268325512</v>
      </c>
      <c r="F1665" s="42" t="n">
        <f aca="false">YEAR(A1665)</f>
        <v>2020</v>
      </c>
    </row>
    <row r="1666" customFormat="false" ht="15" hidden="false" customHeight="false" outlineLevel="0" collapsed="false">
      <c r="A1666" s="38" t="n">
        <v>43850</v>
      </c>
      <c r="B1666" s="39" t="n">
        <v>1226.5</v>
      </c>
      <c r="C1666" s="40" t="n">
        <v>14737900.98</v>
      </c>
      <c r="D1666" s="40" t="n">
        <f aca="false">MAX(D1665,C1666)</f>
        <v>27863258.68</v>
      </c>
      <c r="E1666" s="41" t="n">
        <f aca="false">C1666/D1666-1</f>
        <v>-0.471063268325512</v>
      </c>
      <c r="F1666" s="42" t="n">
        <f aca="false">YEAR(A1666)</f>
        <v>2020</v>
      </c>
    </row>
    <row r="1667" customFormat="false" ht="15" hidden="false" customHeight="false" outlineLevel="0" collapsed="false">
      <c r="A1667" s="38" t="n">
        <v>43851</v>
      </c>
      <c r="B1667" s="39" t="n">
        <v>1224.5</v>
      </c>
      <c r="C1667" s="40" t="n">
        <v>14737900.98</v>
      </c>
      <c r="D1667" s="40" t="n">
        <f aca="false">MAX(D1666,C1667)</f>
        <v>27863258.68</v>
      </c>
      <c r="E1667" s="41" t="n">
        <f aca="false">C1667/D1667-1</f>
        <v>-0.471063268325512</v>
      </c>
      <c r="F1667" s="42" t="n">
        <f aca="false">YEAR(A1667)</f>
        <v>2020</v>
      </c>
    </row>
    <row r="1668" customFormat="false" ht="15" hidden="false" customHeight="false" outlineLevel="0" collapsed="false">
      <c r="A1668" s="38" t="n">
        <v>43852</v>
      </c>
      <c r="B1668" s="39" t="n">
        <v>1218.5</v>
      </c>
      <c r="C1668" s="40" t="n">
        <v>14737900.98</v>
      </c>
      <c r="D1668" s="40" t="n">
        <f aca="false">MAX(D1667,C1668)</f>
        <v>27863258.68</v>
      </c>
      <c r="E1668" s="41" t="n">
        <f aca="false">C1668/D1668-1</f>
        <v>-0.471063268325512</v>
      </c>
      <c r="F1668" s="42" t="n">
        <f aca="false">YEAR(A1668)</f>
        <v>2020</v>
      </c>
    </row>
    <row r="1669" customFormat="false" ht="15" hidden="false" customHeight="false" outlineLevel="0" collapsed="false">
      <c r="A1669" s="38" t="n">
        <v>43853</v>
      </c>
      <c r="B1669" s="39" t="n">
        <v>1211.5</v>
      </c>
      <c r="C1669" s="40" t="n">
        <v>14737900.98</v>
      </c>
      <c r="D1669" s="40" t="n">
        <f aca="false">MAX(D1668,C1669)</f>
        <v>27863258.68</v>
      </c>
      <c r="E1669" s="41" t="n">
        <f aca="false">C1669/D1669-1</f>
        <v>-0.471063268325512</v>
      </c>
      <c r="F1669" s="42" t="n">
        <f aca="false">YEAR(A1669)</f>
        <v>2020</v>
      </c>
    </row>
    <row r="1670" customFormat="false" ht="15" hidden="false" customHeight="false" outlineLevel="0" collapsed="false">
      <c r="A1670" s="38" t="n">
        <v>43864</v>
      </c>
      <c r="B1670" s="39" t="n">
        <v>1166.5</v>
      </c>
      <c r="C1670" s="40" t="n">
        <v>14737900.98</v>
      </c>
      <c r="D1670" s="40" t="n">
        <f aca="false">MAX(D1669,C1670)</f>
        <v>27863258.68</v>
      </c>
      <c r="E1670" s="41" t="n">
        <f aca="false">C1670/D1670-1</f>
        <v>-0.471063268325512</v>
      </c>
      <c r="F1670" s="42" t="n">
        <f aca="false">YEAR(A1670)</f>
        <v>2020</v>
      </c>
    </row>
    <row r="1671" customFormat="false" ht="15" hidden="false" customHeight="false" outlineLevel="0" collapsed="false">
      <c r="A1671" s="38" t="n">
        <v>43865</v>
      </c>
      <c r="B1671" s="39" t="n">
        <v>1196</v>
      </c>
      <c r="C1671" s="40" t="n">
        <v>14737900.98</v>
      </c>
      <c r="D1671" s="40" t="n">
        <f aca="false">MAX(D1670,C1671)</f>
        <v>27863258.68</v>
      </c>
      <c r="E1671" s="41" t="n">
        <f aca="false">C1671/D1671-1</f>
        <v>-0.471063268325512</v>
      </c>
      <c r="F1671" s="42" t="n">
        <f aca="false">YEAR(A1671)</f>
        <v>2020</v>
      </c>
    </row>
    <row r="1672" customFormat="false" ht="15" hidden="false" customHeight="false" outlineLevel="0" collapsed="false">
      <c r="A1672" s="38" t="n">
        <v>43866</v>
      </c>
      <c r="B1672" s="39" t="n">
        <v>1195.5</v>
      </c>
      <c r="C1672" s="40" t="n">
        <v>14737900.98</v>
      </c>
      <c r="D1672" s="40" t="n">
        <f aca="false">MAX(D1671,C1672)</f>
        <v>27863258.68</v>
      </c>
      <c r="E1672" s="41" t="n">
        <f aca="false">C1672/D1672-1</f>
        <v>-0.471063268325512</v>
      </c>
      <c r="F1672" s="42" t="n">
        <f aca="false">YEAR(A1672)</f>
        <v>2020</v>
      </c>
    </row>
    <row r="1673" customFormat="false" ht="15" hidden="false" customHeight="false" outlineLevel="0" collapsed="false">
      <c r="A1673" s="38" t="n">
        <v>43867</v>
      </c>
      <c r="B1673" s="39" t="n">
        <v>1228</v>
      </c>
      <c r="C1673" s="40" t="n">
        <v>14737900.98</v>
      </c>
      <c r="D1673" s="40" t="n">
        <f aca="false">MAX(D1672,C1673)</f>
        <v>27863258.68</v>
      </c>
      <c r="E1673" s="41" t="n">
        <f aca="false">C1673/D1673-1</f>
        <v>-0.471063268325512</v>
      </c>
      <c r="F1673" s="42" t="n">
        <f aca="false">YEAR(A1673)</f>
        <v>2020</v>
      </c>
    </row>
    <row r="1674" customFormat="false" ht="15" hidden="false" customHeight="false" outlineLevel="0" collapsed="false">
      <c r="A1674" s="38" t="n">
        <v>43868</v>
      </c>
      <c r="B1674" s="39" t="n">
        <v>1228.5</v>
      </c>
      <c r="C1674" s="40" t="n">
        <v>14856857.73</v>
      </c>
      <c r="D1674" s="40" t="n">
        <f aca="false">MAX(D1673,C1674)</f>
        <v>27863258.68</v>
      </c>
      <c r="E1674" s="41" t="n">
        <f aca="false">C1674/D1674-1</f>
        <v>-0.466793963311114</v>
      </c>
      <c r="F1674" s="42" t="n">
        <f aca="false">YEAR(A1674)</f>
        <v>2020</v>
      </c>
    </row>
    <row r="1675" customFormat="false" ht="15" hidden="false" customHeight="false" outlineLevel="0" collapsed="false">
      <c r="A1675" s="38" t="n">
        <v>43871</v>
      </c>
      <c r="B1675" s="39" t="n">
        <v>1220.5</v>
      </c>
      <c r="C1675" s="40" t="n">
        <v>14456537.73</v>
      </c>
      <c r="D1675" s="40" t="n">
        <f aca="false">MAX(D1674,C1675)</f>
        <v>27863258.68</v>
      </c>
      <c r="E1675" s="41" t="n">
        <f aca="false">C1675/D1675-1</f>
        <v>-0.481161270617038</v>
      </c>
      <c r="F1675" s="42" t="n">
        <f aca="false">YEAR(A1675)</f>
        <v>2020</v>
      </c>
    </row>
    <row r="1676" customFormat="false" ht="15" hidden="false" customHeight="false" outlineLevel="0" collapsed="false">
      <c r="A1676" s="38" t="n">
        <v>43872</v>
      </c>
      <c r="B1676" s="39" t="n">
        <v>1259</v>
      </c>
      <c r="C1676" s="40" t="n">
        <v>16383077.73</v>
      </c>
      <c r="D1676" s="40" t="n">
        <f aca="false">MAX(D1675,C1676)</f>
        <v>27863258.68</v>
      </c>
      <c r="E1676" s="41" t="n">
        <f aca="false">C1676/D1676-1</f>
        <v>-0.412018604207281</v>
      </c>
      <c r="F1676" s="42" t="n">
        <f aca="false">YEAR(A1676)</f>
        <v>2020</v>
      </c>
    </row>
    <row r="1677" customFormat="false" ht="15" hidden="false" customHeight="false" outlineLevel="0" collapsed="false">
      <c r="A1677" s="38" t="n">
        <v>43873</v>
      </c>
      <c r="B1677" s="39" t="n">
        <v>1274.5</v>
      </c>
      <c r="C1677" s="40" t="n">
        <v>17158697.73</v>
      </c>
      <c r="D1677" s="40" t="n">
        <f aca="false">MAX(D1676,C1677)</f>
        <v>27863258.68</v>
      </c>
      <c r="E1677" s="41" t="n">
        <f aca="false">C1677/D1677-1</f>
        <v>-0.384181946302054</v>
      </c>
      <c r="F1677" s="42" t="n">
        <f aca="false">YEAR(A1677)</f>
        <v>2020</v>
      </c>
    </row>
    <row r="1678" customFormat="false" ht="15" hidden="false" customHeight="false" outlineLevel="0" collapsed="false">
      <c r="A1678" s="38" t="n">
        <v>43874</v>
      </c>
      <c r="B1678" s="39" t="n">
        <v>1265</v>
      </c>
      <c r="C1678" s="40" t="n">
        <v>16683317.73</v>
      </c>
      <c r="D1678" s="40" t="n">
        <f aca="false">MAX(D1677,C1678)</f>
        <v>27863258.68</v>
      </c>
      <c r="E1678" s="41" t="n">
        <f aca="false">C1678/D1678-1</f>
        <v>-0.401243123727838</v>
      </c>
      <c r="F1678" s="42" t="n">
        <f aca="false">YEAR(A1678)</f>
        <v>2020</v>
      </c>
    </row>
    <row r="1679" customFormat="false" ht="15" hidden="false" customHeight="false" outlineLevel="0" collapsed="false">
      <c r="A1679" s="38" t="n">
        <v>43875</v>
      </c>
      <c r="B1679" s="39" t="n">
        <v>1270.5</v>
      </c>
      <c r="C1679" s="40" t="n">
        <v>16958537.73</v>
      </c>
      <c r="D1679" s="40" t="n">
        <f aca="false">MAX(D1678,C1679)</f>
        <v>27863258.68</v>
      </c>
      <c r="E1679" s="41" t="n">
        <f aca="false">C1679/D1679-1</f>
        <v>-0.391365599955016</v>
      </c>
      <c r="F1679" s="42" t="n">
        <f aca="false">YEAR(A1679)</f>
        <v>2020</v>
      </c>
    </row>
    <row r="1680" customFormat="false" ht="15" hidden="false" customHeight="false" outlineLevel="0" collapsed="false">
      <c r="A1680" s="38" t="n">
        <v>43878</v>
      </c>
      <c r="B1680" s="39" t="n">
        <v>1266.5</v>
      </c>
      <c r="C1680" s="40" t="n">
        <v>16758377.73</v>
      </c>
      <c r="D1680" s="40" t="n">
        <f aca="false">MAX(D1679,C1680)</f>
        <v>27863258.68</v>
      </c>
      <c r="E1680" s="41" t="n">
        <f aca="false">C1680/D1680-1</f>
        <v>-0.398549253607977</v>
      </c>
      <c r="F1680" s="42" t="n">
        <f aca="false">YEAR(A1680)</f>
        <v>2020</v>
      </c>
    </row>
    <row r="1681" customFormat="false" ht="15" hidden="false" customHeight="false" outlineLevel="0" collapsed="false">
      <c r="A1681" s="38" t="n">
        <v>43879</v>
      </c>
      <c r="B1681" s="39" t="n">
        <v>1260</v>
      </c>
      <c r="C1681" s="40" t="n">
        <v>16433117.73</v>
      </c>
      <c r="D1681" s="40" t="n">
        <f aca="false">MAX(D1680,C1681)</f>
        <v>27863258.68</v>
      </c>
      <c r="E1681" s="41" t="n">
        <f aca="false">C1681/D1681-1</f>
        <v>-0.41022269079404</v>
      </c>
      <c r="F1681" s="42" t="n">
        <f aca="false">YEAR(A1681)</f>
        <v>2020</v>
      </c>
    </row>
    <row r="1682" customFormat="false" ht="15" hidden="false" customHeight="false" outlineLevel="0" collapsed="false">
      <c r="A1682" s="38" t="n">
        <v>43880</v>
      </c>
      <c r="B1682" s="39" t="n">
        <v>1268</v>
      </c>
      <c r="C1682" s="40" t="n">
        <v>16833437.73</v>
      </c>
      <c r="D1682" s="40" t="n">
        <f aca="false">MAX(D1681,C1682)</f>
        <v>27863258.68</v>
      </c>
      <c r="E1682" s="41" t="n">
        <f aca="false">C1682/D1682-1</f>
        <v>-0.395855383488117</v>
      </c>
      <c r="F1682" s="42" t="n">
        <f aca="false">YEAR(A1682)</f>
        <v>2020</v>
      </c>
    </row>
    <row r="1683" customFormat="false" ht="15" hidden="false" customHeight="false" outlineLevel="0" collapsed="false">
      <c r="A1683" s="38" t="n">
        <v>43881</v>
      </c>
      <c r="B1683" s="39" t="n">
        <v>1273.5</v>
      </c>
      <c r="C1683" s="40" t="n">
        <v>17108657.73</v>
      </c>
      <c r="D1683" s="40" t="n">
        <f aca="false">MAX(D1682,C1683)</f>
        <v>27863258.68</v>
      </c>
      <c r="E1683" s="41" t="n">
        <f aca="false">C1683/D1683-1</f>
        <v>-0.385977859715294</v>
      </c>
      <c r="F1683" s="42" t="n">
        <f aca="false">YEAR(A1683)</f>
        <v>2020</v>
      </c>
    </row>
    <row r="1684" customFormat="false" ht="15" hidden="false" customHeight="false" outlineLevel="0" collapsed="false">
      <c r="A1684" s="38" t="n">
        <v>43882</v>
      </c>
      <c r="B1684" s="39" t="n">
        <v>1259</v>
      </c>
      <c r="C1684" s="40" t="n">
        <v>16383077.73</v>
      </c>
      <c r="D1684" s="40" t="n">
        <f aca="false">MAX(D1683,C1684)</f>
        <v>27863258.68</v>
      </c>
      <c r="E1684" s="41" t="n">
        <f aca="false">C1684/D1684-1</f>
        <v>-0.412018604207281</v>
      </c>
      <c r="F1684" s="42" t="n">
        <f aca="false">YEAR(A1684)</f>
        <v>2020</v>
      </c>
    </row>
    <row r="1685" customFormat="false" ht="15" hidden="false" customHeight="false" outlineLevel="0" collapsed="false">
      <c r="A1685" s="38" t="n">
        <v>43885</v>
      </c>
      <c r="B1685" s="39" t="n">
        <v>1274.5</v>
      </c>
      <c r="C1685" s="40" t="n">
        <v>17158697.73</v>
      </c>
      <c r="D1685" s="40" t="n">
        <f aca="false">MAX(D1684,C1685)</f>
        <v>27863258.68</v>
      </c>
      <c r="E1685" s="41" t="n">
        <f aca="false">C1685/D1685-1</f>
        <v>-0.384181946302054</v>
      </c>
      <c r="F1685" s="42" t="n">
        <f aca="false">YEAR(A1685)</f>
        <v>2020</v>
      </c>
    </row>
    <row r="1686" customFormat="false" ht="15" hidden="false" customHeight="false" outlineLevel="0" collapsed="false">
      <c r="A1686" s="38" t="n">
        <v>43886</v>
      </c>
      <c r="B1686" s="39" t="n">
        <v>1272</v>
      </c>
      <c r="C1686" s="40" t="n">
        <v>17033597.73</v>
      </c>
      <c r="D1686" s="40" t="n">
        <f aca="false">MAX(D1685,C1686)</f>
        <v>27863258.68</v>
      </c>
      <c r="E1686" s="41" t="n">
        <f aca="false">C1686/D1686-1</f>
        <v>-0.388671729835155</v>
      </c>
      <c r="F1686" s="42" t="n">
        <f aca="false">YEAR(A1686)</f>
        <v>2020</v>
      </c>
    </row>
    <row r="1687" customFormat="false" ht="15" hidden="false" customHeight="false" outlineLevel="0" collapsed="false">
      <c r="A1687" s="38" t="n">
        <v>43887</v>
      </c>
      <c r="B1687" s="39" t="n">
        <v>1265</v>
      </c>
      <c r="C1687" s="40" t="n">
        <v>16683317.73</v>
      </c>
      <c r="D1687" s="40" t="n">
        <f aca="false">MAX(D1686,C1687)</f>
        <v>27863258.68</v>
      </c>
      <c r="E1687" s="41" t="n">
        <f aca="false">C1687/D1687-1</f>
        <v>-0.401243123727838</v>
      </c>
      <c r="F1687" s="42" t="n">
        <f aca="false">YEAR(A1687)</f>
        <v>2020</v>
      </c>
    </row>
    <row r="1688" customFormat="false" ht="15" hidden="false" customHeight="false" outlineLevel="0" collapsed="false">
      <c r="A1688" s="38" t="n">
        <v>43888</v>
      </c>
      <c r="B1688" s="39" t="n">
        <v>1260</v>
      </c>
      <c r="C1688" s="40" t="n">
        <v>16433117.73</v>
      </c>
      <c r="D1688" s="40" t="n">
        <f aca="false">MAX(D1687,C1688)</f>
        <v>27863258.68</v>
      </c>
      <c r="E1688" s="41" t="n">
        <f aca="false">C1688/D1688-1</f>
        <v>-0.41022269079404</v>
      </c>
      <c r="F1688" s="42" t="n">
        <f aca="false">YEAR(A1688)</f>
        <v>2020</v>
      </c>
    </row>
    <row r="1689" customFormat="false" ht="15" hidden="false" customHeight="false" outlineLevel="0" collapsed="false">
      <c r="A1689" s="38" t="n">
        <v>43889</v>
      </c>
      <c r="B1689" s="39" t="n">
        <v>1238</v>
      </c>
      <c r="C1689" s="40" t="n">
        <v>15332237.73</v>
      </c>
      <c r="D1689" s="40" t="n">
        <f aca="false">MAX(D1688,C1689)</f>
        <v>27863258.68</v>
      </c>
      <c r="E1689" s="41" t="n">
        <f aca="false">C1689/D1689-1</f>
        <v>-0.44973278588533</v>
      </c>
      <c r="F1689" s="42" t="n">
        <f aca="false">YEAR(A1689)</f>
        <v>2020</v>
      </c>
    </row>
    <row r="1690" customFormat="false" ht="15" hidden="false" customHeight="false" outlineLevel="0" collapsed="false">
      <c r="A1690" s="38" t="n">
        <v>43892</v>
      </c>
      <c r="B1690" s="39" t="n">
        <v>1272.5</v>
      </c>
      <c r="C1690" s="40" t="n">
        <v>17058617.73</v>
      </c>
      <c r="D1690" s="40" t="n">
        <f aca="false">MAX(D1689,C1690)</f>
        <v>27863258.68</v>
      </c>
      <c r="E1690" s="41" t="n">
        <f aca="false">C1690/D1690-1</f>
        <v>-0.387773773128535</v>
      </c>
      <c r="F1690" s="42" t="n">
        <f aca="false">YEAR(A1690)</f>
        <v>2020</v>
      </c>
    </row>
    <row r="1691" customFormat="false" ht="15" hidden="false" customHeight="false" outlineLevel="0" collapsed="false">
      <c r="A1691" s="38" t="n">
        <v>43893</v>
      </c>
      <c r="B1691" s="39" t="n">
        <v>1266</v>
      </c>
      <c r="C1691" s="40" t="n">
        <v>16733357.73</v>
      </c>
      <c r="D1691" s="40" t="n">
        <f aca="false">MAX(D1690,C1691)</f>
        <v>27863258.68</v>
      </c>
      <c r="E1691" s="41" t="n">
        <f aca="false">C1691/D1691-1</f>
        <v>-0.399447210314598</v>
      </c>
      <c r="F1691" s="42" t="n">
        <f aca="false">YEAR(A1691)</f>
        <v>2020</v>
      </c>
    </row>
    <row r="1692" customFormat="false" ht="15" hidden="false" customHeight="false" outlineLevel="0" collapsed="false">
      <c r="A1692" s="38" t="n">
        <v>43894</v>
      </c>
      <c r="B1692" s="39" t="n">
        <v>1268</v>
      </c>
      <c r="C1692" s="40" t="n">
        <v>16833437.73</v>
      </c>
      <c r="D1692" s="40" t="n">
        <f aca="false">MAX(D1691,C1692)</f>
        <v>27863258.68</v>
      </c>
      <c r="E1692" s="41" t="n">
        <f aca="false">C1692/D1692-1</f>
        <v>-0.395855383488117</v>
      </c>
      <c r="F1692" s="42" t="n">
        <f aca="false">YEAR(A1692)</f>
        <v>2020</v>
      </c>
    </row>
    <row r="1693" customFormat="false" ht="15" hidden="false" customHeight="false" outlineLevel="0" collapsed="false">
      <c r="A1693" s="38" t="n">
        <v>43895</v>
      </c>
      <c r="B1693" s="39" t="n">
        <v>1256.5</v>
      </c>
      <c r="C1693" s="40" t="n">
        <v>16257977.73</v>
      </c>
      <c r="D1693" s="40" t="n">
        <f aca="false">MAX(D1692,C1693)</f>
        <v>27863258.68</v>
      </c>
      <c r="E1693" s="41" t="n">
        <f aca="false">C1693/D1693-1</f>
        <v>-0.416508387740382</v>
      </c>
      <c r="F1693" s="42" t="n">
        <f aca="false">YEAR(A1693)</f>
        <v>2020</v>
      </c>
    </row>
    <row r="1694" customFormat="false" ht="15" hidden="false" customHeight="false" outlineLevel="0" collapsed="false">
      <c r="A1694" s="38" t="n">
        <v>43896</v>
      </c>
      <c r="B1694" s="39" t="n">
        <v>1252.5</v>
      </c>
      <c r="C1694" s="40" t="n">
        <v>16057817.73</v>
      </c>
      <c r="D1694" s="40" t="n">
        <f aca="false">MAX(D1693,C1694)</f>
        <v>27863258.68</v>
      </c>
      <c r="E1694" s="41" t="n">
        <f aca="false">C1694/D1694-1</f>
        <v>-0.423692041393344</v>
      </c>
      <c r="F1694" s="42" t="n">
        <f aca="false">YEAR(A1694)</f>
        <v>2020</v>
      </c>
    </row>
    <row r="1695" customFormat="false" ht="15" hidden="false" customHeight="false" outlineLevel="0" collapsed="false">
      <c r="A1695" s="38" t="n">
        <v>43899</v>
      </c>
      <c r="B1695" s="39" t="n">
        <v>1248</v>
      </c>
      <c r="C1695" s="40" t="n">
        <v>15832637.73</v>
      </c>
      <c r="D1695" s="40" t="n">
        <f aca="false">MAX(D1694,C1695)</f>
        <v>27863258.68</v>
      </c>
      <c r="E1695" s="41" t="n">
        <f aca="false">C1695/D1695-1</f>
        <v>-0.431773651752926</v>
      </c>
      <c r="F1695" s="42" t="n">
        <f aca="false">YEAR(A1695)</f>
        <v>2020</v>
      </c>
    </row>
    <row r="1696" customFormat="false" ht="15" hidden="false" customHeight="false" outlineLevel="0" collapsed="false">
      <c r="A1696" s="38" t="n">
        <v>43900</v>
      </c>
      <c r="B1696" s="39" t="n">
        <v>1254</v>
      </c>
      <c r="C1696" s="40" t="n">
        <v>16132877.73</v>
      </c>
      <c r="D1696" s="40" t="n">
        <f aca="false">MAX(D1695,C1696)</f>
        <v>27863258.68</v>
      </c>
      <c r="E1696" s="41" t="n">
        <f aca="false">C1696/D1696-1</f>
        <v>-0.420998171273483</v>
      </c>
      <c r="F1696" s="42" t="n">
        <f aca="false">YEAR(A1696)</f>
        <v>2020</v>
      </c>
    </row>
    <row r="1697" customFormat="false" ht="15" hidden="false" customHeight="false" outlineLevel="0" collapsed="false">
      <c r="A1697" s="38" t="n">
        <v>43901</v>
      </c>
      <c r="B1697" s="39" t="n">
        <v>1253</v>
      </c>
      <c r="C1697" s="40" t="n">
        <v>16082837.73</v>
      </c>
      <c r="D1697" s="40" t="n">
        <f aca="false">MAX(D1696,C1697)</f>
        <v>27863258.68</v>
      </c>
      <c r="E1697" s="41" t="n">
        <f aca="false">C1697/D1697-1</f>
        <v>-0.422794084686723</v>
      </c>
      <c r="F1697" s="42" t="n">
        <f aca="false">YEAR(A1697)</f>
        <v>2020</v>
      </c>
    </row>
    <row r="1698" customFormat="false" ht="15" hidden="false" customHeight="false" outlineLevel="0" collapsed="false">
      <c r="A1698" s="38" t="n">
        <v>43902</v>
      </c>
      <c r="B1698" s="39" t="n">
        <v>1266</v>
      </c>
      <c r="C1698" s="40" t="n">
        <v>16733357.73</v>
      </c>
      <c r="D1698" s="40" t="n">
        <f aca="false">MAX(D1697,C1698)</f>
        <v>27863258.68</v>
      </c>
      <c r="E1698" s="41" t="n">
        <f aca="false">C1698/D1698-1</f>
        <v>-0.399447210314598</v>
      </c>
      <c r="F1698" s="42" t="n">
        <f aca="false">YEAR(A1698)</f>
        <v>2020</v>
      </c>
    </row>
    <row r="1699" customFormat="false" ht="15" hidden="false" customHeight="false" outlineLevel="0" collapsed="false">
      <c r="A1699" s="38" t="n">
        <v>43903</v>
      </c>
      <c r="B1699" s="39" t="n">
        <v>1283.5</v>
      </c>
      <c r="C1699" s="40" t="n">
        <v>17609057.73</v>
      </c>
      <c r="D1699" s="40" t="n">
        <f aca="false">MAX(D1698,C1699)</f>
        <v>27863258.68</v>
      </c>
      <c r="E1699" s="41" t="n">
        <f aca="false">C1699/D1699-1</f>
        <v>-0.36801872558289</v>
      </c>
      <c r="F1699" s="42" t="n">
        <f aca="false">YEAR(A1699)</f>
        <v>2020</v>
      </c>
    </row>
    <row r="1700" customFormat="false" ht="15" hidden="false" customHeight="false" outlineLevel="0" collapsed="false">
      <c r="A1700" s="38" t="n">
        <v>43906</v>
      </c>
      <c r="B1700" s="39" t="n">
        <v>1268.5</v>
      </c>
      <c r="C1700" s="40" t="n">
        <v>16858457.73</v>
      </c>
      <c r="D1700" s="40" t="n">
        <f aca="false">MAX(D1699,C1700)</f>
        <v>27863258.68</v>
      </c>
      <c r="E1700" s="41" t="n">
        <f aca="false">C1700/D1700-1</f>
        <v>-0.394957426781497</v>
      </c>
      <c r="F1700" s="42" t="n">
        <f aca="false">YEAR(A1700)</f>
        <v>2020</v>
      </c>
    </row>
    <row r="1701" customFormat="false" ht="15" hidden="false" customHeight="false" outlineLevel="0" collapsed="false">
      <c r="A1701" s="38" t="n">
        <v>43907</v>
      </c>
      <c r="B1701" s="39" t="n">
        <v>1274</v>
      </c>
      <c r="C1701" s="40" t="n">
        <v>17133677.73</v>
      </c>
      <c r="D1701" s="40" t="n">
        <f aca="false">MAX(D1700,C1701)</f>
        <v>27863258.68</v>
      </c>
      <c r="E1701" s="41" t="n">
        <f aca="false">C1701/D1701-1</f>
        <v>-0.385079903008674</v>
      </c>
      <c r="F1701" s="42" t="n">
        <f aca="false">YEAR(A1701)</f>
        <v>2020</v>
      </c>
    </row>
    <row r="1702" customFormat="false" ht="15" hidden="false" customHeight="false" outlineLevel="0" collapsed="false">
      <c r="A1702" s="38" t="n">
        <v>43908</v>
      </c>
      <c r="B1702" s="39" t="n">
        <v>1263.5</v>
      </c>
      <c r="C1702" s="40" t="n">
        <v>16608257.73</v>
      </c>
      <c r="D1702" s="40" t="n">
        <f aca="false">MAX(D1701,C1702)</f>
        <v>27863258.68</v>
      </c>
      <c r="E1702" s="41" t="n">
        <f aca="false">C1702/D1702-1</f>
        <v>-0.403936993847699</v>
      </c>
      <c r="F1702" s="42" t="n">
        <f aca="false">YEAR(A1702)</f>
        <v>2020</v>
      </c>
    </row>
    <row r="1703" customFormat="false" ht="15" hidden="false" customHeight="false" outlineLevel="0" collapsed="false">
      <c r="A1703" s="38" t="n">
        <v>43909</v>
      </c>
      <c r="B1703" s="39" t="n">
        <v>1264</v>
      </c>
      <c r="C1703" s="40" t="n">
        <v>16633277.73</v>
      </c>
      <c r="D1703" s="40" t="n">
        <f aca="false">MAX(D1702,C1703)</f>
        <v>27863258.68</v>
      </c>
      <c r="E1703" s="41" t="n">
        <f aca="false">C1703/D1703-1</f>
        <v>-0.403039037141079</v>
      </c>
      <c r="F1703" s="42" t="n">
        <f aca="false">YEAR(A1703)</f>
        <v>2020</v>
      </c>
    </row>
    <row r="1704" customFormat="false" ht="15" hidden="false" customHeight="false" outlineLevel="0" collapsed="false">
      <c r="A1704" s="38" t="n">
        <v>43910</v>
      </c>
      <c r="B1704" s="39" t="n">
        <v>1238</v>
      </c>
      <c r="C1704" s="40" t="n">
        <v>15332237.73</v>
      </c>
      <c r="D1704" s="40" t="n">
        <f aca="false">MAX(D1703,C1704)</f>
        <v>27863258.68</v>
      </c>
      <c r="E1704" s="41" t="n">
        <f aca="false">C1704/D1704-1</f>
        <v>-0.44973278588533</v>
      </c>
      <c r="F1704" s="42" t="n">
        <f aca="false">YEAR(A1704)</f>
        <v>2020</v>
      </c>
    </row>
    <row r="1705" customFormat="false" ht="15" hidden="false" customHeight="false" outlineLevel="0" collapsed="false">
      <c r="A1705" s="38" t="n">
        <v>43913</v>
      </c>
      <c r="B1705" s="39" t="n">
        <v>1223</v>
      </c>
      <c r="C1705" s="40" t="n">
        <v>14581637.73</v>
      </c>
      <c r="D1705" s="40" t="n">
        <f aca="false">MAX(D1704,C1705)</f>
        <v>27863258.68</v>
      </c>
      <c r="E1705" s="41" t="n">
        <f aca="false">C1705/D1705-1</f>
        <v>-0.476671487083937</v>
      </c>
      <c r="F1705" s="42" t="n">
        <f aca="false">YEAR(A1705)</f>
        <v>2020</v>
      </c>
    </row>
    <row r="1706" customFormat="false" ht="15" hidden="false" customHeight="false" outlineLevel="0" collapsed="false">
      <c r="A1706" s="38" t="n">
        <v>43914</v>
      </c>
      <c r="B1706" s="39" t="n">
        <v>1251</v>
      </c>
      <c r="C1706" s="40" t="n">
        <v>15982757.73</v>
      </c>
      <c r="D1706" s="40" t="n">
        <f aca="false">MAX(D1705,C1706)</f>
        <v>27863258.68</v>
      </c>
      <c r="E1706" s="41" t="n">
        <f aca="false">C1706/D1706-1</f>
        <v>-0.426385911513204</v>
      </c>
      <c r="F1706" s="42" t="n">
        <f aca="false">YEAR(A1706)</f>
        <v>2020</v>
      </c>
    </row>
    <row r="1707" customFormat="false" ht="15" hidden="false" customHeight="false" outlineLevel="0" collapsed="false">
      <c r="A1707" s="38" t="n">
        <v>43915</v>
      </c>
      <c r="B1707" s="39" t="n">
        <v>1243</v>
      </c>
      <c r="C1707" s="40" t="n">
        <v>15582437.73</v>
      </c>
      <c r="D1707" s="40" t="n">
        <f aca="false">MAX(D1706,C1707)</f>
        <v>27863258.68</v>
      </c>
      <c r="E1707" s="41" t="n">
        <f aca="false">C1707/D1707-1</f>
        <v>-0.440753218819128</v>
      </c>
      <c r="F1707" s="42" t="n">
        <f aca="false">YEAR(A1707)</f>
        <v>2020</v>
      </c>
    </row>
    <row r="1708" customFormat="false" ht="15" hidden="false" customHeight="false" outlineLevel="0" collapsed="false">
      <c r="A1708" s="38" t="n">
        <v>43916</v>
      </c>
      <c r="B1708" s="39" t="n">
        <v>1228</v>
      </c>
      <c r="C1708" s="40" t="n">
        <v>14831837.73</v>
      </c>
      <c r="D1708" s="40" t="n">
        <f aca="false">MAX(D1707,C1708)</f>
        <v>27863258.68</v>
      </c>
      <c r="E1708" s="41" t="n">
        <f aca="false">C1708/D1708-1</f>
        <v>-0.467691920017734</v>
      </c>
      <c r="F1708" s="42" t="n">
        <f aca="false">YEAR(A1708)</f>
        <v>2020</v>
      </c>
    </row>
    <row r="1709" customFormat="false" ht="15" hidden="false" customHeight="false" outlineLevel="0" collapsed="false">
      <c r="A1709" s="38" t="n">
        <v>43917</v>
      </c>
      <c r="B1709" s="39" t="n">
        <v>1226.5</v>
      </c>
      <c r="C1709" s="40" t="n">
        <v>14756777.73</v>
      </c>
      <c r="D1709" s="40" t="n">
        <f aca="false">MAX(D1708,C1709)</f>
        <v>27863258.68</v>
      </c>
      <c r="E1709" s="41" t="n">
        <f aca="false">C1709/D1709-1</f>
        <v>-0.470385790137595</v>
      </c>
      <c r="F1709" s="42" t="n">
        <f aca="false">YEAR(A1709)</f>
        <v>2020</v>
      </c>
    </row>
    <row r="1710" customFormat="false" ht="15" hidden="false" customHeight="false" outlineLevel="0" collapsed="false">
      <c r="A1710" s="38" t="n">
        <v>43920</v>
      </c>
      <c r="B1710" s="39" t="n">
        <v>1200.5</v>
      </c>
      <c r="C1710" s="40" t="n">
        <v>14600527</v>
      </c>
      <c r="D1710" s="40" t="n">
        <f aca="false">MAX(D1709,C1710)</f>
        <v>27863258.68</v>
      </c>
      <c r="E1710" s="41" t="n">
        <f aca="false">C1710/D1710-1</f>
        <v>-0.47599355955877</v>
      </c>
      <c r="F1710" s="42" t="n">
        <f aca="false">YEAR(A1710)</f>
        <v>2020</v>
      </c>
    </row>
    <row r="1711" customFormat="false" ht="15" hidden="false" customHeight="false" outlineLevel="0" collapsed="false">
      <c r="A1711" s="38" t="n">
        <v>43921</v>
      </c>
      <c r="B1711" s="39" t="n">
        <v>1207.5</v>
      </c>
      <c r="C1711" s="40" t="n">
        <v>14600527</v>
      </c>
      <c r="D1711" s="40" t="n">
        <f aca="false">MAX(D1710,C1711)</f>
        <v>27863258.68</v>
      </c>
      <c r="E1711" s="41" t="n">
        <f aca="false">C1711/D1711-1</f>
        <v>-0.47599355955877</v>
      </c>
      <c r="F1711" s="42" t="n">
        <f aca="false">YEAR(A1711)</f>
        <v>2020</v>
      </c>
    </row>
    <row r="1712" customFormat="false" ht="15" hidden="false" customHeight="false" outlineLevel="0" collapsed="false">
      <c r="A1712" s="38" t="n">
        <v>43922</v>
      </c>
      <c r="B1712" s="39" t="n">
        <v>1169.5</v>
      </c>
      <c r="C1712" s="40" t="n">
        <v>14600527</v>
      </c>
      <c r="D1712" s="40" t="n">
        <f aca="false">MAX(D1711,C1712)</f>
        <v>27863258.68</v>
      </c>
      <c r="E1712" s="41" t="n">
        <f aca="false">C1712/D1712-1</f>
        <v>-0.47599355955877</v>
      </c>
      <c r="F1712" s="42" t="n">
        <f aca="false">YEAR(A1712)</f>
        <v>2020</v>
      </c>
    </row>
    <row r="1713" customFormat="false" ht="15" hidden="false" customHeight="false" outlineLevel="0" collapsed="false">
      <c r="A1713" s="38" t="n">
        <v>43923</v>
      </c>
      <c r="B1713" s="39" t="n">
        <v>1173.5</v>
      </c>
      <c r="C1713" s="40" t="n">
        <v>14600527</v>
      </c>
      <c r="D1713" s="40" t="n">
        <f aca="false">MAX(D1712,C1713)</f>
        <v>27863258.68</v>
      </c>
      <c r="E1713" s="41" t="n">
        <f aca="false">C1713/D1713-1</f>
        <v>-0.47599355955877</v>
      </c>
      <c r="F1713" s="42" t="n">
        <f aca="false">YEAR(A1713)</f>
        <v>2020</v>
      </c>
    </row>
    <row r="1714" customFormat="false" ht="15" hidden="false" customHeight="false" outlineLevel="0" collapsed="false">
      <c r="A1714" s="38" t="n">
        <v>43924</v>
      </c>
      <c r="B1714" s="39" t="n">
        <v>1133</v>
      </c>
      <c r="C1714" s="40" t="n">
        <v>14600527</v>
      </c>
      <c r="D1714" s="40" t="n">
        <f aca="false">MAX(D1713,C1714)</f>
        <v>27863258.68</v>
      </c>
      <c r="E1714" s="41" t="n">
        <f aca="false">C1714/D1714-1</f>
        <v>-0.47599355955877</v>
      </c>
      <c r="F1714" s="42" t="n">
        <f aca="false">YEAR(A1714)</f>
        <v>2020</v>
      </c>
    </row>
    <row r="1715" customFormat="false" ht="15" hidden="false" customHeight="false" outlineLevel="0" collapsed="false">
      <c r="A1715" s="38" t="n">
        <v>43928</v>
      </c>
      <c r="B1715" s="39" t="n">
        <v>1128.5</v>
      </c>
      <c r="C1715" s="40" t="n">
        <v>14600527</v>
      </c>
      <c r="D1715" s="40" t="n">
        <f aca="false">MAX(D1714,C1715)</f>
        <v>27863258.68</v>
      </c>
      <c r="E1715" s="41" t="n">
        <f aca="false">C1715/D1715-1</f>
        <v>-0.47599355955877</v>
      </c>
      <c r="F1715" s="42" t="n">
        <f aca="false">YEAR(A1715)</f>
        <v>2020</v>
      </c>
    </row>
    <row r="1716" customFormat="false" ht="15" hidden="false" customHeight="false" outlineLevel="0" collapsed="false">
      <c r="A1716" s="38" t="n">
        <v>43929</v>
      </c>
      <c r="B1716" s="39" t="n">
        <v>1131</v>
      </c>
      <c r="C1716" s="40" t="n">
        <v>14600527</v>
      </c>
      <c r="D1716" s="40" t="n">
        <f aca="false">MAX(D1715,C1716)</f>
        <v>27863258.68</v>
      </c>
      <c r="E1716" s="41" t="n">
        <f aca="false">C1716/D1716-1</f>
        <v>-0.47599355955877</v>
      </c>
      <c r="F1716" s="42" t="n">
        <f aca="false">YEAR(A1716)</f>
        <v>2020</v>
      </c>
    </row>
    <row r="1717" customFormat="false" ht="15" hidden="false" customHeight="false" outlineLevel="0" collapsed="false">
      <c r="A1717" s="38" t="n">
        <v>43930</v>
      </c>
      <c r="B1717" s="39" t="n">
        <v>1132</v>
      </c>
      <c r="C1717" s="40" t="n">
        <v>14600527</v>
      </c>
      <c r="D1717" s="40" t="n">
        <f aca="false">MAX(D1716,C1717)</f>
        <v>27863258.68</v>
      </c>
      <c r="E1717" s="41" t="n">
        <f aca="false">C1717/D1717-1</f>
        <v>-0.47599355955877</v>
      </c>
      <c r="F1717" s="42" t="n">
        <f aca="false">YEAR(A1717)</f>
        <v>2020</v>
      </c>
    </row>
    <row r="1718" customFormat="false" ht="15" hidden="false" customHeight="false" outlineLevel="0" collapsed="false">
      <c r="A1718" s="38" t="n">
        <v>43931</v>
      </c>
      <c r="B1718" s="39" t="n">
        <v>1155.5</v>
      </c>
      <c r="C1718" s="40" t="n">
        <v>14600527</v>
      </c>
      <c r="D1718" s="40" t="n">
        <f aca="false">MAX(D1717,C1718)</f>
        <v>27863258.68</v>
      </c>
      <c r="E1718" s="41" t="n">
        <f aca="false">C1718/D1718-1</f>
        <v>-0.47599355955877</v>
      </c>
      <c r="F1718" s="42" t="n">
        <f aca="false">YEAR(A1718)</f>
        <v>2020</v>
      </c>
    </row>
    <row r="1719" customFormat="false" ht="15" hidden="false" customHeight="false" outlineLevel="0" collapsed="false">
      <c r="A1719" s="38" t="n">
        <v>43934</v>
      </c>
      <c r="B1719" s="39" t="n">
        <v>1153</v>
      </c>
      <c r="C1719" s="40" t="n">
        <v>14600527</v>
      </c>
      <c r="D1719" s="40" t="n">
        <f aca="false">MAX(D1718,C1719)</f>
        <v>27863258.68</v>
      </c>
      <c r="E1719" s="41" t="n">
        <f aca="false">C1719/D1719-1</f>
        <v>-0.47599355955877</v>
      </c>
      <c r="F1719" s="42" t="n">
        <f aca="false">YEAR(A1719)</f>
        <v>2020</v>
      </c>
    </row>
    <row r="1720" customFormat="false" ht="15" hidden="false" customHeight="false" outlineLevel="0" collapsed="false">
      <c r="A1720" s="38" t="n">
        <v>43935</v>
      </c>
      <c r="B1720" s="39" t="n">
        <v>1152</v>
      </c>
      <c r="C1720" s="40" t="n">
        <v>14600527</v>
      </c>
      <c r="D1720" s="40" t="n">
        <f aca="false">MAX(D1719,C1720)</f>
        <v>27863258.68</v>
      </c>
      <c r="E1720" s="41" t="n">
        <f aca="false">C1720/D1720-1</f>
        <v>-0.47599355955877</v>
      </c>
      <c r="F1720" s="42" t="n">
        <f aca="false">YEAR(A1720)</f>
        <v>2020</v>
      </c>
    </row>
    <row r="1721" customFormat="false" ht="15" hidden="false" customHeight="false" outlineLevel="0" collapsed="false">
      <c r="A1721" s="38" t="n">
        <v>43936</v>
      </c>
      <c r="B1721" s="39" t="n">
        <v>1145</v>
      </c>
      <c r="C1721" s="40" t="n">
        <v>14600527</v>
      </c>
      <c r="D1721" s="40" t="n">
        <f aca="false">MAX(D1720,C1721)</f>
        <v>27863258.68</v>
      </c>
      <c r="E1721" s="41" t="n">
        <f aca="false">C1721/D1721-1</f>
        <v>-0.47599355955877</v>
      </c>
      <c r="F1721" s="42" t="n">
        <f aca="false">YEAR(A1721)</f>
        <v>2020</v>
      </c>
    </row>
    <row r="1722" customFormat="false" ht="15" hidden="false" customHeight="false" outlineLevel="0" collapsed="false">
      <c r="A1722" s="38" t="n">
        <v>43937</v>
      </c>
      <c r="B1722" s="39" t="n">
        <v>1156</v>
      </c>
      <c r="C1722" s="40" t="n">
        <v>14600527</v>
      </c>
      <c r="D1722" s="40" t="n">
        <f aca="false">MAX(D1721,C1722)</f>
        <v>27863258.68</v>
      </c>
      <c r="E1722" s="41" t="n">
        <f aca="false">C1722/D1722-1</f>
        <v>-0.47599355955877</v>
      </c>
      <c r="F1722" s="42" t="n">
        <f aca="false">YEAR(A1722)</f>
        <v>2020</v>
      </c>
    </row>
    <row r="1723" customFormat="false" ht="15" hidden="false" customHeight="false" outlineLevel="0" collapsed="false">
      <c r="A1723" s="38" t="n">
        <v>43938</v>
      </c>
      <c r="B1723" s="39" t="n">
        <v>1154.5</v>
      </c>
      <c r="C1723" s="40" t="n">
        <v>14600527</v>
      </c>
      <c r="D1723" s="40" t="n">
        <f aca="false">MAX(D1722,C1723)</f>
        <v>27863258.68</v>
      </c>
      <c r="E1723" s="41" t="n">
        <f aca="false">C1723/D1723-1</f>
        <v>-0.47599355955877</v>
      </c>
      <c r="F1723" s="42" t="n">
        <f aca="false">YEAR(A1723)</f>
        <v>2020</v>
      </c>
    </row>
    <row r="1724" customFormat="false" ht="15" hidden="false" customHeight="false" outlineLevel="0" collapsed="false">
      <c r="A1724" s="38" t="n">
        <v>43941</v>
      </c>
      <c r="B1724" s="39" t="n">
        <v>1145.5</v>
      </c>
      <c r="C1724" s="40" t="n">
        <v>14600527</v>
      </c>
      <c r="D1724" s="40" t="n">
        <f aca="false">MAX(D1723,C1724)</f>
        <v>27863258.68</v>
      </c>
      <c r="E1724" s="41" t="n">
        <f aca="false">C1724/D1724-1</f>
        <v>-0.47599355955877</v>
      </c>
      <c r="F1724" s="42" t="n">
        <f aca="false">YEAR(A1724)</f>
        <v>2020</v>
      </c>
    </row>
    <row r="1725" customFormat="false" ht="15" hidden="false" customHeight="false" outlineLevel="0" collapsed="false">
      <c r="A1725" s="38" t="n">
        <v>43942</v>
      </c>
      <c r="B1725" s="39" t="n">
        <v>1120</v>
      </c>
      <c r="C1725" s="40" t="n">
        <v>14600527</v>
      </c>
      <c r="D1725" s="40" t="n">
        <f aca="false">MAX(D1724,C1725)</f>
        <v>27863258.68</v>
      </c>
      <c r="E1725" s="41" t="n">
        <f aca="false">C1725/D1725-1</f>
        <v>-0.47599355955877</v>
      </c>
      <c r="F1725" s="42" t="n">
        <f aca="false">YEAR(A1725)</f>
        <v>2020</v>
      </c>
    </row>
    <row r="1726" customFormat="false" ht="15" hidden="false" customHeight="false" outlineLevel="0" collapsed="false">
      <c r="A1726" s="38" t="n">
        <v>43943</v>
      </c>
      <c r="B1726" s="39" t="n">
        <v>1126</v>
      </c>
      <c r="C1726" s="40" t="n">
        <v>13967229.42</v>
      </c>
      <c r="D1726" s="40" t="n">
        <f aca="false">MAX(D1725,C1726)</f>
        <v>27863258.68</v>
      </c>
      <c r="E1726" s="41" t="n">
        <f aca="false">C1726/D1726-1</f>
        <v>-0.498722328913181</v>
      </c>
      <c r="F1726" s="42" t="n">
        <f aca="false">YEAR(A1726)</f>
        <v>2020</v>
      </c>
    </row>
    <row r="1727" customFormat="false" ht="15" hidden="false" customHeight="false" outlineLevel="0" collapsed="false">
      <c r="A1727" s="38" t="n">
        <v>43944</v>
      </c>
      <c r="B1727" s="39" t="n">
        <v>1108</v>
      </c>
      <c r="C1727" s="40" t="n">
        <v>14948949.42</v>
      </c>
      <c r="D1727" s="40" t="n">
        <f aca="false">MAX(D1726,C1727)</f>
        <v>27863258.68</v>
      </c>
      <c r="E1727" s="41" t="n">
        <f aca="false">C1727/D1727-1</f>
        <v>-0.463488833388672</v>
      </c>
      <c r="F1727" s="42" t="n">
        <f aca="false">YEAR(A1727)</f>
        <v>2020</v>
      </c>
    </row>
    <row r="1728" customFormat="false" ht="15" hidden="false" customHeight="false" outlineLevel="0" collapsed="false">
      <c r="A1728" s="38" t="n">
        <v>43945</v>
      </c>
      <c r="B1728" s="39" t="n">
        <v>1099.5</v>
      </c>
      <c r="C1728" s="40" t="n">
        <v>15412539.42</v>
      </c>
      <c r="D1728" s="40" t="n">
        <f aca="false">MAX(D1727,C1728)</f>
        <v>27863258.68</v>
      </c>
      <c r="E1728" s="41" t="n">
        <f aca="false">C1728/D1728-1</f>
        <v>-0.446850793835432</v>
      </c>
      <c r="F1728" s="42" t="n">
        <f aca="false">YEAR(A1728)</f>
        <v>2020</v>
      </c>
    </row>
    <row r="1729" customFormat="false" ht="15" hidden="false" customHeight="false" outlineLevel="0" collapsed="false">
      <c r="A1729" s="38" t="n">
        <v>43948</v>
      </c>
      <c r="B1729" s="39" t="n">
        <v>1082</v>
      </c>
      <c r="C1729" s="40" t="n">
        <v>16366989.42</v>
      </c>
      <c r="D1729" s="40" t="n">
        <f aca="false">MAX(D1728,C1729)</f>
        <v>27863258.68</v>
      </c>
      <c r="E1729" s="41" t="n">
        <f aca="false">C1729/D1729-1</f>
        <v>-0.412596006519938</v>
      </c>
      <c r="F1729" s="42" t="n">
        <f aca="false">YEAR(A1729)</f>
        <v>2020</v>
      </c>
    </row>
    <row r="1730" customFormat="false" ht="15" hidden="false" customHeight="false" outlineLevel="0" collapsed="false">
      <c r="A1730" s="38" t="n">
        <v>43949</v>
      </c>
      <c r="B1730" s="39" t="n">
        <v>1041</v>
      </c>
      <c r="C1730" s="40" t="n">
        <v>18603129.42</v>
      </c>
      <c r="D1730" s="40" t="n">
        <f aca="false">MAX(D1729,C1730)</f>
        <v>27863258.68</v>
      </c>
      <c r="E1730" s="41" t="n">
        <f aca="false">C1730/D1730-1</f>
        <v>-0.33234193338078</v>
      </c>
      <c r="F1730" s="42" t="n">
        <f aca="false">YEAR(A1730)</f>
        <v>2020</v>
      </c>
    </row>
    <row r="1731" customFormat="false" ht="15" hidden="false" customHeight="false" outlineLevel="0" collapsed="false">
      <c r="A1731" s="38" t="n">
        <v>43950</v>
      </c>
      <c r="B1731" s="39" t="n">
        <v>1044.5</v>
      </c>
      <c r="C1731" s="40" t="n">
        <v>18412239.42</v>
      </c>
      <c r="D1731" s="40" t="n">
        <f aca="false">MAX(D1730,C1731)</f>
        <v>27863258.68</v>
      </c>
      <c r="E1731" s="41" t="n">
        <f aca="false">C1731/D1731-1</f>
        <v>-0.339192890843879</v>
      </c>
      <c r="F1731" s="42" t="n">
        <f aca="false">YEAR(A1731)</f>
        <v>2020</v>
      </c>
    </row>
    <row r="1732" customFormat="false" ht="15" hidden="false" customHeight="false" outlineLevel="0" collapsed="false">
      <c r="A1732" s="38" t="n">
        <v>43951</v>
      </c>
      <c r="B1732" s="39" t="n">
        <v>1072</v>
      </c>
      <c r="C1732" s="40" t="n">
        <v>16912389.42</v>
      </c>
      <c r="D1732" s="40" t="n">
        <f aca="false">MAX(D1731,C1732)</f>
        <v>27863258.68</v>
      </c>
      <c r="E1732" s="41" t="n">
        <f aca="false">C1732/D1732-1</f>
        <v>-0.393021842339656</v>
      </c>
      <c r="F1732" s="42" t="n">
        <f aca="false">YEAR(A1732)</f>
        <v>2020</v>
      </c>
    </row>
    <row r="1733" customFormat="false" ht="15" hidden="false" customHeight="false" outlineLevel="0" collapsed="false">
      <c r="A1733" s="38" t="n">
        <v>43957</v>
      </c>
      <c r="B1733" s="39" t="n">
        <v>1083</v>
      </c>
      <c r="C1733" s="40" t="n">
        <v>16312449.42</v>
      </c>
      <c r="D1733" s="40" t="n">
        <f aca="false">MAX(D1732,C1733)</f>
        <v>27863258.68</v>
      </c>
      <c r="E1733" s="41" t="n">
        <f aca="false">C1733/D1733-1</f>
        <v>-0.414553422937966</v>
      </c>
      <c r="F1733" s="42" t="n">
        <f aca="false">YEAR(A1733)</f>
        <v>2020</v>
      </c>
    </row>
    <row r="1734" customFormat="false" ht="15" hidden="false" customHeight="false" outlineLevel="0" collapsed="false">
      <c r="A1734" s="38" t="n">
        <v>43958</v>
      </c>
      <c r="B1734" s="39" t="n">
        <v>1090.5</v>
      </c>
      <c r="C1734" s="40" t="n">
        <v>15903399.42</v>
      </c>
      <c r="D1734" s="40" t="n">
        <f aca="false">MAX(D1733,C1734)</f>
        <v>27863258.68</v>
      </c>
      <c r="E1734" s="41" t="n">
        <f aca="false">C1734/D1734-1</f>
        <v>-0.429234046073178</v>
      </c>
      <c r="F1734" s="42" t="n">
        <f aca="false">YEAR(A1734)</f>
        <v>2020</v>
      </c>
    </row>
    <row r="1735" customFormat="false" ht="15" hidden="false" customHeight="false" outlineLevel="0" collapsed="false">
      <c r="A1735" s="38" t="n">
        <v>43959</v>
      </c>
      <c r="B1735" s="39" t="n">
        <v>1091.5</v>
      </c>
      <c r="C1735" s="40" t="n">
        <v>15848859.42</v>
      </c>
      <c r="D1735" s="40" t="n">
        <f aca="false">MAX(D1734,C1735)</f>
        <v>27863258.68</v>
      </c>
      <c r="E1735" s="41" t="n">
        <f aca="false">C1735/D1735-1</f>
        <v>-0.431191462491206</v>
      </c>
      <c r="F1735" s="42" t="n">
        <f aca="false">YEAR(A1735)</f>
        <v>2020</v>
      </c>
    </row>
    <row r="1736" customFormat="false" ht="15" hidden="false" customHeight="false" outlineLevel="0" collapsed="false">
      <c r="A1736" s="38" t="n">
        <v>43962</v>
      </c>
      <c r="B1736" s="39" t="n">
        <v>1082.5</v>
      </c>
      <c r="C1736" s="40" t="n">
        <v>16339719.42</v>
      </c>
      <c r="D1736" s="40" t="n">
        <f aca="false">MAX(D1735,C1736)</f>
        <v>27863258.68</v>
      </c>
      <c r="E1736" s="41" t="n">
        <f aca="false">C1736/D1736-1</f>
        <v>-0.413574714728952</v>
      </c>
      <c r="F1736" s="42" t="n">
        <f aca="false">YEAR(A1736)</f>
        <v>2020</v>
      </c>
    </row>
    <row r="1737" customFormat="false" ht="15" hidden="false" customHeight="false" outlineLevel="0" collapsed="false">
      <c r="A1737" s="38" t="n">
        <v>43963</v>
      </c>
      <c r="B1737" s="39" t="n">
        <v>1114</v>
      </c>
      <c r="C1737" s="40" t="n">
        <v>14621709.42</v>
      </c>
      <c r="D1737" s="40" t="n">
        <f aca="false">MAX(D1736,C1737)</f>
        <v>27863258.68</v>
      </c>
      <c r="E1737" s="41" t="n">
        <f aca="false">C1737/D1737-1</f>
        <v>-0.475233331896842</v>
      </c>
      <c r="F1737" s="42" t="n">
        <f aca="false">YEAR(A1737)</f>
        <v>2020</v>
      </c>
    </row>
    <row r="1738" customFormat="false" ht="15" hidden="false" customHeight="false" outlineLevel="0" collapsed="false">
      <c r="A1738" s="38" t="n">
        <v>43964</v>
      </c>
      <c r="B1738" s="39" t="n">
        <v>1112.5</v>
      </c>
      <c r="C1738" s="40" t="n">
        <v>14703519.42</v>
      </c>
      <c r="D1738" s="40" t="n">
        <f aca="false">MAX(D1737,C1738)</f>
        <v>27863258.68</v>
      </c>
      <c r="E1738" s="41" t="n">
        <f aca="false">C1738/D1738-1</f>
        <v>-0.4722972072698</v>
      </c>
      <c r="F1738" s="42" t="n">
        <f aca="false">YEAR(A1738)</f>
        <v>2020</v>
      </c>
    </row>
    <row r="1739" customFormat="false" ht="15" hidden="false" customHeight="false" outlineLevel="0" collapsed="false">
      <c r="A1739" s="38" t="n">
        <v>43965</v>
      </c>
      <c r="B1739" s="39" t="n">
        <v>1126.5</v>
      </c>
      <c r="C1739" s="40" t="n">
        <v>13939959.42</v>
      </c>
      <c r="D1739" s="40" t="n">
        <f aca="false">MAX(D1738,C1739)</f>
        <v>27863258.68</v>
      </c>
      <c r="E1739" s="41" t="n">
        <f aca="false">C1739/D1739-1</f>
        <v>-0.499701037122195</v>
      </c>
      <c r="F1739" s="42" t="n">
        <f aca="false">YEAR(A1739)</f>
        <v>2020</v>
      </c>
    </row>
    <row r="1740" customFormat="false" ht="15" hidden="false" customHeight="false" outlineLevel="0" collapsed="false">
      <c r="A1740" s="38" t="n">
        <v>43966</v>
      </c>
      <c r="B1740" s="39" t="n">
        <v>1124.5</v>
      </c>
      <c r="C1740" s="40" t="n">
        <v>14151988.22</v>
      </c>
      <c r="D1740" s="40" t="n">
        <f aca="false">MAX(D1739,C1740)</f>
        <v>27863258.68</v>
      </c>
      <c r="E1740" s="41" t="n">
        <f aca="false">C1740/D1740-1</f>
        <v>-0.492091417499628</v>
      </c>
      <c r="F1740" s="42" t="n">
        <f aca="false">YEAR(A1740)</f>
        <v>2020</v>
      </c>
    </row>
    <row r="1741" customFormat="false" ht="15" hidden="false" customHeight="false" outlineLevel="0" collapsed="false">
      <c r="A1741" s="38" t="n">
        <v>43969</v>
      </c>
      <c r="B1741" s="39" t="n">
        <v>1139.5</v>
      </c>
      <c r="C1741" s="40" t="n">
        <v>14151988.22</v>
      </c>
      <c r="D1741" s="40" t="n">
        <f aca="false">MAX(D1740,C1741)</f>
        <v>27863258.68</v>
      </c>
      <c r="E1741" s="41" t="n">
        <f aca="false">C1741/D1741-1</f>
        <v>-0.492091417499628</v>
      </c>
      <c r="F1741" s="42" t="n">
        <f aca="false">YEAR(A1741)</f>
        <v>2020</v>
      </c>
    </row>
    <row r="1742" customFormat="false" ht="15" hidden="false" customHeight="false" outlineLevel="0" collapsed="false">
      <c r="A1742" s="38" t="n">
        <v>43970</v>
      </c>
      <c r="B1742" s="39" t="n">
        <v>1170</v>
      </c>
      <c r="C1742" s="40" t="n">
        <v>14151988.22</v>
      </c>
      <c r="D1742" s="40" t="n">
        <f aca="false">MAX(D1741,C1742)</f>
        <v>27863258.68</v>
      </c>
      <c r="E1742" s="41" t="n">
        <f aca="false">C1742/D1742-1</f>
        <v>-0.492091417499628</v>
      </c>
      <c r="F1742" s="42" t="n">
        <f aca="false">YEAR(A1742)</f>
        <v>2020</v>
      </c>
    </row>
    <row r="1743" customFormat="false" ht="15" hidden="false" customHeight="false" outlineLevel="0" collapsed="false">
      <c r="A1743" s="38" t="n">
        <v>43971</v>
      </c>
      <c r="B1743" s="39" t="n">
        <v>1158</v>
      </c>
      <c r="C1743" s="40" t="n">
        <v>14151988.22</v>
      </c>
      <c r="D1743" s="40" t="n">
        <f aca="false">MAX(D1742,C1743)</f>
        <v>27863258.68</v>
      </c>
      <c r="E1743" s="41" t="n">
        <f aca="false">C1743/D1743-1</f>
        <v>-0.492091417499628</v>
      </c>
      <c r="F1743" s="42" t="n">
        <f aca="false">YEAR(A1743)</f>
        <v>2020</v>
      </c>
    </row>
    <row r="1744" customFormat="false" ht="15" hidden="false" customHeight="false" outlineLevel="0" collapsed="false">
      <c r="A1744" s="38" t="n">
        <v>43972</v>
      </c>
      <c r="B1744" s="39" t="n">
        <v>1163</v>
      </c>
      <c r="C1744" s="40" t="n">
        <v>14151988.22</v>
      </c>
      <c r="D1744" s="40" t="n">
        <f aca="false">MAX(D1743,C1744)</f>
        <v>27863258.68</v>
      </c>
      <c r="E1744" s="41" t="n">
        <f aca="false">C1744/D1744-1</f>
        <v>-0.492091417499628</v>
      </c>
      <c r="F1744" s="42" t="n">
        <f aca="false">YEAR(A1744)</f>
        <v>2020</v>
      </c>
    </row>
    <row r="1745" customFormat="false" ht="15" hidden="false" customHeight="false" outlineLevel="0" collapsed="false">
      <c r="A1745" s="38" t="n">
        <v>43973</v>
      </c>
      <c r="B1745" s="39" t="n">
        <v>1148</v>
      </c>
      <c r="C1745" s="40" t="n">
        <v>14151988.22</v>
      </c>
      <c r="D1745" s="40" t="n">
        <f aca="false">MAX(D1744,C1745)</f>
        <v>27863258.68</v>
      </c>
      <c r="E1745" s="41" t="n">
        <f aca="false">C1745/D1745-1</f>
        <v>-0.492091417499628</v>
      </c>
      <c r="F1745" s="42" t="n">
        <f aca="false">YEAR(A1745)</f>
        <v>2020</v>
      </c>
    </row>
    <row r="1746" customFormat="false" ht="15" hidden="false" customHeight="false" outlineLevel="0" collapsed="false">
      <c r="A1746" s="38" t="n">
        <v>43976</v>
      </c>
      <c r="B1746" s="39" t="n">
        <v>1151</v>
      </c>
      <c r="C1746" s="40" t="n">
        <v>14151988.22</v>
      </c>
      <c r="D1746" s="40" t="n">
        <f aca="false">MAX(D1745,C1746)</f>
        <v>27863258.68</v>
      </c>
      <c r="E1746" s="41" t="n">
        <f aca="false">C1746/D1746-1</f>
        <v>-0.492091417499628</v>
      </c>
      <c r="F1746" s="42" t="n">
        <f aca="false">YEAR(A1746)</f>
        <v>2020</v>
      </c>
    </row>
    <row r="1747" customFormat="false" ht="15" hidden="false" customHeight="false" outlineLevel="0" collapsed="false">
      <c r="A1747" s="38" t="n">
        <v>43977</v>
      </c>
      <c r="B1747" s="39" t="n">
        <v>1153.5</v>
      </c>
      <c r="C1747" s="40" t="n">
        <v>14151988.22</v>
      </c>
      <c r="D1747" s="40" t="n">
        <f aca="false">MAX(D1746,C1747)</f>
        <v>27863258.68</v>
      </c>
      <c r="E1747" s="41" t="n">
        <f aca="false">C1747/D1747-1</f>
        <v>-0.492091417499628</v>
      </c>
      <c r="F1747" s="42" t="n">
        <f aca="false">YEAR(A1747)</f>
        <v>2020</v>
      </c>
    </row>
    <row r="1748" customFormat="false" ht="15" hidden="false" customHeight="false" outlineLevel="0" collapsed="false">
      <c r="A1748" s="38" t="n">
        <v>43978</v>
      </c>
      <c r="B1748" s="39" t="n">
        <v>1161</v>
      </c>
      <c r="C1748" s="40" t="n">
        <v>14151988.22</v>
      </c>
      <c r="D1748" s="40" t="n">
        <f aca="false">MAX(D1747,C1748)</f>
        <v>27863258.68</v>
      </c>
      <c r="E1748" s="41" t="n">
        <f aca="false">C1748/D1748-1</f>
        <v>-0.492091417499628</v>
      </c>
      <c r="F1748" s="42" t="n">
        <f aca="false">YEAR(A1748)</f>
        <v>2020</v>
      </c>
    </row>
    <row r="1749" customFormat="false" ht="15" hidden="false" customHeight="false" outlineLevel="0" collapsed="false">
      <c r="A1749" s="38" t="n">
        <v>43979</v>
      </c>
      <c r="B1749" s="39" t="n">
        <v>1156.5</v>
      </c>
      <c r="C1749" s="40" t="n">
        <v>14151988.22</v>
      </c>
      <c r="D1749" s="40" t="n">
        <f aca="false">MAX(D1748,C1749)</f>
        <v>27863258.68</v>
      </c>
      <c r="E1749" s="41" t="n">
        <f aca="false">C1749/D1749-1</f>
        <v>-0.492091417499628</v>
      </c>
      <c r="F1749" s="42" t="n">
        <f aca="false">YEAR(A1749)</f>
        <v>2020</v>
      </c>
    </row>
    <row r="1750" customFormat="false" ht="15" hidden="false" customHeight="false" outlineLevel="0" collapsed="false">
      <c r="A1750" s="38" t="n">
        <v>43980</v>
      </c>
      <c r="B1750" s="39" t="n">
        <v>1159.5</v>
      </c>
      <c r="C1750" s="40" t="n">
        <v>14151988.22</v>
      </c>
      <c r="D1750" s="40" t="n">
        <f aca="false">MAX(D1749,C1750)</f>
        <v>27863258.68</v>
      </c>
      <c r="E1750" s="41" t="n">
        <f aca="false">C1750/D1750-1</f>
        <v>-0.492091417499628</v>
      </c>
      <c r="F1750" s="42" t="n">
        <f aca="false">YEAR(A1750)</f>
        <v>2020</v>
      </c>
    </row>
    <row r="1751" customFormat="false" ht="15" hidden="false" customHeight="false" outlineLevel="0" collapsed="false">
      <c r="A1751" s="38" t="n">
        <v>43983</v>
      </c>
      <c r="B1751" s="39" t="n">
        <v>1167.5</v>
      </c>
      <c r="C1751" s="40" t="n">
        <v>14151988.22</v>
      </c>
      <c r="D1751" s="40" t="n">
        <f aca="false">MAX(D1750,C1751)</f>
        <v>27863258.68</v>
      </c>
      <c r="E1751" s="41" t="n">
        <f aca="false">C1751/D1751-1</f>
        <v>-0.492091417499628</v>
      </c>
      <c r="F1751" s="42" t="n">
        <f aca="false">YEAR(A1751)</f>
        <v>2020</v>
      </c>
    </row>
    <row r="1752" customFormat="false" ht="15" hidden="false" customHeight="false" outlineLevel="0" collapsed="false">
      <c r="A1752" s="38" t="n">
        <v>43984</v>
      </c>
      <c r="B1752" s="39" t="n">
        <v>1174.5</v>
      </c>
      <c r="C1752" s="40" t="n">
        <v>14151988.22</v>
      </c>
      <c r="D1752" s="40" t="n">
        <f aca="false">MAX(D1751,C1752)</f>
        <v>27863258.68</v>
      </c>
      <c r="E1752" s="41" t="n">
        <f aca="false">C1752/D1752-1</f>
        <v>-0.492091417499628</v>
      </c>
      <c r="F1752" s="42" t="n">
        <f aca="false">YEAR(A1752)</f>
        <v>2020</v>
      </c>
    </row>
    <row r="1753" customFormat="false" ht="15" hidden="false" customHeight="false" outlineLevel="0" collapsed="false">
      <c r="A1753" s="38" t="n">
        <v>43985</v>
      </c>
      <c r="B1753" s="39" t="n">
        <v>1171</v>
      </c>
      <c r="C1753" s="40" t="n">
        <v>14151988.22</v>
      </c>
      <c r="D1753" s="40" t="n">
        <f aca="false">MAX(D1752,C1753)</f>
        <v>27863258.68</v>
      </c>
      <c r="E1753" s="41" t="n">
        <f aca="false">C1753/D1753-1</f>
        <v>-0.492091417499628</v>
      </c>
      <c r="F1753" s="42" t="n">
        <f aca="false">YEAR(A1753)</f>
        <v>2020</v>
      </c>
    </row>
    <row r="1754" customFormat="false" ht="15" hidden="false" customHeight="false" outlineLevel="0" collapsed="false">
      <c r="A1754" s="38" t="n">
        <v>43986</v>
      </c>
      <c r="B1754" s="39" t="n">
        <v>1175</v>
      </c>
      <c r="C1754" s="40" t="n">
        <v>14151988.22</v>
      </c>
      <c r="D1754" s="40" t="n">
        <f aca="false">MAX(D1753,C1754)</f>
        <v>27863258.68</v>
      </c>
      <c r="E1754" s="41" t="n">
        <f aca="false">C1754/D1754-1</f>
        <v>-0.492091417499628</v>
      </c>
      <c r="F1754" s="42" t="n">
        <f aca="false">YEAR(A1754)</f>
        <v>2020</v>
      </c>
    </row>
    <row r="1755" customFormat="false" ht="15" hidden="false" customHeight="false" outlineLevel="0" collapsed="false">
      <c r="A1755" s="38" t="n">
        <v>43987</v>
      </c>
      <c r="B1755" s="39" t="n">
        <v>1166</v>
      </c>
      <c r="C1755" s="40" t="n">
        <v>14151988.22</v>
      </c>
      <c r="D1755" s="40" t="n">
        <f aca="false">MAX(D1754,C1755)</f>
        <v>27863258.68</v>
      </c>
      <c r="E1755" s="41" t="n">
        <f aca="false">C1755/D1755-1</f>
        <v>-0.492091417499628</v>
      </c>
      <c r="F1755" s="42" t="n">
        <f aca="false">YEAR(A1755)</f>
        <v>2020</v>
      </c>
    </row>
    <row r="1756" customFormat="false" ht="15" hidden="false" customHeight="false" outlineLevel="0" collapsed="false">
      <c r="A1756" s="38" t="n">
        <v>43990</v>
      </c>
      <c r="B1756" s="39" t="n">
        <v>1189.5</v>
      </c>
      <c r="C1756" s="40" t="n">
        <v>14151988.22</v>
      </c>
      <c r="D1756" s="40" t="n">
        <f aca="false">MAX(D1755,C1756)</f>
        <v>27863258.68</v>
      </c>
      <c r="E1756" s="41" t="n">
        <f aca="false">C1756/D1756-1</f>
        <v>-0.492091417499628</v>
      </c>
      <c r="F1756" s="42" t="n">
        <f aca="false">YEAR(A1756)</f>
        <v>2020</v>
      </c>
    </row>
    <row r="1757" customFormat="false" ht="15" hidden="false" customHeight="false" outlineLevel="0" collapsed="false">
      <c r="A1757" s="38" t="n">
        <v>43991</v>
      </c>
      <c r="B1757" s="39" t="n">
        <v>1189</v>
      </c>
      <c r="C1757" s="40" t="n">
        <v>14369918.23</v>
      </c>
      <c r="D1757" s="40" t="n">
        <f aca="false">MAX(D1756,C1757)</f>
        <v>27863258.68</v>
      </c>
      <c r="E1757" s="41" t="n">
        <f aca="false">C1757/D1757-1</f>
        <v>-0.484270006066641</v>
      </c>
      <c r="F1757" s="42" t="n">
        <f aca="false">YEAR(A1757)</f>
        <v>2020</v>
      </c>
    </row>
    <row r="1758" customFormat="false" ht="15" hidden="false" customHeight="false" outlineLevel="0" collapsed="false">
      <c r="A1758" s="38" t="n">
        <v>43992</v>
      </c>
      <c r="B1758" s="39" t="n">
        <v>1182.5</v>
      </c>
      <c r="C1758" s="40" t="n">
        <v>14046608.23</v>
      </c>
      <c r="D1758" s="40" t="n">
        <f aca="false">MAX(D1757,C1758)</f>
        <v>27863258.68</v>
      </c>
      <c r="E1758" s="41" t="n">
        <f aca="false">C1758/D1758-1</f>
        <v>-0.495873458617296</v>
      </c>
      <c r="F1758" s="42" t="n">
        <f aca="false">YEAR(A1758)</f>
        <v>2020</v>
      </c>
    </row>
    <row r="1759" customFormat="false" ht="15" hidden="false" customHeight="false" outlineLevel="0" collapsed="false">
      <c r="A1759" s="38" t="n">
        <v>43993</v>
      </c>
      <c r="B1759" s="39" t="n">
        <v>1182.5</v>
      </c>
      <c r="C1759" s="40" t="n">
        <v>14046608.23</v>
      </c>
      <c r="D1759" s="40" t="n">
        <f aca="false">MAX(D1758,C1759)</f>
        <v>27863258.68</v>
      </c>
      <c r="E1759" s="41" t="n">
        <f aca="false">C1759/D1759-1</f>
        <v>-0.495873458617296</v>
      </c>
      <c r="F1759" s="42" t="n">
        <f aca="false">YEAR(A1759)</f>
        <v>2020</v>
      </c>
    </row>
    <row r="1760" customFormat="false" ht="15" hidden="false" customHeight="false" outlineLevel="0" collapsed="false">
      <c r="A1760" s="38" t="n">
        <v>43994</v>
      </c>
      <c r="B1760" s="39" t="n">
        <v>1184.5</v>
      </c>
      <c r="C1760" s="40" t="n">
        <v>14146088.23</v>
      </c>
      <c r="D1760" s="40" t="n">
        <f aca="false">MAX(D1759,C1760)</f>
        <v>27863258.68</v>
      </c>
      <c r="E1760" s="41" t="n">
        <f aca="false">C1760/D1760-1</f>
        <v>-0.492303165524787</v>
      </c>
      <c r="F1760" s="42" t="n">
        <f aca="false">YEAR(A1760)</f>
        <v>2020</v>
      </c>
    </row>
    <row r="1761" customFormat="false" ht="15" hidden="false" customHeight="false" outlineLevel="0" collapsed="false">
      <c r="A1761" s="38" t="n">
        <v>43997</v>
      </c>
      <c r="B1761" s="39" t="n">
        <v>1159.5</v>
      </c>
      <c r="C1761" s="40" t="n">
        <v>12902588.23</v>
      </c>
      <c r="D1761" s="40" t="n">
        <f aca="false">MAX(D1760,C1761)</f>
        <v>27863258.68</v>
      </c>
      <c r="E1761" s="41" t="n">
        <f aca="false">C1761/D1761-1</f>
        <v>-0.536931829181152</v>
      </c>
      <c r="F1761" s="42" t="n">
        <f aca="false">YEAR(A1761)</f>
        <v>2020</v>
      </c>
    </row>
    <row r="1762" customFormat="false" ht="15" hidden="false" customHeight="false" outlineLevel="0" collapsed="false">
      <c r="A1762" s="38" t="n">
        <v>43998</v>
      </c>
      <c r="B1762" s="39" t="n">
        <v>1182.5</v>
      </c>
      <c r="C1762" s="40" t="n">
        <v>14046608.23</v>
      </c>
      <c r="D1762" s="40" t="n">
        <f aca="false">MAX(D1761,C1762)</f>
        <v>27863258.68</v>
      </c>
      <c r="E1762" s="41" t="n">
        <f aca="false">C1762/D1762-1</f>
        <v>-0.495873458617296</v>
      </c>
      <c r="F1762" s="42" t="n">
        <f aca="false">YEAR(A1762)</f>
        <v>2020</v>
      </c>
    </row>
    <row r="1763" customFormat="false" ht="15" hidden="false" customHeight="false" outlineLevel="0" collapsed="false">
      <c r="A1763" s="38" t="n">
        <v>43999</v>
      </c>
      <c r="B1763" s="39" t="n">
        <v>1168.5</v>
      </c>
      <c r="C1763" s="40" t="n">
        <v>13350248.23</v>
      </c>
      <c r="D1763" s="40" t="n">
        <f aca="false">MAX(D1762,C1763)</f>
        <v>27863258.68</v>
      </c>
      <c r="E1763" s="41" t="n">
        <f aca="false">C1763/D1763-1</f>
        <v>-0.52086551026486</v>
      </c>
      <c r="F1763" s="42" t="n">
        <f aca="false">YEAR(A1763)</f>
        <v>2020</v>
      </c>
    </row>
    <row r="1764" customFormat="false" ht="15" hidden="false" customHeight="false" outlineLevel="0" collapsed="false">
      <c r="A1764" s="38" t="n">
        <v>44000</v>
      </c>
      <c r="B1764" s="39" t="n">
        <v>1187.5</v>
      </c>
      <c r="C1764" s="40" t="n">
        <v>14295308.23</v>
      </c>
      <c r="D1764" s="40" t="n">
        <f aca="false">MAX(D1763,C1764)</f>
        <v>27863258.68</v>
      </c>
      <c r="E1764" s="41" t="n">
        <f aca="false">C1764/D1764-1</f>
        <v>-0.486947725886023</v>
      </c>
      <c r="F1764" s="42" t="n">
        <f aca="false">YEAR(A1764)</f>
        <v>2020</v>
      </c>
    </row>
    <row r="1765" customFormat="false" ht="15" hidden="false" customHeight="false" outlineLevel="0" collapsed="false">
      <c r="A1765" s="38" t="n">
        <v>44001</v>
      </c>
      <c r="B1765" s="39" t="n">
        <v>1187.5</v>
      </c>
      <c r="C1765" s="40" t="n">
        <v>14295308.23</v>
      </c>
      <c r="D1765" s="40" t="n">
        <f aca="false">MAX(D1764,C1765)</f>
        <v>27863258.68</v>
      </c>
      <c r="E1765" s="41" t="n">
        <f aca="false">C1765/D1765-1</f>
        <v>-0.486947725886023</v>
      </c>
      <c r="F1765" s="42" t="n">
        <f aca="false">YEAR(A1765)</f>
        <v>2020</v>
      </c>
    </row>
    <row r="1766" customFormat="false" ht="15" hidden="false" customHeight="false" outlineLevel="0" collapsed="false">
      <c r="A1766" s="38" t="n">
        <v>44004</v>
      </c>
      <c r="B1766" s="39" t="n">
        <v>1174</v>
      </c>
      <c r="C1766" s="40" t="n">
        <v>13623818.23</v>
      </c>
      <c r="D1766" s="40" t="n">
        <f aca="false">MAX(D1765,C1766)</f>
        <v>27863258.68</v>
      </c>
      <c r="E1766" s="41" t="n">
        <f aca="false">C1766/D1766-1</f>
        <v>-0.51104720426046</v>
      </c>
      <c r="F1766" s="42" t="n">
        <f aca="false">YEAR(A1766)</f>
        <v>2020</v>
      </c>
    </row>
    <row r="1767" customFormat="false" ht="15" hidden="false" customHeight="false" outlineLevel="0" collapsed="false">
      <c r="A1767" s="38" t="n">
        <v>44005</v>
      </c>
      <c r="B1767" s="39" t="n">
        <v>1186</v>
      </c>
      <c r="C1767" s="40" t="n">
        <v>14220698.23</v>
      </c>
      <c r="D1767" s="40" t="n">
        <f aca="false">MAX(D1766,C1767)</f>
        <v>27863258.68</v>
      </c>
      <c r="E1767" s="41" t="n">
        <f aca="false">C1767/D1767-1</f>
        <v>-0.489625445705405</v>
      </c>
      <c r="F1767" s="42" t="n">
        <f aca="false">YEAR(A1767)</f>
        <v>2020</v>
      </c>
    </row>
    <row r="1768" customFormat="false" ht="15" hidden="false" customHeight="false" outlineLevel="0" collapsed="false">
      <c r="A1768" s="38" t="n">
        <v>44006</v>
      </c>
      <c r="B1768" s="39" t="n">
        <v>1186.5</v>
      </c>
      <c r="C1768" s="40" t="n">
        <v>14245568.23</v>
      </c>
      <c r="D1768" s="40" t="n">
        <f aca="false">MAX(D1767,C1768)</f>
        <v>27863258.68</v>
      </c>
      <c r="E1768" s="41" t="n">
        <f aca="false">C1768/D1768-1</f>
        <v>-0.488732872432278</v>
      </c>
      <c r="F1768" s="42" t="n">
        <f aca="false">YEAR(A1768)</f>
        <v>2020</v>
      </c>
    </row>
    <row r="1769" customFormat="false" ht="15" hidden="false" customHeight="false" outlineLevel="0" collapsed="false">
      <c r="A1769" s="38" t="n">
        <v>44011</v>
      </c>
      <c r="B1769" s="39" t="n">
        <v>1169</v>
      </c>
      <c r="C1769" s="40" t="n">
        <v>13375118.23</v>
      </c>
      <c r="D1769" s="40" t="n">
        <f aca="false">MAX(D1768,C1769)</f>
        <v>27863258.68</v>
      </c>
      <c r="E1769" s="41" t="n">
        <f aca="false">C1769/D1769-1</f>
        <v>-0.519972936991733</v>
      </c>
      <c r="F1769" s="42" t="n">
        <f aca="false">YEAR(A1769)</f>
        <v>2020</v>
      </c>
    </row>
    <row r="1770" customFormat="false" ht="15" hidden="false" customHeight="false" outlineLevel="0" collapsed="false">
      <c r="A1770" s="38" t="n">
        <v>44012</v>
      </c>
      <c r="B1770" s="39" t="n">
        <v>1177</v>
      </c>
      <c r="C1770" s="40" t="n">
        <v>13773038.23</v>
      </c>
      <c r="D1770" s="40" t="n">
        <f aca="false">MAX(D1769,C1770)</f>
        <v>27863258.68</v>
      </c>
      <c r="E1770" s="41" t="n">
        <f aca="false">C1770/D1770-1</f>
        <v>-0.505691764621696</v>
      </c>
      <c r="F1770" s="42" t="n">
        <f aca="false">YEAR(A1770)</f>
        <v>2020</v>
      </c>
    </row>
    <row r="1771" customFormat="false" ht="15" hidden="false" customHeight="false" outlineLevel="0" collapsed="false">
      <c r="A1771" s="38" t="n">
        <v>44013</v>
      </c>
      <c r="B1771" s="39" t="n">
        <v>1170</v>
      </c>
      <c r="C1771" s="40" t="n">
        <v>13424858.23</v>
      </c>
      <c r="D1771" s="40" t="n">
        <f aca="false">MAX(D1770,C1771)</f>
        <v>27863258.68</v>
      </c>
      <c r="E1771" s="41" t="n">
        <f aca="false">C1771/D1771-1</f>
        <v>-0.518187790445479</v>
      </c>
      <c r="F1771" s="42" t="n">
        <f aca="false">YEAR(A1771)</f>
        <v>2020</v>
      </c>
    </row>
    <row r="1772" customFormat="false" ht="15" hidden="false" customHeight="false" outlineLevel="0" collapsed="false">
      <c r="A1772" s="38" t="n">
        <v>44014</v>
      </c>
      <c r="B1772" s="39" t="n">
        <v>1190</v>
      </c>
      <c r="C1772" s="40" t="n">
        <v>14419658.23</v>
      </c>
      <c r="D1772" s="40" t="n">
        <f aca="false">MAX(D1771,C1772)</f>
        <v>27863258.68</v>
      </c>
      <c r="E1772" s="41" t="n">
        <f aca="false">C1772/D1772-1</f>
        <v>-0.482484859520387</v>
      </c>
      <c r="F1772" s="42" t="n">
        <f aca="false">YEAR(A1772)</f>
        <v>2020</v>
      </c>
    </row>
    <row r="1773" customFormat="false" ht="15" hidden="false" customHeight="false" outlineLevel="0" collapsed="false">
      <c r="A1773" s="38" t="n">
        <v>44015</v>
      </c>
      <c r="B1773" s="39" t="n">
        <v>1187.5</v>
      </c>
      <c r="C1773" s="40" t="n">
        <v>14295308.23</v>
      </c>
      <c r="D1773" s="40" t="n">
        <f aca="false">MAX(D1772,C1773)</f>
        <v>27863258.68</v>
      </c>
      <c r="E1773" s="41" t="n">
        <f aca="false">C1773/D1773-1</f>
        <v>-0.486947725886023</v>
      </c>
      <c r="F1773" s="42" t="n">
        <f aca="false">YEAR(A1773)</f>
        <v>2020</v>
      </c>
    </row>
    <row r="1774" customFormat="false" ht="15" hidden="false" customHeight="false" outlineLevel="0" collapsed="false">
      <c r="A1774" s="38" t="n">
        <v>44018</v>
      </c>
      <c r="B1774" s="39" t="n">
        <v>1186.5</v>
      </c>
      <c r="C1774" s="40" t="n">
        <v>14245568.23</v>
      </c>
      <c r="D1774" s="40" t="n">
        <f aca="false">MAX(D1773,C1774)</f>
        <v>27863258.68</v>
      </c>
      <c r="E1774" s="41" t="n">
        <f aca="false">C1774/D1774-1</f>
        <v>-0.488732872432278</v>
      </c>
      <c r="F1774" s="42" t="n">
        <f aca="false">YEAR(A1774)</f>
        <v>2020</v>
      </c>
    </row>
    <row r="1775" customFormat="false" ht="15" hidden="false" customHeight="false" outlineLevel="0" collapsed="false">
      <c r="A1775" s="38" t="n">
        <v>44019</v>
      </c>
      <c r="B1775" s="39" t="n">
        <v>1182</v>
      </c>
      <c r="C1775" s="40" t="n">
        <v>14021738.23</v>
      </c>
      <c r="D1775" s="40" t="n">
        <f aca="false">MAX(D1774,C1775)</f>
        <v>27863258.68</v>
      </c>
      <c r="E1775" s="41" t="n">
        <f aca="false">C1775/D1775-1</f>
        <v>-0.496766031890423</v>
      </c>
      <c r="F1775" s="42" t="n">
        <f aca="false">YEAR(A1775)</f>
        <v>2020</v>
      </c>
    </row>
    <row r="1776" customFormat="false" ht="15" hidden="false" customHeight="false" outlineLevel="0" collapsed="false">
      <c r="A1776" s="38" t="n">
        <v>44020</v>
      </c>
      <c r="B1776" s="39" t="n">
        <v>1192.5</v>
      </c>
      <c r="C1776" s="40" t="n">
        <v>14544008.23</v>
      </c>
      <c r="D1776" s="40" t="n">
        <f aca="false">MAX(D1775,C1776)</f>
        <v>27863258.68</v>
      </c>
      <c r="E1776" s="41" t="n">
        <f aca="false">C1776/D1776-1</f>
        <v>-0.47802199315475</v>
      </c>
      <c r="F1776" s="42" t="n">
        <f aca="false">YEAR(A1776)</f>
        <v>2020</v>
      </c>
    </row>
    <row r="1777" customFormat="false" ht="15" hidden="false" customHeight="false" outlineLevel="0" collapsed="false">
      <c r="A1777" s="38" t="n">
        <v>44021</v>
      </c>
      <c r="B1777" s="39" t="n">
        <v>1214</v>
      </c>
      <c r="C1777" s="40" t="n">
        <v>15613418.23</v>
      </c>
      <c r="D1777" s="40" t="n">
        <f aca="false">MAX(D1776,C1777)</f>
        <v>27863258.68</v>
      </c>
      <c r="E1777" s="41" t="n">
        <f aca="false">C1777/D1777-1</f>
        <v>-0.439641342410277</v>
      </c>
      <c r="F1777" s="42" t="n">
        <f aca="false">YEAR(A1777)</f>
        <v>2020</v>
      </c>
    </row>
    <row r="1778" customFormat="false" ht="15" hidden="false" customHeight="false" outlineLevel="0" collapsed="false">
      <c r="A1778" s="38" t="n">
        <v>44022</v>
      </c>
      <c r="B1778" s="39" t="n">
        <v>1193.5</v>
      </c>
      <c r="C1778" s="40" t="n">
        <v>14593748.23</v>
      </c>
      <c r="D1778" s="40" t="n">
        <f aca="false">MAX(D1777,C1778)</f>
        <v>27863258.68</v>
      </c>
      <c r="E1778" s="41" t="n">
        <f aca="false">C1778/D1778-1</f>
        <v>-0.476236846608496</v>
      </c>
      <c r="F1778" s="42" t="n">
        <f aca="false">YEAR(A1778)</f>
        <v>2020</v>
      </c>
    </row>
    <row r="1779" customFormat="false" ht="15" hidden="false" customHeight="false" outlineLevel="0" collapsed="false">
      <c r="A1779" s="38" t="n">
        <v>44025</v>
      </c>
      <c r="B1779" s="39" t="n">
        <v>1205</v>
      </c>
      <c r="C1779" s="40" t="n">
        <v>15165758.23</v>
      </c>
      <c r="D1779" s="40" t="n">
        <f aca="false">MAX(D1778,C1779)</f>
        <v>27863258.68</v>
      </c>
      <c r="E1779" s="41" t="n">
        <f aca="false">C1779/D1779-1</f>
        <v>-0.455707661326568</v>
      </c>
      <c r="F1779" s="42" t="n">
        <f aca="false">YEAR(A1779)</f>
        <v>2020</v>
      </c>
    </row>
    <row r="1780" customFormat="false" ht="15" hidden="false" customHeight="false" outlineLevel="0" collapsed="false">
      <c r="A1780" s="38" t="n">
        <v>44026</v>
      </c>
      <c r="B1780" s="39" t="n">
        <v>1194</v>
      </c>
      <c r="C1780" s="40" t="n">
        <v>14618618.23</v>
      </c>
      <c r="D1780" s="40" t="n">
        <f aca="false">MAX(D1779,C1780)</f>
        <v>27863258.68</v>
      </c>
      <c r="E1780" s="41" t="n">
        <f aca="false">C1780/D1780-1</f>
        <v>-0.475344273335369</v>
      </c>
      <c r="F1780" s="42" t="n">
        <f aca="false">YEAR(A1780)</f>
        <v>2020</v>
      </c>
    </row>
    <row r="1781" customFormat="false" ht="15" hidden="false" customHeight="false" outlineLevel="0" collapsed="false">
      <c r="A1781" s="38" t="n">
        <v>44027</v>
      </c>
      <c r="B1781" s="39" t="n">
        <v>1191.5</v>
      </c>
      <c r="C1781" s="40" t="n">
        <v>14494268.23</v>
      </c>
      <c r="D1781" s="40" t="n">
        <f aca="false">MAX(D1780,C1781)</f>
        <v>27863258.68</v>
      </c>
      <c r="E1781" s="41" t="n">
        <f aca="false">C1781/D1781-1</f>
        <v>-0.479807139701005</v>
      </c>
      <c r="F1781" s="42" t="n">
        <f aca="false">YEAR(A1781)</f>
        <v>2020</v>
      </c>
    </row>
    <row r="1782" customFormat="false" ht="15" hidden="false" customHeight="false" outlineLevel="0" collapsed="false">
      <c r="A1782" s="38" t="n">
        <v>44028</v>
      </c>
      <c r="B1782" s="39" t="n">
        <v>1198</v>
      </c>
      <c r="C1782" s="40" t="n">
        <v>14817578.23</v>
      </c>
      <c r="D1782" s="40" t="n">
        <f aca="false">MAX(D1781,C1782)</f>
        <v>27863258.68</v>
      </c>
      <c r="E1782" s="41" t="n">
        <f aca="false">C1782/D1782-1</f>
        <v>-0.46820368715035</v>
      </c>
      <c r="F1782" s="42" t="n">
        <f aca="false">YEAR(A1782)</f>
        <v>2020</v>
      </c>
    </row>
    <row r="1783" customFormat="false" ht="15" hidden="false" customHeight="false" outlineLevel="0" collapsed="false">
      <c r="A1783" s="38" t="n">
        <v>44029</v>
      </c>
      <c r="B1783" s="39" t="n">
        <v>1207</v>
      </c>
      <c r="C1783" s="40" t="n">
        <v>15265238.23</v>
      </c>
      <c r="D1783" s="40" t="n">
        <f aca="false">MAX(D1782,C1783)</f>
        <v>27863258.68</v>
      </c>
      <c r="E1783" s="41" t="n">
        <f aca="false">C1783/D1783-1</f>
        <v>-0.452137368234059</v>
      </c>
      <c r="F1783" s="42" t="n">
        <f aca="false">YEAR(A1783)</f>
        <v>2020</v>
      </c>
    </row>
    <row r="1784" customFormat="false" ht="15" hidden="false" customHeight="false" outlineLevel="0" collapsed="false">
      <c r="A1784" s="38" t="n">
        <v>44032</v>
      </c>
      <c r="B1784" s="39" t="n">
        <v>1204</v>
      </c>
      <c r="C1784" s="40" t="n">
        <v>15116018.23</v>
      </c>
      <c r="D1784" s="40" t="n">
        <f aca="false">MAX(D1783,C1784)</f>
        <v>27863258.68</v>
      </c>
      <c r="E1784" s="41" t="n">
        <f aca="false">C1784/D1784-1</f>
        <v>-0.457492807872823</v>
      </c>
      <c r="F1784" s="42" t="n">
        <f aca="false">YEAR(A1784)</f>
        <v>2020</v>
      </c>
    </row>
    <row r="1785" customFormat="false" ht="15" hidden="false" customHeight="false" outlineLevel="0" collapsed="false">
      <c r="A1785" s="38" t="n">
        <v>44033</v>
      </c>
      <c r="B1785" s="39" t="n">
        <v>1230.5</v>
      </c>
      <c r="C1785" s="40" t="n">
        <v>16434128.23</v>
      </c>
      <c r="D1785" s="40" t="n">
        <f aca="false">MAX(D1784,C1785)</f>
        <v>27863258.68</v>
      </c>
      <c r="E1785" s="41" t="n">
        <f aca="false">C1785/D1785-1</f>
        <v>-0.410186424397076</v>
      </c>
      <c r="F1785" s="42" t="n">
        <f aca="false">YEAR(A1785)</f>
        <v>2020</v>
      </c>
    </row>
    <row r="1786" customFormat="false" ht="15" hidden="false" customHeight="false" outlineLevel="0" collapsed="false">
      <c r="A1786" s="38" t="n">
        <v>44034</v>
      </c>
      <c r="B1786" s="39" t="n">
        <v>1219.5</v>
      </c>
      <c r="C1786" s="40" t="n">
        <v>15886988.23</v>
      </c>
      <c r="D1786" s="40" t="n">
        <f aca="false">MAX(D1785,C1786)</f>
        <v>27863258.68</v>
      </c>
      <c r="E1786" s="41" t="n">
        <f aca="false">C1786/D1786-1</f>
        <v>-0.429823036405877</v>
      </c>
      <c r="F1786" s="42" t="n">
        <f aca="false">YEAR(A1786)</f>
        <v>2020</v>
      </c>
    </row>
    <row r="1787" customFormat="false" ht="15" hidden="false" customHeight="false" outlineLevel="0" collapsed="false">
      <c r="A1787" s="38" t="n">
        <v>44035</v>
      </c>
      <c r="B1787" s="39" t="n">
        <v>1227</v>
      </c>
      <c r="C1787" s="40" t="n">
        <v>16260038.23</v>
      </c>
      <c r="D1787" s="40" t="n">
        <f aca="false">MAX(D1786,C1787)</f>
        <v>27863258.68</v>
      </c>
      <c r="E1787" s="41" t="n">
        <f aca="false">C1787/D1787-1</f>
        <v>-0.416434437308967</v>
      </c>
      <c r="F1787" s="42" t="n">
        <f aca="false">YEAR(A1787)</f>
        <v>2020</v>
      </c>
    </row>
    <row r="1788" customFormat="false" ht="15" hidden="false" customHeight="false" outlineLevel="0" collapsed="false">
      <c r="A1788" s="38" t="n">
        <v>44036</v>
      </c>
      <c r="B1788" s="39" t="n">
        <v>1234.5</v>
      </c>
      <c r="C1788" s="40" t="n">
        <v>16633088.23</v>
      </c>
      <c r="D1788" s="40" t="n">
        <f aca="false">MAX(D1787,C1788)</f>
        <v>27863258.68</v>
      </c>
      <c r="E1788" s="41" t="n">
        <f aca="false">C1788/D1788-1</f>
        <v>-0.403045838212058</v>
      </c>
      <c r="F1788" s="42" t="n">
        <f aca="false">YEAR(A1788)</f>
        <v>2020</v>
      </c>
    </row>
    <row r="1789" customFormat="false" ht="15" hidden="false" customHeight="false" outlineLevel="0" collapsed="false">
      <c r="A1789" s="38" t="n">
        <v>44039</v>
      </c>
      <c r="B1789" s="39" t="n">
        <v>1221.5</v>
      </c>
      <c r="C1789" s="40" t="n">
        <v>15986468.23</v>
      </c>
      <c r="D1789" s="40" t="n">
        <f aca="false">MAX(D1788,C1789)</f>
        <v>27863258.68</v>
      </c>
      <c r="E1789" s="41" t="n">
        <f aca="false">C1789/D1789-1</f>
        <v>-0.426252743313368</v>
      </c>
      <c r="F1789" s="42" t="n">
        <f aca="false">YEAR(A1789)</f>
        <v>2020</v>
      </c>
    </row>
    <row r="1790" customFormat="false" ht="15" hidden="false" customHeight="false" outlineLevel="0" collapsed="false">
      <c r="A1790" s="38" t="n">
        <v>44040</v>
      </c>
      <c r="B1790" s="39" t="n">
        <v>1212.5</v>
      </c>
      <c r="C1790" s="40" t="n">
        <v>15538808.23</v>
      </c>
      <c r="D1790" s="40" t="n">
        <f aca="false">MAX(D1789,C1790)</f>
        <v>27863258.68</v>
      </c>
      <c r="E1790" s="41" t="n">
        <f aca="false">C1790/D1790-1</f>
        <v>-0.442319062229659</v>
      </c>
      <c r="F1790" s="42" t="n">
        <f aca="false">YEAR(A1790)</f>
        <v>2020</v>
      </c>
    </row>
    <row r="1791" customFormat="false" ht="15" hidden="false" customHeight="false" outlineLevel="0" collapsed="false">
      <c r="A1791" s="38" t="n">
        <v>44041</v>
      </c>
      <c r="B1791" s="39" t="n">
        <v>1220</v>
      </c>
      <c r="C1791" s="40" t="n">
        <v>15911858.23</v>
      </c>
      <c r="D1791" s="40" t="n">
        <f aca="false">MAX(D1790,C1791)</f>
        <v>27863258.68</v>
      </c>
      <c r="E1791" s="41" t="n">
        <f aca="false">C1791/D1791-1</f>
        <v>-0.428930463132749</v>
      </c>
      <c r="F1791" s="42" t="n">
        <f aca="false">YEAR(A1791)</f>
        <v>2020</v>
      </c>
    </row>
    <row r="1792" customFormat="false" ht="15" hidden="false" customHeight="false" outlineLevel="0" collapsed="false">
      <c r="A1792" s="38" t="n">
        <v>44042</v>
      </c>
      <c r="B1792" s="39" t="n">
        <v>1207</v>
      </c>
      <c r="C1792" s="40" t="n">
        <v>15265238.23</v>
      </c>
      <c r="D1792" s="40" t="n">
        <f aca="false">MAX(D1791,C1792)</f>
        <v>27863258.68</v>
      </c>
      <c r="E1792" s="41" t="n">
        <f aca="false">C1792/D1792-1</f>
        <v>-0.452137368234059</v>
      </c>
      <c r="F1792" s="42" t="n">
        <f aca="false">YEAR(A1792)</f>
        <v>2020</v>
      </c>
    </row>
    <row r="1793" customFormat="false" ht="15" hidden="false" customHeight="false" outlineLevel="0" collapsed="false">
      <c r="A1793" s="38" t="n">
        <v>44043</v>
      </c>
      <c r="B1793" s="39" t="n">
        <v>1216</v>
      </c>
      <c r="C1793" s="40" t="n">
        <v>15712898.23</v>
      </c>
      <c r="D1793" s="40" t="n">
        <f aca="false">MAX(D1792,C1793)</f>
        <v>27863258.68</v>
      </c>
      <c r="E1793" s="41" t="n">
        <f aca="false">C1793/D1793-1</f>
        <v>-0.436071049317768</v>
      </c>
      <c r="F1793" s="42" t="n">
        <f aca="false">YEAR(A1793)</f>
        <v>2020</v>
      </c>
    </row>
    <row r="1794" customFormat="false" ht="15" hidden="false" customHeight="false" outlineLevel="0" collapsed="false">
      <c r="A1794" s="38" t="n">
        <v>44046</v>
      </c>
      <c r="B1794" s="39" t="n">
        <v>1226</v>
      </c>
      <c r="C1794" s="40" t="n">
        <v>16210298.23</v>
      </c>
      <c r="D1794" s="40" t="n">
        <f aca="false">MAX(D1793,C1794)</f>
        <v>27863258.68</v>
      </c>
      <c r="E1794" s="41" t="n">
        <f aca="false">C1794/D1794-1</f>
        <v>-0.418219583855222</v>
      </c>
      <c r="F1794" s="42" t="n">
        <f aca="false">YEAR(A1794)</f>
        <v>2020</v>
      </c>
    </row>
    <row r="1795" customFormat="false" ht="15" hidden="false" customHeight="false" outlineLevel="0" collapsed="false">
      <c r="A1795" s="38" t="n">
        <v>44047</v>
      </c>
      <c r="B1795" s="39" t="n">
        <v>1209.5</v>
      </c>
      <c r="C1795" s="40" t="n">
        <v>15389588.23</v>
      </c>
      <c r="D1795" s="40" t="n">
        <f aca="false">MAX(D1794,C1795)</f>
        <v>27863258.68</v>
      </c>
      <c r="E1795" s="41" t="n">
        <f aca="false">C1795/D1795-1</f>
        <v>-0.447674501868423</v>
      </c>
      <c r="F1795" s="42" t="n">
        <f aca="false">YEAR(A1795)</f>
        <v>2020</v>
      </c>
    </row>
    <row r="1796" customFormat="false" ht="15" hidden="false" customHeight="false" outlineLevel="0" collapsed="false">
      <c r="A1796" s="38" t="n">
        <v>44048</v>
      </c>
      <c r="B1796" s="39" t="n">
        <v>1213</v>
      </c>
      <c r="C1796" s="40" t="n">
        <v>15563678.23</v>
      </c>
      <c r="D1796" s="40" t="n">
        <f aca="false">MAX(D1795,C1796)</f>
        <v>27863258.68</v>
      </c>
      <c r="E1796" s="41" t="n">
        <f aca="false">C1796/D1796-1</f>
        <v>-0.441426488956531</v>
      </c>
      <c r="F1796" s="42" t="n">
        <f aca="false">YEAR(A1796)</f>
        <v>2020</v>
      </c>
    </row>
    <row r="1797" customFormat="false" ht="15" hidden="false" customHeight="false" outlineLevel="0" collapsed="false">
      <c r="A1797" s="38" t="n">
        <v>44049</v>
      </c>
      <c r="B1797" s="39" t="n">
        <v>1222</v>
      </c>
      <c r="C1797" s="40" t="n">
        <v>15607371.5</v>
      </c>
      <c r="D1797" s="40" t="n">
        <f aca="false">MAX(D1796,C1797)</f>
        <v>27863258.68</v>
      </c>
      <c r="E1797" s="41" t="n">
        <f aca="false">C1797/D1797-1</f>
        <v>-0.439858356868975</v>
      </c>
      <c r="F1797" s="42" t="n">
        <f aca="false">YEAR(A1797)</f>
        <v>2020</v>
      </c>
    </row>
    <row r="1798" customFormat="false" ht="15" hidden="false" customHeight="false" outlineLevel="0" collapsed="false">
      <c r="A1798" s="38" t="n">
        <v>44050</v>
      </c>
      <c r="B1798" s="39" t="n">
        <v>1220.5</v>
      </c>
      <c r="C1798" s="40" t="n">
        <v>15607371.5</v>
      </c>
      <c r="D1798" s="40" t="n">
        <f aca="false">MAX(D1797,C1798)</f>
        <v>27863258.68</v>
      </c>
      <c r="E1798" s="41" t="n">
        <f aca="false">C1798/D1798-1</f>
        <v>-0.439858356868975</v>
      </c>
      <c r="F1798" s="42" t="n">
        <f aca="false">YEAR(A1798)</f>
        <v>2020</v>
      </c>
    </row>
    <row r="1799" customFormat="false" ht="15" hidden="false" customHeight="false" outlineLevel="0" collapsed="false">
      <c r="A1799" s="38" t="n">
        <v>44053</v>
      </c>
      <c r="B1799" s="39" t="n">
        <v>1214.5</v>
      </c>
      <c r="C1799" s="40" t="n">
        <v>15202166.49</v>
      </c>
      <c r="D1799" s="40" t="n">
        <f aca="false">MAX(D1798,C1799)</f>
        <v>27863258.68</v>
      </c>
      <c r="E1799" s="41" t="n">
        <f aca="false">C1799/D1799-1</f>
        <v>-0.45440098501788</v>
      </c>
      <c r="F1799" s="42" t="n">
        <f aca="false">YEAR(A1799)</f>
        <v>2020</v>
      </c>
    </row>
    <row r="1800" customFormat="false" ht="15" hidden="false" customHeight="false" outlineLevel="0" collapsed="false">
      <c r="A1800" s="38" t="n">
        <v>44054</v>
      </c>
      <c r="B1800" s="39" t="n">
        <v>1201</v>
      </c>
      <c r="C1800" s="40" t="n">
        <v>14484506.49</v>
      </c>
      <c r="D1800" s="40" t="n">
        <f aca="false">MAX(D1799,C1800)</f>
        <v>27863258.68</v>
      </c>
      <c r="E1800" s="41" t="n">
        <f aca="false">C1800/D1800-1</f>
        <v>-0.48015748422144</v>
      </c>
      <c r="F1800" s="42" t="n">
        <f aca="false">YEAR(A1800)</f>
        <v>2020</v>
      </c>
    </row>
    <row r="1801" customFormat="false" ht="15" hidden="false" customHeight="false" outlineLevel="0" collapsed="false">
      <c r="A1801" s="38" t="n">
        <v>44055</v>
      </c>
      <c r="B1801" s="39" t="n">
        <v>1203</v>
      </c>
      <c r="C1801" s="40" t="n">
        <v>14590826.49</v>
      </c>
      <c r="D1801" s="40" t="n">
        <f aca="false">MAX(D1800,C1801)</f>
        <v>27863258.68</v>
      </c>
      <c r="E1801" s="41" t="n">
        <f aca="false">C1801/D1801-1</f>
        <v>-0.476341706561653</v>
      </c>
      <c r="F1801" s="42" t="n">
        <f aca="false">YEAR(A1801)</f>
        <v>2020</v>
      </c>
    </row>
    <row r="1802" customFormat="false" ht="15" hidden="false" customHeight="false" outlineLevel="0" collapsed="false">
      <c r="A1802" s="38" t="n">
        <v>44056</v>
      </c>
      <c r="B1802" s="39" t="n">
        <v>1192</v>
      </c>
      <c r="C1802" s="40" t="n">
        <v>14006066.49</v>
      </c>
      <c r="D1802" s="40" t="n">
        <f aca="false">MAX(D1801,C1802)</f>
        <v>27863258.68</v>
      </c>
      <c r="E1802" s="41" t="n">
        <f aca="false">C1802/D1802-1</f>
        <v>-0.49732848369048</v>
      </c>
      <c r="F1802" s="42" t="n">
        <f aca="false">YEAR(A1802)</f>
        <v>2020</v>
      </c>
    </row>
    <row r="1803" customFormat="false" ht="15" hidden="false" customHeight="false" outlineLevel="0" collapsed="false">
      <c r="A1803" s="38" t="n">
        <v>44057</v>
      </c>
      <c r="B1803" s="39" t="n">
        <v>1198</v>
      </c>
      <c r="C1803" s="40" t="n">
        <v>14325026.49</v>
      </c>
      <c r="D1803" s="40" t="n">
        <f aca="false">MAX(D1802,C1803)</f>
        <v>27863258.68</v>
      </c>
      <c r="E1803" s="41" t="n">
        <f aca="false">C1803/D1803-1</f>
        <v>-0.48588115071112</v>
      </c>
      <c r="F1803" s="42" t="n">
        <f aca="false">YEAR(A1803)</f>
        <v>2020</v>
      </c>
    </row>
    <row r="1804" customFormat="false" ht="15" hidden="false" customHeight="false" outlineLevel="0" collapsed="false">
      <c r="A1804" s="38" t="n">
        <v>44060</v>
      </c>
      <c r="B1804" s="39" t="n">
        <v>1200.5</v>
      </c>
      <c r="C1804" s="40" t="n">
        <v>14457926.49</v>
      </c>
      <c r="D1804" s="40" t="n">
        <f aca="false">MAX(D1803,C1804)</f>
        <v>27863258.68</v>
      </c>
      <c r="E1804" s="41" t="n">
        <f aca="false">C1804/D1804-1</f>
        <v>-0.481111428636387</v>
      </c>
      <c r="F1804" s="42" t="n">
        <f aca="false">YEAR(A1804)</f>
        <v>2020</v>
      </c>
    </row>
    <row r="1805" customFormat="false" ht="15" hidden="false" customHeight="false" outlineLevel="0" collapsed="false">
      <c r="A1805" s="38" t="n">
        <v>44061</v>
      </c>
      <c r="B1805" s="39" t="n">
        <v>1214</v>
      </c>
      <c r="C1805" s="40" t="n">
        <v>15175586.49</v>
      </c>
      <c r="D1805" s="40" t="n">
        <f aca="false">MAX(D1804,C1805)</f>
        <v>27863258.68</v>
      </c>
      <c r="E1805" s="41" t="n">
        <f aca="false">C1805/D1805-1</f>
        <v>-0.455354929432827</v>
      </c>
      <c r="F1805" s="42" t="n">
        <f aca="false">YEAR(A1805)</f>
        <v>2020</v>
      </c>
    </row>
    <row r="1806" customFormat="false" ht="15" hidden="false" customHeight="false" outlineLevel="0" collapsed="false">
      <c r="A1806" s="38" t="n">
        <v>44062</v>
      </c>
      <c r="B1806" s="39" t="n">
        <v>1195.5</v>
      </c>
      <c r="C1806" s="40" t="n">
        <v>14192126.49</v>
      </c>
      <c r="D1806" s="40" t="n">
        <f aca="false">MAX(D1805,C1806)</f>
        <v>27863258.68</v>
      </c>
      <c r="E1806" s="41" t="n">
        <f aca="false">C1806/D1806-1</f>
        <v>-0.490650872785853</v>
      </c>
      <c r="F1806" s="42" t="n">
        <f aca="false">YEAR(A1806)</f>
        <v>2020</v>
      </c>
    </row>
    <row r="1807" customFormat="false" ht="15" hidden="false" customHeight="false" outlineLevel="0" collapsed="false">
      <c r="A1807" s="38" t="n">
        <v>44063</v>
      </c>
      <c r="B1807" s="39" t="n">
        <v>1206</v>
      </c>
      <c r="C1807" s="40" t="n">
        <v>14750306.49</v>
      </c>
      <c r="D1807" s="40" t="n">
        <f aca="false">MAX(D1806,C1807)</f>
        <v>27863258.68</v>
      </c>
      <c r="E1807" s="41" t="n">
        <f aca="false">C1807/D1807-1</f>
        <v>-0.470618040071973</v>
      </c>
      <c r="F1807" s="42" t="n">
        <f aca="false">YEAR(A1807)</f>
        <v>2020</v>
      </c>
    </row>
    <row r="1808" customFormat="false" ht="15" hidden="false" customHeight="false" outlineLevel="0" collapsed="false">
      <c r="A1808" s="38" t="n">
        <v>44064</v>
      </c>
      <c r="B1808" s="39" t="n">
        <v>1204</v>
      </c>
      <c r="C1808" s="40" t="n">
        <v>14643986.49</v>
      </c>
      <c r="D1808" s="40" t="n">
        <f aca="false">MAX(D1807,C1808)</f>
        <v>27863258.68</v>
      </c>
      <c r="E1808" s="41" t="n">
        <f aca="false">C1808/D1808-1</f>
        <v>-0.47443381773176</v>
      </c>
      <c r="F1808" s="42" t="n">
        <f aca="false">YEAR(A1808)</f>
        <v>2020</v>
      </c>
    </row>
    <row r="1809" customFormat="false" ht="15" hidden="false" customHeight="false" outlineLevel="0" collapsed="false">
      <c r="A1809" s="38" t="n">
        <v>44067</v>
      </c>
      <c r="B1809" s="39" t="n">
        <v>1216</v>
      </c>
      <c r="C1809" s="40" t="n">
        <v>15281906.49</v>
      </c>
      <c r="D1809" s="40" t="n">
        <f aca="false">MAX(D1808,C1809)</f>
        <v>27863258.68</v>
      </c>
      <c r="E1809" s="41" t="n">
        <f aca="false">C1809/D1809-1</f>
        <v>-0.45153915177304</v>
      </c>
      <c r="F1809" s="42" t="n">
        <f aca="false">YEAR(A1809)</f>
        <v>2020</v>
      </c>
    </row>
    <row r="1810" customFormat="false" ht="15" hidden="false" customHeight="false" outlineLevel="0" collapsed="false">
      <c r="A1810" s="38" t="n">
        <v>44068</v>
      </c>
      <c r="B1810" s="39" t="n">
        <v>1218</v>
      </c>
      <c r="C1810" s="40" t="n">
        <v>15388226.49</v>
      </c>
      <c r="D1810" s="40" t="n">
        <f aca="false">MAX(D1809,C1810)</f>
        <v>27863258.68</v>
      </c>
      <c r="E1810" s="41" t="n">
        <f aca="false">C1810/D1810-1</f>
        <v>-0.447723374113254</v>
      </c>
      <c r="F1810" s="42" t="n">
        <f aca="false">YEAR(A1810)</f>
        <v>2020</v>
      </c>
    </row>
    <row r="1811" customFormat="false" ht="15" hidden="false" customHeight="false" outlineLevel="0" collapsed="false">
      <c r="A1811" s="38" t="n">
        <v>44069</v>
      </c>
      <c r="B1811" s="39" t="n">
        <v>1218.5</v>
      </c>
      <c r="C1811" s="40" t="n">
        <v>15414806.49</v>
      </c>
      <c r="D1811" s="40" t="n">
        <f aca="false">MAX(D1810,C1811)</f>
        <v>27863258.68</v>
      </c>
      <c r="E1811" s="41" t="n">
        <f aca="false">C1811/D1811-1</f>
        <v>-0.446769429698307</v>
      </c>
      <c r="F1811" s="42" t="n">
        <f aca="false">YEAR(A1811)</f>
        <v>2020</v>
      </c>
    </row>
    <row r="1812" customFormat="false" ht="15" hidden="false" customHeight="false" outlineLevel="0" collapsed="false">
      <c r="A1812" s="38" t="n">
        <v>44070</v>
      </c>
      <c r="B1812" s="39" t="n">
        <v>1224</v>
      </c>
      <c r="C1812" s="40" t="n">
        <v>15707186.49</v>
      </c>
      <c r="D1812" s="40" t="n">
        <f aca="false">MAX(D1811,C1812)</f>
        <v>27863258.68</v>
      </c>
      <c r="E1812" s="41" t="n">
        <f aca="false">C1812/D1812-1</f>
        <v>-0.436276041133894</v>
      </c>
      <c r="F1812" s="42" t="n">
        <f aca="false">YEAR(A1812)</f>
        <v>2020</v>
      </c>
    </row>
    <row r="1813" customFormat="false" ht="15" hidden="false" customHeight="false" outlineLevel="0" collapsed="false">
      <c r="A1813" s="38" t="n">
        <v>44071</v>
      </c>
      <c r="B1813" s="39" t="n">
        <v>1231</v>
      </c>
      <c r="C1813" s="40" t="n">
        <v>16079306.49</v>
      </c>
      <c r="D1813" s="40" t="n">
        <f aca="false">MAX(D1812,C1813)</f>
        <v>27863258.68</v>
      </c>
      <c r="E1813" s="41" t="n">
        <f aca="false">C1813/D1813-1</f>
        <v>-0.42292081932464</v>
      </c>
      <c r="F1813" s="42" t="n">
        <f aca="false">YEAR(A1813)</f>
        <v>2020</v>
      </c>
    </row>
    <row r="1814" customFormat="false" ht="15" hidden="false" customHeight="false" outlineLevel="0" collapsed="false">
      <c r="A1814" s="38" t="n">
        <v>44074</v>
      </c>
      <c r="B1814" s="39" t="n">
        <v>1238.5</v>
      </c>
      <c r="C1814" s="40" t="n">
        <v>16478006.49</v>
      </c>
      <c r="D1814" s="40" t="n">
        <f aca="false">MAX(D1813,C1814)</f>
        <v>27863258.68</v>
      </c>
      <c r="E1814" s="41" t="n">
        <f aca="false">C1814/D1814-1</f>
        <v>-0.408611653100441</v>
      </c>
      <c r="F1814" s="42" t="n">
        <f aca="false">YEAR(A1814)</f>
        <v>2020</v>
      </c>
    </row>
    <row r="1815" customFormat="false" ht="15" hidden="false" customHeight="false" outlineLevel="0" collapsed="false">
      <c r="A1815" s="38" t="n">
        <v>44075</v>
      </c>
      <c r="B1815" s="39" t="n">
        <v>1263</v>
      </c>
      <c r="C1815" s="40" t="n">
        <v>17780426.49</v>
      </c>
      <c r="D1815" s="40" t="n">
        <f aca="false">MAX(D1814,C1815)</f>
        <v>27863258.68</v>
      </c>
      <c r="E1815" s="41" t="n">
        <f aca="false">C1815/D1815-1</f>
        <v>-0.361868376768054</v>
      </c>
      <c r="F1815" s="42" t="n">
        <f aca="false">YEAR(A1815)</f>
        <v>2020</v>
      </c>
    </row>
    <row r="1816" customFormat="false" ht="15" hidden="false" customHeight="false" outlineLevel="0" collapsed="false">
      <c r="A1816" s="38" t="n">
        <v>44076</v>
      </c>
      <c r="B1816" s="39" t="n">
        <v>1274</v>
      </c>
      <c r="C1816" s="40" t="n">
        <v>18365186.49</v>
      </c>
      <c r="D1816" s="40" t="n">
        <f aca="false">MAX(D1815,C1816)</f>
        <v>27863258.68</v>
      </c>
      <c r="E1816" s="41" t="n">
        <f aca="false">C1816/D1816-1</f>
        <v>-0.340881599639228</v>
      </c>
      <c r="F1816" s="42" t="n">
        <f aca="false">YEAR(A1816)</f>
        <v>2020</v>
      </c>
    </row>
    <row r="1817" customFormat="false" ht="15" hidden="false" customHeight="false" outlineLevel="0" collapsed="false">
      <c r="A1817" s="38" t="n">
        <v>44077</v>
      </c>
      <c r="B1817" s="39" t="n">
        <v>1281</v>
      </c>
      <c r="C1817" s="40" t="n">
        <v>18737306.49</v>
      </c>
      <c r="D1817" s="40" t="n">
        <f aca="false">MAX(D1816,C1817)</f>
        <v>27863258.68</v>
      </c>
      <c r="E1817" s="41" t="n">
        <f aca="false">C1817/D1817-1</f>
        <v>-0.327526377829975</v>
      </c>
      <c r="F1817" s="42" t="n">
        <f aca="false">YEAR(A1817)</f>
        <v>2020</v>
      </c>
    </row>
    <row r="1818" customFormat="false" ht="15" hidden="false" customHeight="false" outlineLevel="0" collapsed="false">
      <c r="A1818" s="38" t="n">
        <v>44078</v>
      </c>
      <c r="B1818" s="39" t="n">
        <v>1279</v>
      </c>
      <c r="C1818" s="40" t="n">
        <v>18630986.49</v>
      </c>
      <c r="D1818" s="40" t="n">
        <f aca="false">MAX(D1817,C1818)</f>
        <v>27863258.68</v>
      </c>
      <c r="E1818" s="41" t="n">
        <f aca="false">C1818/D1818-1</f>
        <v>-0.331342155489761</v>
      </c>
      <c r="F1818" s="42" t="n">
        <f aca="false">YEAR(A1818)</f>
        <v>2020</v>
      </c>
    </row>
    <row r="1819" customFormat="false" ht="15" hidden="false" customHeight="false" outlineLevel="0" collapsed="false">
      <c r="A1819" s="38" t="n">
        <v>44081</v>
      </c>
      <c r="B1819" s="39" t="n">
        <v>1283</v>
      </c>
      <c r="C1819" s="40" t="n">
        <v>18843626.49</v>
      </c>
      <c r="D1819" s="40" t="n">
        <f aca="false">MAX(D1818,C1819)</f>
        <v>27863258.68</v>
      </c>
      <c r="E1819" s="41" t="n">
        <f aca="false">C1819/D1819-1</f>
        <v>-0.323710600170188</v>
      </c>
      <c r="F1819" s="42" t="n">
        <f aca="false">YEAR(A1819)</f>
        <v>2020</v>
      </c>
    </row>
    <row r="1820" customFormat="false" ht="15" hidden="false" customHeight="false" outlineLevel="0" collapsed="false">
      <c r="A1820" s="38" t="n">
        <v>44082</v>
      </c>
      <c r="B1820" s="39" t="n">
        <v>1261</v>
      </c>
      <c r="C1820" s="40" t="n">
        <v>17674106.49</v>
      </c>
      <c r="D1820" s="40" t="n">
        <f aca="false">MAX(D1819,C1820)</f>
        <v>27863258.68</v>
      </c>
      <c r="E1820" s="41" t="n">
        <f aca="false">C1820/D1820-1</f>
        <v>-0.365684154427841</v>
      </c>
      <c r="F1820" s="42" t="n">
        <f aca="false">YEAR(A1820)</f>
        <v>2020</v>
      </c>
    </row>
    <row r="1821" customFormat="false" ht="15" hidden="false" customHeight="false" outlineLevel="0" collapsed="false">
      <c r="A1821" s="38" t="n">
        <v>44083</v>
      </c>
      <c r="B1821" s="39" t="n">
        <v>1257</v>
      </c>
      <c r="C1821" s="40" t="n">
        <v>17461466.49</v>
      </c>
      <c r="D1821" s="40" t="n">
        <f aca="false">MAX(D1820,C1821)</f>
        <v>27863258.68</v>
      </c>
      <c r="E1821" s="41" t="n">
        <f aca="false">C1821/D1821-1</f>
        <v>-0.373315709747414</v>
      </c>
      <c r="F1821" s="42" t="n">
        <f aca="false">YEAR(A1821)</f>
        <v>2020</v>
      </c>
    </row>
    <row r="1822" customFormat="false" ht="15" hidden="false" customHeight="false" outlineLevel="0" collapsed="false">
      <c r="A1822" s="38" t="n">
        <v>44084</v>
      </c>
      <c r="B1822" s="39" t="n">
        <v>1245</v>
      </c>
      <c r="C1822" s="40" t="n">
        <v>16823546.49</v>
      </c>
      <c r="D1822" s="40" t="n">
        <f aca="false">MAX(D1821,C1822)</f>
        <v>27863258.68</v>
      </c>
      <c r="E1822" s="41" t="n">
        <f aca="false">C1822/D1822-1</f>
        <v>-0.396210375706134</v>
      </c>
      <c r="F1822" s="42" t="n">
        <f aca="false">YEAR(A1822)</f>
        <v>2020</v>
      </c>
    </row>
    <row r="1823" customFormat="false" ht="15" hidden="false" customHeight="false" outlineLevel="0" collapsed="false">
      <c r="A1823" s="38" t="n">
        <v>44085</v>
      </c>
      <c r="B1823" s="39" t="n">
        <v>1255.5</v>
      </c>
      <c r="C1823" s="40" t="n">
        <v>17381726.49</v>
      </c>
      <c r="D1823" s="40" t="n">
        <f aca="false">MAX(D1822,C1823)</f>
        <v>27863258.68</v>
      </c>
      <c r="E1823" s="41" t="n">
        <f aca="false">C1823/D1823-1</f>
        <v>-0.376177542992254</v>
      </c>
      <c r="F1823" s="42" t="n">
        <f aca="false">YEAR(A1823)</f>
        <v>2020</v>
      </c>
    </row>
    <row r="1824" customFormat="false" ht="15" hidden="false" customHeight="false" outlineLevel="0" collapsed="false">
      <c r="A1824" s="38" t="n">
        <v>44088</v>
      </c>
      <c r="B1824" s="39" t="n">
        <v>1261.5</v>
      </c>
      <c r="C1824" s="40" t="n">
        <v>17700686.49</v>
      </c>
      <c r="D1824" s="40" t="n">
        <f aca="false">MAX(D1823,C1824)</f>
        <v>27863258.68</v>
      </c>
      <c r="E1824" s="41" t="n">
        <f aca="false">C1824/D1824-1</f>
        <v>-0.364730210012894</v>
      </c>
      <c r="F1824" s="42" t="n">
        <f aca="false">YEAR(A1824)</f>
        <v>2020</v>
      </c>
    </row>
    <row r="1825" customFormat="false" ht="15" hidden="false" customHeight="false" outlineLevel="0" collapsed="false">
      <c r="A1825" s="38" t="n">
        <v>44089</v>
      </c>
      <c r="B1825" s="39" t="n">
        <v>1254</v>
      </c>
      <c r="C1825" s="40" t="n">
        <v>17301986.49</v>
      </c>
      <c r="D1825" s="40" t="n">
        <f aca="false">MAX(D1824,C1825)</f>
        <v>27863258.68</v>
      </c>
      <c r="E1825" s="41" t="n">
        <f aca="false">C1825/D1825-1</f>
        <v>-0.379039376237094</v>
      </c>
      <c r="F1825" s="42" t="n">
        <f aca="false">YEAR(A1825)</f>
        <v>2020</v>
      </c>
    </row>
    <row r="1826" customFormat="false" ht="15" hidden="false" customHeight="false" outlineLevel="0" collapsed="false">
      <c r="A1826" s="38" t="n">
        <v>44090</v>
      </c>
      <c r="B1826" s="39" t="n">
        <v>1245.5</v>
      </c>
      <c r="C1826" s="40" t="n">
        <v>16850126.49</v>
      </c>
      <c r="D1826" s="40" t="n">
        <f aca="false">MAX(D1825,C1826)</f>
        <v>27863258.68</v>
      </c>
      <c r="E1826" s="41" t="n">
        <f aca="false">C1826/D1826-1</f>
        <v>-0.395256431291187</v>
      </c>
      <c r="F1826" s="42" t="n">
        <f aca="false">YEAR(A1826)</f>
        <v>2020</v>
      </c>
    </row>
    <row r="1827" customFormat="false" ht="15" hidden="false" customHeight="false" outlineLevel="0" collapsed="false">
      <c r="A1827" s="38" t="n">
        <v>44091</v>
      </c>
      <c r="B1827" s="39" t="n">
        <v>1258.5</v>
      </c>
      <c r="C1827" s="40" t="n">
        <v>17541206.49</v>
      </c>
      <c r="D1827" s="40" t="n">
        <f aca="false">MAX(D1826,C1827)</f>
        <v>27863258.68</v>
      </c>
      <c r="E1827" s="41" t="n">
        <f aca="false">C1827/D1827-1</f>
        <v>-0.370453876502574</v>
      </c>
      <c r="F1827" s="42" t="n">
        <f aca="false">YEAR(A1827)</f>
        <v>2020</v>
      </c>
    </row>
    <row r="1828" customFormat="false" ht="15" hidden="false" customHeight="false" outlineLevel="0" collapsed="false">
      <c r="A1828" s="38" t="n">
        <v>44092</v>
      </c>
      <c r="B1828" s="39" t="n">
        <v>1275.5</v>
      </c>
      <c r="C1828" s="40" t="n">
        <v>18444926.49</v>
      </c>
      <c r="D1828" s="40" t="n">
        <f aca="false">MAX(D1827,C1828)</f>
        <v>27863258.68</v>
      </c>
      <c r="E1828" s="41" t="n">
        <f aca="false">C1828/D1828-1</f>
        <v>-0.338019766394388</v>
      </c>
      <c r="F1828" s="42" t="n">
        <f aca="false">YEAR(A1828)</f>
        <v>2020</v>
      </c>
    </row>
    <row r="1829" customFormat="false" ht="15" hidden="false" customHeight="false" outlineLevel="0" collapsed="false">
      <c r="A1829" s="38" t="n">
        <v>44095</v>
      </c>
      <c r="B1829" s="39" t="n">
        <v>1267</v>
      </c>
      <c r="C1829" s="40" t="n">
        <v>17993066.49</v>
      </c>
      <c r="D1829" s="40" t="n">
        <f aca="false">MAX(D1828,C1829)</f>
        <v>27863258.68</v>
      </c>
      <c r="E1829" s="41" t="n">
        <f aca="false">C1829/D1829-1</f>
        <v>-0.354236821448481</v>
      </c>
      <c r="F1829" s="42" t="n">
        <f aca="false">YEAR(A1829)</f>
        <v>2020</v>
      </c>
    </row>
    <row r="1830" customFormat="false" ht="15" hidden="false" customHeight="false" outlineLevel="0" collapsed="false">
      <c r="A1830" s="38" t="n">
        <v>44096</v>
      </c>
      <c r="B1830" s="39" t="n">
        <v>1269.5</v>
      </c>
      <c r="C1830" s="40" t="n">
        <v>18125966.49</v>
      </c>
      <c r="D1830" s="40" t="n">
        <f aca="false">MAX(D1829,C1830)</f>
        <v>27863258.68</v>
      </c>
      <c r="E1830" s="41" t="n">
        <f aca="false">C1830/D1830-1</f>
        <v>-0.349467099373748</v>
      </c>
      <c r="F1830" s="42" t="n">
        <f aca="false">YEAR(A1830)</f>
        <v>2020</v>
      </c>
    </row>
    <row r="1831" customFormat="false" ht="15" hidden="false" customHeight="false" outlineLevel="0" collapsed="false">
      <c r="A1831" s="38" t="n">
        <v>44097</v>
      </c>
      <c r="B1831" s="39" t="n">
        <v>1270.5</v>
      </c>
      <c r="C1831" s="40" t="n">
        <v>18179126.49</v>
      </c>
      <c r="D1831" s="40" t="n">
        <f aca="false">MAX(D1830,C1831)</f>
        <v>27863258.68</v>
      </c>
      <c r="E1831" s="41" t="n">
        <f aca="false">C1831/D1831-1</f>
        <v>-0.347559210543855</v>
      </c>
      <c r="F1831" s="42" t="n">
        <f aca="false">YEAR(A1831)</f>
        <v>2020</v>
      </c>
    </row>
    <row r="1832" customFormat="false" ht="15" hidden="false" customHeight="false" outlineLevel="0" collapsed="false">
      <c r="A1832" s="38" t="n">
        <v>44098</v>
      </c>
      <c r="B1832" s="39" t="n">
        <v>1256</v>
      </c>
      <c r="C1832" s="40" t="n">
        <v>17408306.49</v>
      </c>
      <c r="D1832" s="40" t="n">
        <f aca="false">MAX(D1831,C1832)</f>
        <v>27863258.68</v>
      </c>
      <c r="E1832" s="41" t="n">
        <f aca="false">C1832/D1832-1</f>
        <v>-0.375223598577308</v>
      </c>
      <c r="F1832" s="42" t="n">
        <f aca="false">YEAR(A1832)</f>
        <v>2020</v>
      </c>
    </row>
    <row r="1833" customFormat="false" ht="15" hidden="false" customHeight="false" outlineLevel="0" collapsed="false">
      <c r="A1833" s="38" t="n">
        <v>44099</v>
      </c>
      <c r="B1833" s="39" t="n">
        <v>1241.5</v>
      </c>
      <c r="C1833" s="40" t="n">
        <v>16637486.49</v>
      </c>
      <c r="D1833" s="40" t="n">
        <f aca="false">MAX(D1832,C1833)</f>
        <v>27863258.68</v>
      </c>
      <c r="E1833" s="41" t="n">
        <f aca="false">C1833/D1833-1</f>
        <v>-0.402887986610761</v>
      </c>
      <c r="F1833" s="42" t="n">
        <f aca="false">YEAR(A1833)</f>
        <v>2020</v>
      </c>
    </row>
    <row r="1834" customFormat="false" ht="15" hidden="false" customHeight="false" outlineLevel="0" collapsed="false">
      <c r="A1834" s="38" t="n">
        <v>44102</v>
      </c>
      <c r="B1834" s="39" t="n">
        <v>1261.5</v>
      </c>
      <c r="C1834" s="40" t="n">
        <v>17700686.49</v>
      </c>
      <c r="D1834" s="40" t="n">
        <f aca="false">MAX(D1833,C1834)</f>
        <v>27863258.68</v>
      </c>
      <c r="E1834" s="41" t="n">
        <f aca="false">C1834/D1834-1</f>
        <v>-0.364730210012894</v>
      </c>
      <c r="F1834" s="42" t="n">
        <f aca="false">YEAR(A1834)</f>
        <v>2020</v>
      </c>
    </row>
    <row r="1835" customFormat="false" ht="15" hidden="false" customHeight="false" outlineLevel="0" collapsed="false">
      <c r="A1835" s="38" t="n">
        <v>44103</v>
      </c>
      <c r="B1835" s="39" t="n">
        <v>1274</v>
      </c>
      <c r="C1835" s="40" t="n">
        <v>18365186.49</v>
      </c>
      <c r="D1835" s="40" t="n">
        <f aca="false">MAX(D1834,C1835)</f>
        <v>27863258.68</v>
      </c>
      <c r="E1835" s="41" t="n">
        <f aca="false">C1835/D1835-1</f>
        <v>-0.340881599639228</v>
      </c>
      <c r="F1835" s="42" t="n">
        <f aca="false">YEAR(A1835)</f>
        <v>2020</v>
      </c>
    </row>
    <row r="1836" customFormat="false" ht="15" hidden="false" customHeight="false" outlineLevel="0" collapsed="false">
      <c r="A1836" s="38" t="n">
        <v>44104</v>
      </c>
      <c r="B1836" s="39" t="n">
        <v>1268.5</v>
      </c>
      <c r="C1836" s="40" t="n">
        <v>18072806.49</v>
      </c>
      <c r="D1836" s="40" t="n">
        <f aca="false">MAX(D1835,C1836)</f>
        <v>27863258.68</v>
      </c>
      <c r="E1836" s="41" t="n">
        <f aca="false">C1836/D1836-1</f>
        <v>-0.351374988203641</v>
      </c>
      <c r="F1836" s="42" t="n">
        <f aca="false">YEAR(A1836)</f>
        <v>2020</v>
      </c>
    </row>
    <row r="1837" customFormat="false" ht="15" hidden="false" customHeight="false" outlineLevel="0" collapsed="false">
      <c r="A1837" s="38" t="n">
        <v>44113</v>
      </c>
      <c r="B1837" s="39" t="n">
        <v>1318.5</v>
      </c>
      <c r="C1837" s="40" t="n">
        <v>20730806.49</v>
      </c>
      <c r="D1837" s="40" t="n">
        <f aca="false">MAX(D1836,C1837)</f>
        <v>27863258.68</v>
      </c>
      <c r="E1837" s="41" t="n">
        <f aca="false">C1837/D1837-1</f>
        <v>-0.255980546708975</v>
      </c>
      <c r="F1837" s="42" t="n">
        <f aca="false">YEAR(A1837)</f>
        <v>2020</v>
      </c>
    </row>
    <row r="1838" customFormat="false" ht="15" hidden="false" customHeight="false" outlineLevel="0" collapsed="false">
      <c r="A1838" s="38" t="n">
        <v>44116</v>
      </c>
      <c r="B1838" s="39" t="n">
        <v>1340.5</v>
      </c>
      <c r="C1838" s="40" t="n">
        <v>21900326.49</v>
      </c>
      <c r="D1838" s="40" t="n">
        <f aca="false">MAX(D1837,C1838)</f>
        <v>27863258.68</v>
      </c>
      <c r="E1838" s="41" t="n">
        <f aca="false">C1838/D1838-1</f>
        <v>-0.214006992451322</v>
      </c>
      <c r="F1838" s="42" t="n">
        <f aca="false">YEAR(A1838)</f>
        <v>2020</v>
      </c>
    </row>
    <row r="1839" customFormat="false" ht="15" hidden="false" customHeight="false" outlineLevel="0" collapsed="false">
      <c r="A1839" s="38" t="n">
        <v>44117</v>
      </c>
      <c r="B1839" s="39" t="n">
        <v>1347</v>
      </c>
      <c r="C1839" s="40" t="n">
        <v>22245866.49</v>
      </c>
      <c r="D1839" s="40" t="n">
        <f aca="false">MAX(D1838,C1839)</f>
        <v>27863258.68</v>
      </c>
      <c r="E1839" s="41" t="n">
        <f aca="false">C1839/D1839-1</f>
        <v>-0.201605715057016</v>
      </c>
      <c r="F1839" s="42" t="n">
        <f aca="false">YEAR(A1839)</f>
        <v>2020</v>
      </c>
    </row>
    <row r="1840" customFormat="false" ht="15" hidden="false" customHeight="false" outlineLevel="0" collapsed="false">
      <c r="A1840" s="38" t="n">
        <v>44118</v>
      </c>
      <c r="B1840" s="39" t="n">
        <v>1346.5</v>
      </c>
      <c r="C1840" s="40" t="n">
        <v>22219286.49</v>
      </c>
      <c r="D1840" s="40" t="n">
        <f aca="false">MAX(D1839,C1840)</f>
        <v>27863258.68</v>
      </c>
      <c r="E1840" s="41" t="n">
        <f aca="false">C1840/D1840-1</f>
        <v>-0.202559659471962</v>
      </c>
      <c r="F1840" s="42" t="n">
        <f aca="false">YEAR(A1840)</f>
        <v>2020</v>
      </c>
    </row>
    <row r="1841" customFormat="false" ht="15" hidden="false" customHeight="false" outlineLevel="0" collapsed="false">
      <c r="A1841" s="38" t="n">
        <v>44119</v>
      </c>
      <c r="B1841" s="39" t="n">
        <v>1339.5</v>
      </c>
      <c r="C1841" s="40" t="n">
        <v>21847166.49</v>
      </c>
      <c r="D1841" s="40" t="n">
        <f aca="false">MAX(D1840,C1841)</f>
        <v>27863258.68</v>
      </c>
      <c r="E1841" s="41" t="n">
        <f aca="false">C1841/D1841-1</f>
        <v>-0.215914881281216</v>
      </c>
      <c r="F1841" s="42" t="n">
        <f aca="false">YEAR(A1841)</f>
        <v>2020</v>
      </c>
    </row>
    <row r="1842" customFormat="false" ht="15" hidden="false" customHeight="false" outlineLevel="0" collapsed="false">
      <c r="A1842" s="38" t="n">
        <v>44120</v>
      </c>
      <c r="B1842" s="39" t="n">
        <v>1332</v>
      </c>
      <c r="C1842" s="40" t="n">
        <v>21448466.49</v>
      </c>
      <c r="D1842" s="40" t="n">
        <f aca="false">MAX(D1841,C1842)</f>
        <v>27863258.68</v>
      </c>
      <c r="E1842" s="41" t="n">
        <f aca="false">C1842/D1842-1</f>
        <v>-0.230224047505415</v>
      </c>
      <c r="F1842" s="42" t="n">
        <f aca="false">YEAR(A1842)</f>
        <v>2020</v>
      </c>
    </row>
    <row r="1843" customFormat="false" ht="15" hidden="false" customHeight="false" outlineLevel="0" collapsed="false">
      <c r="A1843" s="38" t="n">
        <v>44123</v>
      </c>
      <c r="B1843" s="39" t="n">
        <v>1323.5</v>
      </c>
      <c r="C1843" s="40" t="n">
        <v>20996606.49</v>
      </c>
      <c r="D1843" s="40" t="n">
        <f aca="false">MAX(D1842,C1843)</f>
        <v>27863258.68</v>
      </c>
      <c r="E1843" s="41" t="n">
        <f aca="false">C1843/D1843-1</f>
        <v>-0.246441102559509</v>
      </c>
      <c r="F1843" s="42" t="n">
        <f aca="false">YEAR(A1843)</f>
        <v>2020</v>
      </c>
    </row>
    <row r="1844" customFormat="false" ht="15" hidden="false" customHeight="false" outlineLevel="0" collapsed="false">
      <c r="A1844" s="38" t="n">
        <v>44124</v>
      </c>
      <c r="B1844" s="39" t="n">
        <v>1344</v>
      </c>
      <c r="C1844" s="40" t="n">
        <v>22086386.49</v>
      </c>
      <c r="D1844" s="40" t="n">
        <f aca="false">MAX(D1843,C1844)</f>
        <v>27863258.68</v>
      </c>
      <c r="E1844" s="41" t="n">
        <f aca="false">C1844/D1844-1</f>
        <v>-0.207329381546696</v>
      </c>
      <c r="F1844" s="42" t="n">
        <f aca="false">YEAR(A1844)</f>
        <v>2020</v>
      </c>
    </row>
    <row r="1845" customFormat="false" ht="15" hidden="false" customHeight="false" outlineLevel="0" collapsed="false">
      <c r="A1845" s="38" t="n">
        <v>44125</v>
      </c>
      <c r="B1845" s="39" t="n">
        <v>1344.5</v>
      </c>
      <c r="C1845" s="40" t="n">
        <v>22112966.49</v>
      </c>
      <c r="D1845" s="40" t="n">
        <f aca="false">MAX(D1844,C1845)</f>
        <v>27863258.68</v>
      </c>
      <c r="E1845" s="41" t="n">
        <f aca="false">C1845/D1845-1</f>
        <v>-0.206375437131749</v>
      </c>
      <c r="F1845" s="42" t="n">
        <f aca="false">YEAR(A1845)</f>
        <v>2020</v>
      </c>
    </row>
    <row r="1846" customFormat="false" ht="15" hidden="false" customHeight="false" outlineLevel="0" collapsed="false">
      <c r="A1846" s="38" t="n">
        <v>44126</v>
      </c>
      <c r="B1846" s="39" t="n">
        <v>1351.5</v>
      </c>
      <c r="C1846" s="40" t="n">
        <v>22485086.49</v>
      </c>
      <c r="D1846" s="40" t="n">
        <f aca="false">MAX(D1845,C1846)</f>
        <v>27863258.68</v>
      </c>
      <c r="E1846" s="41" t="n">
        <f aca="false">C1846/D1846-1</f>
        <v>-0.193020215322496</v>
      </c>
      <c r="F1846" s="42" t="n">
        <f aca="false">YEAR(A1846)</f>
        <v>2020</v>
      </c>
    </row>
    <row r="1847" customFormat="false" ht="15" hidden="false" customHeight="false" outlineLevel="0" collapsed="false">
      <c r="A1847" s="38" t="n">
        <v>44127</v>
      </c>
      <c r="B1847" s="39" t="n">
        <v>1341.5</v>
      </c>
      <c r="C1847" s="40" t="n">
        <v>21953486.49</v>
      </c>
      <c r="D1847" s="40" t="n">
        <f aca="false">MAX(D1846,C1847)</f>
        <v>27863258.68</v>
      </c>
      <c r="E1847" s="41" t="n">
        <f aca="false">C1847/D1847-1</f>
        <v>-0.212099103621429</v>
      </c>
      <c r="F1847" s="42" t="n">
        <f aca="false">YEAR(A1847)</f>
        <v>2020</v>
      </c>
    </row>
    <row r="1848" customFormat="false" ht="15" hidden="false" customHeight="false" outlineLevel="0" collapsed="false">
      <c r="A1848" s="38" t="n">
        <v>44130</v>
      </c>
      <c r="B1848" s="39" t="n">
        <v>1339.5</v>
      </c>
      <c r="C1848" s="40" t="n">
        <v>21847166.49</v>
      </c>
      <c r="D1848" s="40" t="n">
        <f aca="false">MAX(D1847,C1848)</f>
        <v>27863258.68</v>
      </c>
      <c r="E1848" s="41" t="n">
        <f aca="false">C1848/D1848-1</f>
        <v>-0.215914881281216</v>
      </c>
      <c r="F1848" s="42" t="n">
        <f aca="false">YEAR(A1848)</f>
        <v>2020</v>
      </c>
    </row>
    <row r="1849" customFormat="false" ht="15" hidden="false" customHeight="false" outlineLevel="0" collapsed="false">
      <c r="A1849" s="38" t="n">
        <v>44131</v>
      </c>
      <c r="B1849" s="39" t="n">
        <v>1343</v>
      </c>
      <c r="C1849" s="40" t="n">
        <v>22033226.49</v>
      </c>
      <c r="D1849" s="40" t="n">
        <f aca="false">MAX(D1848,C1849)</f>
        <v>27863258.68</v>
      </c>
      <c r="E1849" s="41" t="n">
        <f aca="false">C1849/D1849-1</f>
        <v>-0.209237270376589</v>
      </c>
      <c r="F1849" s="42" t="n">
        <f aca="false">YEAR(A1849)</f>
        <v>2020</v>
      </c>
    </row>
    <row r="1850" customFormat="false" ht="15" hidden="false" customHeight="false" outlineLevel="0" collapsed="false">
      <c r="A1850" s="38" t="n">
        <v>44132</v>
      </c>
      <c r="B1850" s="39" t="n">
        <v>1335.5</v>
      </c>
      <c r="C1850" s="40" t="n">
        <v>21634526.49</v>
      </c>
      <c r="D1850" s="40" t="n">
        <f aca="false">MAX(D1849,C1850)</f>
        <v>27863258.68</v>
      </c>
      <c r="E1850" s="41" t="n">
        <f aca="false">C1850/D1850-1</f>
        <v>-0.223546436600789</v>
      </c>
      <c r="F1850" s="42" t="n">
        <f aca="false">YEAR(A1850)</f>
        <v>2020</v>
      </c>
    </row>
    <row r="1851" customFormat="false" ht="15" hidden="false" customHeight="false" outlineLevel="0" collapsed="false">
      <c r="A1851" s="38" t="n">
        <v>44133</v>
      </c>
      <c r="B1851" s="39" t="n">
        <v>1352</v>
      </c>
      <c r="C1851" s="40" t="n">
        <v>22511666.49</v>
      </c>
      <c r="D1851" s="40" t="n">
        <f aca="false">MAX(D1850,C1851)</f>
        <v>27863258.68</v>
      </c>
      <c r="E1851" s="41" t="n">
        <f aca="false">C1851/D1851-1</f>
        <v>-0.192066270907549</v>
      </c>
      <c r="F1851" s="42" t="n">
        <f aca="false">YEAR(A1851)</f>
        <v>2020</v>
      </c>
    </row>
    <row r="1852" customFormat="false" ht="15" hidden="false" customHeight="false" outlineLevel="0" collapsed="false">
      <c r="A1852" s="38" t="n">
        <v>44134</v>
      </c>
      <c r="B1852" s="39" t="n">
        <v>1350</v>
      </c>
      <c r="C1852" s="40" t="n">
        <v>22405346.49</v>
      </c>
      <c r="D1852" s="40" t="n">
        <f aca="false">MAX(D1851,C1852)</f>
        <v>27863258.68</v>
      </c>
      <c r="E1852" s="41" t="n">
        <f aca="false">C1852/D1852-1</f>
        <v>-0.195882048567336</v>
      </c>
      <c r="F1852" s="42" t="n">
        <f aca="false">YEAR(A1852)</f>
        <v>2020</v>
      </c>
    </row>
    <row r="1853" customFormat="false" ht="15" hidden="false" customHeight="false" outlineLevel="0" collapsed="false">
      <c r="A1853" s="38" t="n">
        <v>44137</v>
      </c>
      <c r="B1853" s="39" t="n">
        <v>1360.5</v>
      </c>
      <c r="C1853" s="40" t="n">
        <v>22963526.49</v>
      </c>
      <c r="D1853" s="40" t="n">
        <f aca="false">MAX(D1852,C1853)</f>
        <v>27863258.68</v>
      </c>
      <c r="E1853" s="41" t="n">
        <f aca="false">C1853/D1853-1</f>
        <v>-0.175849215853456</v>
      </c>
      <c r="F1853" s="42" t="n">
        <f aca="false">YEAR(A1853)</f>
        <v>2020</v>
      </c>
    </row>
    <row r="1854" customFormat="false" ht="15" hidden="false" customHeight="false" outlineLevel="0" collapsed="false">
      <c r="A1854" s="38" t="n">
        <v>44138</v>
      </c>
      <c r="B1854" s="39" t="n">
        <v>1330.5</v>
      </c>
      <c r="C1854" s="40" t="n">
        <v>21368726.49</v>
      </c>
      <c r="D1854" s="40" t="n">
        <f aca="false">MAX(D1853,C1854)</f>
        <v>27863258.68</v>
      </c>
      <c r="E1854" s="41" t="n">
        <f aca="false">C1854/D1854-1</f>
        <v>-0.233085880750256</v>
      </c>
      <c r="F1854" s="42" t="n">
        <f aca="false">YEAR(A1854)</f>
        <v>2020</v>
      </c>
    </row>
    <row r="1855" customFormat="false" ht="15" hidden="false" customHeight="false" outlineLevel="0" collapsed="false">
      <c r="A1855" s="38" t="n">
        <v>44139</v>
      </c>
      <c r="B1855" s="39" t="n">
        <v>1306.5</v>
      </c>
      <c r="C1855" s="40" t="n">
        <v>20092886.49</v>
      </c>
      <c r="D1855" s="40" t="n">
        <f aca="false">MAX(D1854,C1855)</f>
        <v>27863258.68</v>
      </c>
      <c r="E1855" s="41" t="n">
        <f aca="false">C1855/D1855-1</f>
        <v>-0.278875212667695</v>
      </c>
      <c r="F1855" s="42" t="n">
        <f aca="false">YEAR(A1855)</f>
        <v>2020</v>
      </c>
    </row>
    <row r="1856" customFormat="false" ht="15" hidden="false" customHeight="false" outlineLevel="0" collapsed="false">
      <c r="A1856" s="38" t="n">
        <v>44140</v>
      </c>
      <c r="B1856" s="39" t="n">
        <v>1303.5</v>
      </c>
      <c r="C1856" s="40" t="n">
        <v>19933406.49</v>
      </c>
      <c r="D1856" s="40" t="n">
        <f aca="false">MAX(D1855,C1856)</f>
        <v>27863258.68</v>
      </c>
      <c r="E1856" s="41" t="n">
        <f aca="false">C1856/D1856-1</f>
        <v>-0.284598879157375</v>
      </c>
      <c r="F1856" s="42" t="n">
        <f aca="false">YEAR(A1856)</f>
        <v>2020</v>
      </c>
    </row>
    <row r="1857" customFormat="false" ht="15" hidden="false" customHeight="false" outlineLevel="0" collapsed="false">
      <c r="A1857" s="38" t="n">
        <v>44141</v>
      </c>
      <c r="B1857" s="39" t="n">
        <v>1300.5</v>
      </c>
      <c r="C1857" s="40" t="n">
        <v>19773926.49</v>
      </c>
      <c r="D1857" s="40" t="n">
        <f aca="false">MAX(D1856,C1857)</f>
        <v>27863258.68</v>
      </c>
      <c r="E1857" s="41" t="n">
        <f aca="false">C1857/D1857-1</f>
        <v>-0.290322545647055</v>
      </c>
      <c r="F1857" s="42" t="n">
        <f aca="false">YEAR(A1857)</f>
        <v>2020</v>
      </c>
    </row>
    <row r="1858" customFormat="false" ht="15" hidden="false" customHeight="false" outlineLevel="0" collapsed="false">
      <c r="A1858" s="38" t="n">
        <v>44144</v>
      </c>
      <c r="B1858" s="39" t="n">
        <v>1306.5</v>
      </c>
      <c r="C1858" s="40" t="n">
        <v>19926468.22</v>
      </c>
      <c r="D1858" s="40" t="n">
        <f aca="false">MAX(D1857,C1858)</f>
        <v>27863258.68</v>
      </c>
      <c r="E1858" s="41" t="n">
        <f aca="false">C1858/D1858-1</f>
        <v>-0.284847890591382</v>
      </c>
      <c r="F1858" s="42" t="n">
        <f aca="false">YEAR(A1858)</f>
        <v>2020</v>
      </c>
    </row>
    <row r="1859" customFormat="false" ht="15" hidden="false" customHeight="false" outlineLevel="0" collapsed="false">
      <c r="A1859" s="38" t="n">
        <v>44145</v>
      </c>
      <c r="B1859" s="39" t="n">
        <v>1304</v>
      </c>
      <c r="C1859" s="40" t="n">
        <v>19926468.22</v>
      </c>
      <c r="D1859" s="40" t="n">
        <f aca="false">MAX(D1858,C1859)</f>
        <v>27863258.68</v>
      </c>
      <c r="E1859" s="41" t="n">
        <f aca="false">C1859/D1859-1</f>
        <v>-0.284847890591382</v>
      </c>
      <c r="F1859" s="42" t="n">
        <f aca="false">YEAR(A1859)</f>
        <v>2020</v>
      </c>
    </row>
    <row r="1860" customFormat="false" ht="15" hidden="false" customHeight="false" outlineLevel="0" collapsed="false">
      <c r="A1860" s="38" t="n">
        <v>44146</v>
      </c>
      <c r="B1860" s="39" t="n">
        <v>1348.5</v>
      </c>
      <c r="C1860" s="40" t="n">
        <v>19926468.22</v>
      </c>
      <c r="D1860" s="40" t="n">
        <f aca="false">MAX(D1859,C1860)</f>
        <v>27863258.68</v>
      </c>
      <c r="E1860" s="41" t="n">
        <f aca="false">C1860/D1860-1</f>
        <v>-0.284847890591382</v>
      </c>
      <c r="F1860" s="42" t="n">
        <f aca="false">YEAR(A1860)</f>
        <v>2020</v>
      </c>
    </row>
    <row r="1861" customFormat="false" ht="15" hidden="false" customHeight="false" outlineLevel="0" collapsed="false">
      <c r="A1861" s="38" t="n">
        <v>44147</v>
      </c>
      <c r="B1861" s="39" t="n">
        <v>1361.5</v>
      </c>
      <c r="C1861" s="40" t="n">
        <v>19926468.22</v>
      </c>
      <c r="D1861" s="40" t="n">
        <f aca="false">MAX(D1860,C1861)</f>
        <v>27863258.68</v>
      </c>
      <c r="E1861" s="41" t="n">
        <f aca="false">C1861/D1861-1</f>
        <v>-0.284847890591382</v>
      </c>
      <c r="F1861" s="42" t="n">
        <f aca="false">YEAR(A1861)</f>
        <v>2020</v>
      </c>
    </row>
    <row r="1862" customFormat="false" ht="15" hidden="false" customHeight="false" outlineLevel="0" collapsed="false">
      <c r="A1862" s="38" t="n">
        <v>44148</v>
      </c>
      <c r="B1862" s="39" t="n">
        <v>1363.5</v>
      </c>
      <c r="C1862" s="40" t="n">
        <v>19926468.22</v>
      </c>
      <c r="D1862" s="40" t="n">
        <f aca="false">MAX(D1861,C1862)</f>
        <v>27863258.68</v>
      </c>
      <c r="E1862" s="41" t="n">
        <f aca="false">C1862/D1862-1</f>
        <v>-0.284847890591382</v>
      </c>
      <c r="F1862" s="42" t="n">
        <f aca="false">YEAR(A1862)</f>
        <v>2020</v>
      </c>
    </row>
    <row r="1863" customFormat="false" ht="15" hidden="false" customHeight="false" outlineLevel="0" collapsed="false">
      <c r="A1863" s="38" t="n">
        <v>44151</v>
      </c>
      <c r="B1863" s="39" t="n">
        <v>1328.5</v>
      </c>
      <c r="C1863" s="40" t="n">
        <v>19926468.22</v>
      </c>
      <c r="D1863" s="40" t="n">
        <f aca="false">MAX(D1862,C1863)</f>
        <v>27863258.68</v>
      </c>
      <c r="E1863" s="41" t="n">
        <f aca="false">C1863/D1863-1</f>
        <v>-0.284847890591382</v>
      </c>
      <c r="F1863" s="42" t="n">
        <f aca="false">YEAR(A1863)</f>
        <v>2020</v>
      </c>
    </row>
    <row r="1864" customFormat="false" ht="15" hidden="false" customHeight="false" outlineLevel="0" collapsed="false">
      <c r="A1864" s="38" t="n">
        <v>44152</v>
      </c>
      <c r="B1864" s="39" t="n">
        <v>1314</v>
      </c>
      <c r="C1864" s="40" t="n">
        <v>19926468.22</v>
      </c>
      <c r="D1864" s="40" t="n">
        <f aca="false">MAX(D1863,C1864)</f>
        <v>27863258.68</v>
      </c>
      <c r="E1864" s="41" t="n">
        <f aca="false">C1864/D1864-1</f>
        <v>-0.284847890591382</v>
      </c>
      <c r="F1864" s="42" t="n">
        <f aca="false">YEAR(A1864)</f>
        <v>2020</v>
      </c>
    </row>
    <row r="1865" customFormat="false" ht="15" hidden="false" customHeight="false" outlineLevel="0" collapsed="false">
      <c r="A1865" s="38" t="n">
        <v>44153</v>
      </c>
      <c r="B1865" s="39" t="n">
        <v>1317</v>
      </c>
      <c r="C1865" s="40" t="n">
        <v>19926468.22</v>
      </c>
      <c r="D1865" s="40" t="n">
        <f aca="false">MAX(D1864,C1865)</f>
        <v>27863258.68</v>
      </c>
      <c r="E1865" s="41" t="n">
        <f aca="false">C1865/D1865-1</f>
        <v>-0.284847890591382</v>
      </c>
      <c r="F1865" s="42" t="n">
        <f aca="false">YEAR(A1865)</f>
        <v>2020</v>
      </c>
    </row>
    <row r="1866" customFormat="false" ht="15" hidden="false" customHeight="false" outlineLevel="0" collapsed="false">
      <c r="A1866" s="38" t="n">
        <v>44154</v>
      </c>
      <c r="B1866" s="39" t="n">
        <v>1309.5</v>
      </c>
      <c r="C1866" s="40" t="n">
        <v>19926468.22</v>
      </c>
      <c r="D1866" s="40" t="n">
        <f aca="false">MAX(D1865,C1866)</f>
        <v>27863258.68</v>
      </c>
      <c r="E1866" s="41" t="n">
        <f aca="false">C1866/D1866-1</f>
        <v>-0.284847890591382</v>
      </c>
      <c r="F1866" s="42" t="n">
        <f aca="false">YEAR(A1866)</f>
        <v>2020</v>
      </c>
    </row>
    <row r="1867" customFormat="false" ht="15" hidden="false" customHeight="false" outlineLevel="0" collapsed="false">
      <c r="A1867" s="38" t="n">
        <v>44155</v>
      </c>
      <c r="B1867" s="39" t="n">
        <v>1319</v>
      </c>
      <c r="C1867" s="40" t="n">
        <v>19252249.15</v>
      </c>
      <c r="D1867" s="40" t="n">
        <f aca="false">MAX(D1866,C1867)</f>
        <v>27863258.68</v>
      </c>
      <c r="E1867" s="41" t="n">
        <f aca="false">C1867/D1867-1</f>
        <v>-0.309045314078102</v>
      </c>
      <c r="F1867" s="42" t="n">
        <f aca="false">YEAR(A1867)</f>
        <v>2020</v>
      </c>
    </row>
    <row r="1868" customFormat="false" ht="15" hidden="false" customHeight="false" outlineLevel="0" collapsed="false">
      <c r="A1868" s="38" t="n">
        <v>44158</v>
      </c>
      <c r="B1868" s="39" t="n">
        <v>1358.5</v>
      </c>
      <c r="C1868" s="40" t="n">
        <v>16747159.15</v>
      </c>
      <c r="D1868" s="40" t="n">
        <f aca="false">MAX(D1867,C1868)</f>
        <v>27863258.68</v>
      </c>
      <c r="E1868" s="41" t="n">
        <f aca="false">C1868/D1868-1</f>
        <v>-0.398951883470078</v>
      </c>
      <c r="F1868" s="42" t="n">
        <f aca="false">YEAR(A1868)</f>
        <v>2020</v>
      </c>
    </row>
    <row r="1869" customFormat="false" ht="15" hidden="false" customHeight="false" outlineLevel="0" collapsed="false">
      <c r="A1869" s="38" t="n">
        <v>44159</v>
      </c>
      <c r="B1869" s="39" t="n">
        <v>1399.5</v>
      </c>
      <c r="C1869" s="40" t="n">
        <v>15211770.31</v>
      </c>
      <c r="D1869" s="40" t="n">
        <f aca="false">MAX(D1868,C1869)</f>
        <v>27863258.68</v>
      </c>
      <c r="E1869" s="41" t="n">
        <f aca="false">C1869/D1869-1</f>
        <v>-0.454056308176227</v>
      </c>
      <c r="F1869" s="42" t="n">
        <f aca="false">YEAR(A1869)</f>
        <v>2020</v>
      </c>
    </row>
    <row r="1870" customFormat="false" ht="15" hidden="false" customHeight="false" outlineLevel="0" collapsed="false">
      <c r="A1870" s="38" t="n">
        <v>44160</v>
      </c>
      <c r="B1870" s="39" t="n">
        <v>1416</v>
      </c>
      <c r="C1870" s="40" t="n">
        <v>15837948.54</v>
      </c>
      <c r="D1870" s="40" t="n">
        <f aca="false">MAX(D1869,C1870)</f>
        <v>27863258.68</v>
      </c>
      <c r="E1870" s="41" t="n">
        <f aca="false">C1870/D1870-1</f>
        <v>-0.431583049136735</v>
      </c>
      <c r="F1870" s="42" t="n">
        <f aca="false">YEAR(A1870)</f>
        <v>2020</v>
      </c>
    </row>
    <row r="1871" customFormat="false" ht="15" hidden="false" customHeight="false" outlineLevel="0" collapsed="false">
      <c r="A1871" s="38" t="n">
        <v>44161</v>
      </c>
      <c r="B1871" s="39" t="n">
        <v>1419</v>
      </c>
      <c r="C1871" s="40" t="n">
        <v>15973488.54</v>
      </c>
      <c r="D1871" s="40" t="n">
        <f aca="false">MAX(D1870,C1871)</f>
        <v>27863258.68</v>
      </c>
      <c r="E1871" s="41" t="n">
        <f aca="false">C1871/D1871-1</f>
        <v>-0.426718578632526</v>
      </c>
      <c r="F1871" s="42" t="n">
        <f aca="false">YEAR(A1871)</f>
        <v>2020</v>
      </c>
    </row>
    <row r="1872" customFormat="false" ht="15" hidden="false" customHeight="false" outlineLevel="0" collapsed="false">
      <c r="A1872" s="38" t="n">
        <v>44162</v>
      </c>
      <c r="B1872" s="39" t="n">
        <v>1422</v>
      </c>
      <c r="C1872" s="40" t="n">
        <v>16109028.54</v>
      </c>
      <c r="D1872" s="40" t="n">
        <f aca="false">MAX(D1871,C1872)</f>
        <v>27863258.68</v>
      </c>
      <c r="E1872" s="41" t="n">
        <f aca="false">C1872/D1872-1</f>
        <v>-0.421854108128318</v>
      </c>
      <c r="F1872" s="42" t="n">
        <f aca="false">YEAR(A1872)</f>
        <v>2020</v>
      </c>
    </row>
    <row r="1873" customFormat="false" ht="15" hidden="false" customHeight="false" outlineLevel="0" collapsed="false">
      <c r="A1873" s="38" t="n">
        <v>44165</v>
      </c>
      <c r="B1873" s="39" t="n">
        <v>1419.5</v>
      </c>
      <c r="C1873" s="40" t="n">
        <v>15996078.54</v>
      </c>
      <c r="D1873" s="40" t="n">
        <f aca="false">MAX(D1872,C1873)</f>
        <v>27863258.68</v>
      </c>
      <c r="E1873" s="41" t="n">
        <f aca="false">C1873/D1873-1</f>
        <v>-0.425907833548492</v>
      </c>
      <c r="F1873" s="42" t="n">
        <f aca="false">YEAR(A1873)</f>
        <v>2020</v>
      </c>
    </row>
    <row r="1874" customFormat="false" ht="15" hidden="false" customHeight="false" outlineLevel="0" collapsed="false">
      <c r="A1874" s="38" t="n">
        <v>44166</v>
      </c>
      <c r="B1874" s="39" t="n">
        <v>1467</v>
      </c>
      <c r="C1874" s="40" t="n">
        <v>18142128.54</v>
      </c>
      <c r="D1874" s="40" t="n">
        <f aca="false">MAX(D1873,C1874)</f>
        <v>27863258.68</v>
      </c>
      <c r="E1874" s="41" t="n">
        <f aca="false">C1874/D1874-1</f>
        <v>-0.348887050565185</v>
      </c>
      <c r="F1874" s="42" t="n">
        <f aca="false">YEAR(A1874)</f>
        <v>2020</v>
      </c>
    </row>
    <row r="1875" customFormat="false" ht="15" hidden="false" customHeight="false" outlineLevel="0" collapsed="false">
      <c r="A1875" s="38" t="n">
        <v>44167</v>
      </c>
      <c r="B1875" s="39" t="n">
        <v>1518</v>
      </c>
      <c r="C1875" s="40" t="n">
        <v>20446308.54</v>
      </c>
      <c r="D1875" s="40" t="n">
        <f aca="false">MAX(D1874,C1875)</f>
        <v>27863258.68</v>
      </c>
      <c r="E1875" s="41" t="n">
        <f aca="false">C1875/D1875-1</f>
        <v>-0.266191051993636</v>
      </c>
      <c r="F1875" s="42" t="n">
        <f aca="false">YEAR(A1875)</f>
        <v>2020</v>
      </c>
    </row>
    <row r="1876" customFormat="false" ht="15" hidden="false" customHeight="false" outlineLevel="0" collapsed="false">
      <c r="A1876" s="38" t="n">
        <v>44168</v>
      </c>
      <c r="B1876" s="39" t="n">
        <v>1502.5</v>
      </c>
      <c r="C1876" s="40" t="n">
        <v>19746018.54</v>
      </c>
      <c r="D1876" s="40" t="n">
        <f aca="false">MAX(D1875,C1876)</f>
        <v>27863258.68</v>
      </c>
      <c r="E1876" s="41" t="n">
        <f aca="false">C1876/D1876-1</f>
        <v>-0.291324149598715</v>
      </c>
      <c r="F1876" s="42" t="n">
        <f aca="false">YEAR(A1876)</f>
        <v>2020</v>
      </c>
    </row>
    <row r="1877" customFormat="false" ht="15" hidden="false" customHeight="false" outlineLevel="0" collapsed="false">
      <c r="A1877" s="38" t="n">
        <v>44169</v>
      </c>
      <c r="B1877" s="39" t="n">
        <v>1499.5</v>
      </c>
      <c r="C1877" s="40" t="n">
        <v>19610478.54</v>
      </c>
      <c r="D1877" s="40" t="n">
        <f aca="false">MAX(D1876,C1877)</f>
        <v>27863258.68</v>
      </c>
      <c r="E1877" s="41" t="n">
        <f aca="false">C1877/D1877-1</f>
        <v>-0.296188620102923</v>
      </c>
      <c r="F1877" s="42" t="n">
        <f aca="false">YEAR(A1877)</f>
        <v>2020</v>
      </c>
    </row>
    <row r="1878" customFormat="false" ht="15" hidden="false" customHeight="false" outlineLevel="0" collapsed="false">
      <c r="A1878" s="38" t="n">
        <v>44172</v>
      </c>
      <c r="B1878" s="39" t="n">
        <v>1505.5</v>
      </c>
      <c r="C1878" s="40" t="n">
        <v>19881558.54</v>
      </c>
      <c r="D1878" s="40" t="n">
        <f aca="false">MAX(D1877,C1878)</f>
        <v>27863258.68</v>
      </c>
      <c r="E1878" s="41" t="n">
        <f aca="false">C1878/D1878-1</f>
        <v>-0.286459679094506</v>
      </c>
      <c r="F1878" s="42" t="n">
        <f aca="false">YEAR(A1878)</f>
        <v>2020</v>
      </c>
    </row>
    <row r="1879" customFormat="false" ht="15" hidden="false" customHeight="false" outlineLevel="0" collapsed="false">
      <c r="A1879" s="38" t="n">
        <v>44173</v>
      </c>
      <c r="B1879" s="39" t="n">
        <v>1504</v>
      </c>
      <c r="C1879" s="40" t="n">
        <v>19813788.54</v>
      </c>
      <c r="D1879" s="40" t="n">
        <f aca="false">MAX(D1878,C1879)</f>
        <v>27863258.68</v>
      </c>
      <c r="E1879" s="41" t="n">
        <f aca="false">C1879/D1879-1</f>
        <v>-0.28889191434661</v>
      </c>
      <c r="F1879" s="42" t="n">
        <f aca="false">YEAR(A1879)</f>
        <v>2020</v>
      </c>
    </row>
    <row r="1880" customFormat="false" ht="15" hidden="false" customHeight="false" outlineLevel="0" collapsed="false">
      <c r="A1880" s="38" t="n">
        <v>44174</v>
      </c>
      <c r="B1880" s="39" t="n">
        <v>1590</v>
      </c>
      <c r="C1880" s="40" t="n">
        <v>23699268.54</v>
      </c>
      <c r="D1880" s="40" t="n">
        <f aca="false">MAX(D1879,C1880)</f>
        <v>27863258.68</v>
      </c>
      <c r="E1880" s="41" t="n">
        <f aca="false">C1880/D1880-1</f>
        <v>-0.149443759892624</v>
      </c>
      <c r="F1880" s="42" t="n">
        <f aca="false">YEAR(A1880)</f>
        <v>2020</v>
      </c>
    </row>
    <row r="1881" customFormat="false" ht="15" hidden="false" customHeight="false" outlineLevel="0" collapsed="false">
      <c r="A1881" s="38" t="n">
        <v>44175</v>
      </c>
      <c r="B1881" s="39" t="n">
        <v>1585.5</v>
      </c>
      <c r="C1881" s="40" t="n">
        <v>23495958.54</v>
      </c>
      <c r="D1881" s="40" t="n">
        <f aca="false">MAX(D1880,C1881)</f>
        <v>27863258.68</v>
      </c>
      <c r="E1881" s="41" t="n">
        <f aca="false">C1881/D1881-1</f>
        <v>-0.156740465648938</v>
      </c>
      <c r="F1881" s="42" t="n">
        <f aca="false">YEAR(A1881)</f>
        <v>2020</v>
      </c>
    </row>
    <row r="1882" customFormat="false" ht="15" hidden="false" customHeight="false" outlineLevel="0" collapsed="false">
      <c r="A1882" s="38" t="n">
        <v>44176</v>
      </c>
      <c r="B1882" s="39" t="n">
        <v>1527</v>
      </c>
      <c r="C1882" s="40" t="n">
        <v>20852928.54</v>
      </c>
      <c r="D1882" s="40" t="n">
        <f aca="false">MAX(D1881,C1882)</f>
        <v>27863258.68</v>
      </c>
      <c r="E1882" s="41" t="n">
        <f aca="false">C1882/D1882-1</f>
        <v>-0.251597640481009</v>
      </c>
      <c r="F1882" s="42" t="n">
        <f aca="false">YEAR(A1882)</f>
        <v>2020</v>
      </c>
    </row>
    <row r="1883" customFormat="false" ht="15" hidden="false" customHeight="false" outlineLevel="0" collapsed="false">
      <c r="A1883" s="38" t="n">
        <v>44179</v>
      </c>
      <c r="B1883" s="39" t="n">
        <v>1499</v>
      </c>
      <c r="C1883" s="40" t="n">
        <v>19587888.54</v>
      </c>
      <c r="D1883" s="40" t="n">
        <f aca="false">MAX(D1882,C1883)</f>
        <v>27863258.68</v>
      </c>
      <c r="E1883" s="41" t="n">
        <f aca="false">C1883/D1883-1</f>
        <v>-0.296999365186958</v>
      </c>
      <c r="F1883" s="42" t="n">
        <f aca="false">YEAR(A1883)</f>
        <v>2020</v>
      </c>
    </row>
    <row r="1884" customFormat="false" ht="15" hidden="false" customHeight="false" outlineLevel="0" collapsed="false">
      <c r="A1884" s="38" t="n">
        <v>44180</v>
      </c>
      <c r="B1884" s="39" t="n">
        <v>1511.5</v>
      </c>
      <c r="C1884" s="40" t="n">
        <v>20152638.54</v>
      </c>
      <c r="D1884" s="40" t="n">
        <f aca="false">MAX(D1883,C1884)</f>
        <v>27863258.68</v>
      </c>
      <c r="E1884" s="41" t="n">
        <f aca="false">C1884/D1884-1</f>
        <v>-0.276730738086088</v>
      </c>
      <c r="F1884" s="42" t="n">
        <f aca="false">YEAR(A1884)</f>
        <v>2020</v>
      </c>
    </row>
    <row r="1885" customFormat="false" ht="15" hidden="false" customHeight="false" outlineLevel="0" collapsed="false">
      <c r="A1885" s="38" t="n">
        <v>44181</v>
      </c>
      <c r="B1885" s="39" t="n">
        <v>1536.5</v>
      </c>
      <c r="C1885" s="40" t="n">
        <v>21282138.54</v>
      </c>
      <c r="D1885" s="40" t="n">
        <f aca="false">MAX(D1884,C1885)</f>
        <v>27863258.68</v>
      </c>
      <c r="E1885" s="41" t="n">
        <f aca="false">C1885/D1885-1</f>
        <v>-0.236193483884348</v>
      </c>
      <c r="F1885" s="42" t="n">
        <f aca="false">YEAR(A1885)</f>
        <v>2020</v>
      </c>
    </row>
    <row r="1886" customFormat="false" ht="15" hidden="false" customHeight="false" outlineLevel="0" collapsed="false">
      <c r="A1886" s="38" t="n">
        <v>44182</v>
      </c>
      <c r="B1886" s="39" t="n">
        <v>1546.5</v>
      </c>
      <c r="C1886" s="40" t="n">
        <v>21733938.54</v>
      </c>
      <c r="D1886" s="40" t="n">
        <f aca="false">MAX(D1885,C1886)</f>
        <v>27863258.68</v>
      </c>
      <c r="E1886" s="41" t="n">
        <f aca="false">C1886/D1886-1</f>
        <v>-0.219978582203652</v>
      </c>
      <c r="F1886" s="42" t="n">
        <f aca="false">YEAR(A1886)</f>
        <v>2020</v>
      </c>
    </row>
    <row r="1887" customFormat="false" ht="15" hidden="false" customHeight="false" outlineLevel="0" collapsed="false">
      <c r="A1887" s="38" t="n">
        <v>44183</v>
      </c>
      <c r="B1887" s="39" t="n">
        <v>1593</v>
      </c>
      <c r="C1887" s="40" t="n">
        <v>23834808.54</v>
      </c>
      <c r="D1887" s="40" t="n">
        <f aca="false">MAX(D1886,C1887)</f>
        <v>27863258.68</v>
      </c>
      <c r="E1887" s="41" t="n">
        <f aca="false">C1887/D1887-1</f>
        <v>-0.144579289388415</v>
      </c>
      <c r="F1887" s="42" t="n">
        <f aca="false">YEAR(A1887)</f>
        <v>2020</v>
      </c>
    </row>
    <row r="1888" customFormat="false" ht="15" hidden="false" customHeight="false" outlineLevel="0" collapsed="false">
      <c r="A1888" s="38" t="n">
        <v>44186</v>
      </c>
      <c r="B1888" s="39" t="n">
        <v>1665</v>
      </c>
      <c r="C1888" s="40" t="n">
        <v>27087768.54</v>
      </c>
      <c r="D1888" s="40" t="n">
        <f aca="false">MAX(D1887,C1888)</f>
        <v>27863258.68</v>
      </c>
      <c r="E1888" s="41" t="n">
        <f aca="false">C1888/D1888-1</f>
        <v>-0.0278319972874042</v>
      </c>
      <c r="F1888" s="42" t="n">
        <f aca="false">YEAR(A1888)</f>
        <v>2020</v>
      </c>
    </row>
    <row r="1889" customFormat="false" ht="15" hidden="false" customHeight="false" outlineLevel="0" collapsed="false">
      <c r="A1889" s="38" t="n">
        <v>44187</v>
      </c>
      <c r="B1889" s="39" t="n">
        <v>1599</v>
      </c>
      <c r="C1889" s="40" t="n">
        <v>24105888.54</v>
      </c>
      <c r="D1889" s="40" t="n">
        <f aca="false">MAX(D1888,C1889)</f>
        <v>27863258.68</v>
      </c>
      <c r="E1889" s="41" t="n">
        <f aca="false">C1889/D1889-1</f>
        <v>-0.134850348379998</v>
      </c>
      <c r="F1889" s="42" t="n">
        <f aca="false">YEAR(A1889)</f>
        <v>2020</v>
      </c>
    </row>
    <row r="1890" customFormat="false" ht="15" hidden="false" customHeight="false" outlineLevel="0" collapsed="false">
      <c r="A1890" s="38" t="n">
        <v>44188</v>
      </c>
      <c r="B1890" s="39" t="n">
        <v>1609</v>
      </c>
      <c r="C1890" s="40" t="n">
        <v>24557688.54</v>
      </c>
      <c r="D1890" s="40" t="n">
        <f aca="false">MAX(D1889,C1890)</f>
        <v>27863258.68</v>
      </c>
      <c r="E1890" s="41" t="n">
        <f aca="false">C1890/D1890-1</f>
        <v>-0.118635446699302</v>
      </c>
      <c r="F1890" s="42" t="n">
        <f aca="false">YEAR(A1890)</f>
        <v>2020</v>
      </c>
    </row>
    <row r="1891" customFormat="false" ht="15" hidden="false" customHeight="false" outlineLevel="0" collapsed="false">
      <c r="A1891" s="38" t="n">
        <v>44189</v>
      </c>
      <c r="B1891" s="39" t="n">
        <v>1614.5</v>
      </c>
      <c r="C1891" s="40" t="n">
        <v>24806178.54</v>
      </c>
      <c r="D1891" s="40" t="n">
        <f aca="false">MAX(D1890,C1891)</f>
        <v>27863258.68</v>
      </c>
      <c r="E1891" s="41" t="n">
        <f aca="false">C1891/D1891-1</f>
        <v>-0.109717250774919</v>
      </c>
      <c r="F1891" s="42" t="n">
        <f aca="false">YEAR(A1891)</f>
        <v>2020</v>
      </c>
    </row>
    <row r="1892" customFormat="false" ht="15" hidden="false" customHeight="false" outlineLevel="0" collapsed="false">
      <c r="A1892" s="38" t="n">
        <v>44190</v>
      </c>
      <c r="B1892" s="39" t="n">
        <v>1676.5</v>
      </c>
      <c r="C1892" s="40" t="n">
        <v>27607338.54</v>
      </c>
      <c r="D1892" s="40" t="n">
        <f aca="false">MAX(D1891,C1892)</f>
        <v>27863258.68</v>
      </c>
      <c r="E1892" s="41" t="n">
        <f aca="false">C1892/D1892-1</f>
        <v>-0.00918486035460375</v>
      </c>
      <c r="F1892" s="42" t="n">
        <f aca="false">YEAR(A1892)</f>
        <v>2020</v>
      </c>
    </row>
    <row r="1893" customFormat="false" ht="15" hidden="false" customHeight="false" outlineLevel="0" collapsed="false">
      <c r="A1893" s="38" t="n">
        <v>44193</v>
      </c>
      <c r="B1893" s="39" t="n">
        <v>1697</v>
      </c>
      <c r="C1893" s="40" t="n">
        <v>28533528.54</v>
      </c>
      <c r="D1893" s="40" t="n">
        <f aca="false">MAX(D1892,C1893)</f>
        <v>28533528.54</v>
      </c>
      <c r="E1893" s="41" t="n">
        <f aca="false">C1893/D1893-1</f>
        <v>0</v>
      </c>
      <c r="F1893" s="42" t="n">
        <f aca="false">YEAR(A1893)</f>
        <v>2020</v>
      </c>
    </row>
    <row r="1894" customFormat="false" ht="15" hidden="false" customHeight="false" outlineLevel="0" collapsed="false">
      <c r="A1894" s="38" t="n">
        <v>44194</v>
      </c>
      <c r="B1894" s="39" t="n">
        <v>1645</v>
      </c>
      <c r="C1894" s="40" t="n">
        <v>26184168.54</v>
      </c>
      <c r="D1894" s="40" t="n">
        <f aca="false">MAX(D1893,C1894)</f>
        <v>28533528.54</v>
      </c>
      <c r="E1894" s="41" t="n">
        <f aca="false">C1894/D1894-1</f>
        <v>-0.0823368198821441</v>
      </c>
      <c r="F1894" s="42" t="n">
        <f aca="false">YEAR(A1894)</f>
        <v>2020</v>
      </c>
    </row>
    <row r="1895" customFormat="false" ht="15" hidden="false" customHeight="false" outlineLevel="0" collapsed="false">
      <c r="A1895" s="38" t="n">
        <v>44195</v>
      </c>
      <c r="B1895" s="39" t="n">
        <v>1620</v>
      </c>
      <c r="C1895" s="40" t="n">
        <v>25054668.54</v>
      </c>
      <c r="D1895" s="40" t="n">
        <f aca="false">MAX(D1894,C1895)</f>
        <v>28533528.54</v>
      </c>
      <c r="E1895" s="41" t="n">
        <f aca="false">C1895/D1895-1</f>
        <v>-0.121921829440867</v>
      </c>
      <c r="F1895" s="42" t="n">
        <f aca="false">YEAR(A1895)</f>
        <v>2020</v>
      </c>
    </row>
    <row r="1896" customFormat="false" ht="15" hidden="false" customHeight="false" outlineLevel="0" collapsed="false">
      <c r="A1896" s="38" t="n">
        <v>44196</v>
      </c>
      <c r="B1896" s="39" t="n">
        <v>1613</v>
      </c>
      <c r="C1896" s="40" t="n">
        <v>24738408.54</v>
      </c>
      <c r="D1896" s="40" t="n">
        <f aca="false">MAX(D1895,C1896)</f>
        <v>28533528.54</v>
      </c>
      <c r="E1896" s="41" t="n">
        <f aca="false">C1896/D1896-1</f>
        <v>-0.13300563211731</v>
      </c>
      <c r="F1896" s="42" t="n">
        <f aca="false">YEAR(A1896)</f>
        <v>2020</v>
      </c>
    </row>
    <row r="1897" customFormat="false" ht="15" hidden="false" customHeight="false" outlineLevel="0" collapsed="false">
      <c r="A1897" s="38" t="n">
        <v>44200</v>
      </c>
      <c r="B1897" s="39" t="n">
        <v>1677</v>
      </c>
      <c r="C1897" s="40" t="n">
        <v>27629928.54</v>
      </c>
      <c r="D1897" s="40" t="n">
        <f aca="false">MAX(D1896,C1897)</f>
        <v>28533528.54</v>
      </c>
      <c r="E1897" s="41" t="n">
        <f aca="false">C1897/D1897-1</f>
        <v>-0.0316680076469785</v>
      </c>
      <c r="F1897" s="42" t="n">
        <f aca="false">YEAR(A1897)</f>
        <v>2021</v>
      </c>
    </row>
    <row r="1898" customFormat="false" ht="15" hidden="false" customHeight="false" outlineLevel="0" collapsed="false">
      <c r="A1898" s="38" t="n">
        <v>44201</v>
      </c>
      <c r="B1898" s="39" t="n">
        <v>1697.5</v>
      </c>
      <c r="C1898" s="40" t="n">
        <v>28556118.54</v>
      </c>
      <c r="D1898" s="40" t="n">
        <f aca="false">MAX(D1897,C1898)</f>
        <v>28556118.54</v>
      </c>
      <c r="E1898" s="41" t="n">
        <f aca="false">C1898/D1898-1</f>
        <v>0</v>
      </c>
      <c r="F1898" s="42" t="n">
        <f aca="false">YEAR(A1898)</f>
        <v>2021</v>
      </c>
    </row>
    <row r="1899" customFormat="false" ht="15" hidden="false" customHeight="false" outlineLevel="0" collapsed="false">
      <c r="A1899" s="38" t="n">
        <v>44202</v>
      </c>
      <c r="B1899" s="39" t="n">
        <v>1687</v>
      </c>
      <c r="C1899" s="40" t="n">
        <v>28081728.54</v>
      </c>
      <c r="D1899" s="40" t="n">
        <f aca="false">MAX(D1898,C1899)</f>
        <v>28556118.54</v>
      </c>
      <c r="E1899" s="41" t="n">
        <f aca="false">C1899/D1899-1</f>
        <v>-0.0166125518541849</v>
      </c>
      <c r="F1899" s="42" t="n">
        <f aca="false">YEAR(A1899)</f>
        <v>2021</v>
      </c>
    </row>
    <row r="1900" customFormat="false" ht="15" hidden="false" customHeight="false" outlineLevel="0" collapsed="false">
      <c r="A1900" s="38" t="n">
        <v>44203</v>
      </c>
      <c r="B1900" s="39" t="n">
        <v>1716.5</v>
      </c>
      <c r="C1900" s="40" t="n">
        <v>29414538.54</v>
      </c>
      <c r="D1900" s="40" t="n">
        <f aca="false">MAX(D1899,C1900)</f>
        <v>29414538.54</v>
      </c>
      <c r="E1900" s="41" t="n">
        <f aca="false">C1900/D1900-1</f>
        <v>0</v>
      </c>
      <c r="F1900" s="42" t="n">
        <f aca="false">YEAR(A1900)</f>
        <v>2021</v>
      </c>
    </row>
    <row r="1901" customFormat="false" ht="15" hidden="false" customHeight="false" outlineLevel="0" collapsed="false">
      <c r="A1901" s="38" t="n">
        <v>44204</v>
      </c>
      <c r="B1901" s="39" t="n">
        <v>1759</v>
      </c>
      <c r="C1901" s="40" t="n">
        <v>31334688.54</v>
      </c>
      <c r="D1901" s="40" t="n">
        <f aca="false">MAX(D1900,C1901)</f>
        <v>31334688.54</v>
      </c>
      <c r="E1901" s="41" t="n">
        <f aca="false">C1901/D1901-1</f>
        <v>0</v>
      </c>
      <c r="F1901" s="42" t="n">
        <f aca="false">YEAR(A1901)</f>
        <v>2021</v>
      </c>
    </row>
    <row r="1902" customFormat="false" ht="15" hidden="false" customHeight="false" outlineLevel="0" collapsed="false">
      <c r="A1902" s="38" t="n">
        <v>44207</v>
      </c>
      <c r="B1902" s="39" t="n">
        <v>1770</v>
      </c>
      <c r="C1902" s="40" t="n">
        <v>31831668.54</v>
      </c>
      <c r="D1902" s="40" t="n">
        <f aca="false">MAX(D1901,C1902)</f>
        <v>31831668.54</v>
      </c>
      <c r="E1902" s="41" t="n">
        <f aca="false">C1902/D1902-1</f>
        <v>0</v>
      </c>
      <c r="F1902" s="42" t="n">
        <f aca="false">YEAR(A1902)</f>
        <v>2021</v>
      </c>
    </row>
    <row r="1903" customFormat="false" ht="15" hidden="false" customHeight="false" outlineLevel="0" collapsed="false">
      <c r="A1903" s="38" t="n">
        <v>44208</v>
      </c>
      <c r="B1903" s="39" t="n">
        <v>1726.5</v>
      </c>
      <c r="C1903" s="40" t="n">
        <v>29866338.54</v>
      </c>
      <c r="D1903" s="40" t="n">
        <f aca="false">MAX(D1902,C1903)</f>
        <v>31831668.54</v>
      </c>
      <c r="E1903" s="41" t="n">
        <f aca="false">C1903/D1903-1</f>
        <v>-0.0617413440809849</v>
      </c>
      <c r="F1903" s="42" t="n">
        <f aca="false">YEAR(A1903)</f>
        <v>2021</v>
      </c>
    </row>
    <row r="1904" customFormat="false" ht="15" hidden="false" customHeight="false" outlineLevel="0" collapsed="false">
      <c r="A1904" s="38" t="n">
        <v>44209</v>
      </c>
      <c r="B1904" s="39" t="n">
        <v>1646.5</v>
      </c>
      <c r="C1904" s="40" t="n">
        <v>26251938.54</v>
      </c>
      <c r="D1904" s="40" t="n">
        <f aca="false">MAX(D1903,C1904)</f>
        <v>31831668.54</v>
      </c>
      <c r="E1904" s="41" t="n">
        <f aca="false">C1904/D1904-1</f>
        <v>-0.175288643540267</v>
      </c>
      <c r="F1904" s="42" t="n">
        <f aca="false">YEAR(A1904)</f>
        <v>2021</v>
      </c>
    </row>
    <row r="1905" customFormat="false" ht="15" hidden="false" customHeight="false" outlineLevel="0" collapsed="false">
      <c r="A1905" s="38" t="n">
        <v>44210</v>
      </c>
      <c r="B1905" s="39" t="n">
        <v>1664.5</v>
      </c>
      <c r="C1905" s="40" t="n">
        <v>27065178.54</v>
      </c>
      <c r="D1905" s="40" t="n">
        <f aca="false">MAX(D1904,C1905)</f>
        <v>31831668.54</v>
      </c>
      <c r="E1905" s="41" t="n">
        <f aca="false">C1905/D1905-1</f>
        <v>-0.149740501161929</v>
      </c>
      <c r="F1905" s="42" t="n">
        <f aca="false">YEAR(A1905)</f>
        <v>2021</v>
      </c>
    </row>
    <row r="1906" customFormat="false" ht="15" hidden="false" customHeight="false" outlineLevel="0" collapsed="false">
      <c r="A1906" s="38" t="n">
        <v>44211</v>
      </c>
      <c r="B1906" s="39" t="n">
        <v>1729.5</v>
      </c>
      <c r="C1906" s="40" t="n">
        <v>30001878.54</v>
      </c>
      <c r="D1906" s="40" t="n">
        <f aca="false">MAX(D1905,C1906)</f>
        <v>31831668.54</v>
      </c>
      <c r="E1906" s="41" t="n">
        <f aca="false">C1906/D1906-1</f>
        <v>-0.0574833203512617</v>
      </c>
      <c r="F1906" s="42" t="n">
        <f aca="false">YEAR(A1906)</f>
        <v>2021</v>
      </c>
    </row>
    <row r="1907" customFormat="false" ht="15" hidden="false" customHeight="false" outlineLevel="0" collapsed="false">
      <c r="A1907" s="38" t="n">
        <v>44214</v>
      </c>
      <c r="B1907" s="39" t="n">
        <v>1715</v>
      </c>
      <c r="C1907" s="40" t="n">
        <v>29346768.54</v>
      </c>
      <c r="D1907" s="40" t="n">
        <f aca="false">MAX(D1906,C1907)</f>
        <v>31831668.54</v>
      </c>
      <c r="E1907" s="41" t="n">
        <f aca="false">C1907/D1907-1</f>
        <v>-0.0780637683782567</v>
      </c>
      <c r="F1907" s="42" t="n">
        <f aca="false">YEAR(A1907)</f>
        <v>2021</v>
      </c>
    </row>
    <row r="1908" customFormat="false" ht="15" hidden="false" customHeight="false" outlineLevel="0" collapsed="false">
      <c r="A1908" s="38" t="n">
        <v>44215</v>
      </c>
      <c r="B1908" s="39" t="n">
        <v>1655.5</v>
      </c>
      <c r="C1908" s="40" t="n">
        <v>26658558.54</v>
      </c>
      <c r="D1908" s="40" t="n">
        <f aca="false">MAX(D1907,C1908)</f>
        <v>31831668.54</v>
      </c>
      <c r="E1908" s="41" t="n">
        <f aca="false">C1908/D1908-1</f>
        <v>-0.162514572351098</v>
      </c>
      <c r="F1908" s="42" t="n">
        <f aca="false">YEAR(A1908)</f>
        <v>2021</v>
      </c>
    </row>
    <row r="1909" customFormat="false" ht="15" hidden="false" customHeight="false" outlineLevel="0" collapsed="false">
      <c r="A1909" s="38" t="n">
        <v>44216</v>
      </c>
      <c r="B1909" s="39" t="n">
        <v>1630</v>
      </c>
      <c r="C1909" s="40" t="n">
        <v>25506468.54</v>
      </c>
      <c r="D1909" s="40" t="n">
        <f aca="false">MAX(D1908,C1909)</f>
        <v>31831668.54</v>
      </c>
      <c r="E1909" s="41" t="n">
        <f aca="false">C1909/D1909-1</f>
        <v>-0.198707774053744</v>
      </c>
      <c r="F1909" s="42" t="n">
        <f aca="false">YEAR(A1909)</f>
        <v>2021</v>
      </c>
    </row>
    <row r="1910" customFormat="false" ht="15" hidden="false" customHeight="false" outlineLevel="0" collapsed="false">
      <c r="A1910" s="38" t="n">
        <v>44217</v>
      </c>
      <c r="B1910" s="39" t="n">
        <v>1656.5</v>
      </c>
      <c r="C1910" s="40" t="n">
        <v>25453921.19</v>
      </c>
      <c r="D1910" s="40" t="n">
        <f aca="false">MAX(D1909,C1910)</f>
        <v>31831668.54</v>
      </c>
      <c r="E1910" s="41" t="n">
        <f aca="false">C1910/D1910-1</f>
        <v>-0.200358562479553</v>
      </c>
      <c r="F1910" s="42" t="n">
        <f aca="false">YEAR(A1910)</f>
        <v>2021</v>
      </c>
    </row>
    <row r="1911" customFormat="false" ht="15" hidden="false" customHeight="false" outlineLevel="0" collapsed="false">
      <c r="A1911" s="38" t="n">
        <v>44218</v>
      </c>
      <c r="B1911" s="39" t="n">
        <v>1628</v>
      </c>
      <c r="C1911" s="40" t="n">
        <v>25453921.19</v>
      </c>
      <c r="D1911" s="40" t="n">
        <f aca="false">MAX(D1910,C1911)</f>
        <v>31831668.54</v>
      </c>
      <c r="E1911" s="41" t="n">
        <f aca="false">C1911/D1911-1</f>
        <v>-0.200358562479553</v>
      </c>
      <c r="F1911" s="42" t="n">
        <f aca="false">YEAR(A1911)</f>
        <v>2021</v>
      </c>
    </row>
    <row r="1912" customFormat="false" ht="15" hidden="false" customHeight="false" outlineLevel="0" collapsed="false">
      <c r="A1912" s="38" t="n">
        <v>44221</v>
      </c>
      <c r="B1912" s="39" t="n">
        <v>1634</v>
      </c>
      <c r="C1912" s="40" t="n">
        <v>25453921.19</v>
      </c>
      <c r="D1912" s="40" t="n">
        <f aca="false">MAX(D1911,C1912)</f>
        <v>31831668.54</v>
      </c>
      <c r="E1912" s="41" t="n">
        <f aca="false">C1912/D1912-1</f>
        <v>-0.200358562479553</v>
      </c>
      <c r="F1912" s="42" t="n">
        <f aca="false">YEAR(A1912)</f>
        <v>2021</v>
      </c>
    </row>
    <row r="1913" customFormat="false" ht="15" hidden="false" customHeight="false" outlineLevel="0" collapsed="false">
      <c r="A1913" s="38" t="n">
        <v>44222</v>
      </c>
      <c r="B1913" s="39" t="n">
        <v>1587.5</v>
      </c>
      <c r="C1913" s="40" t="n">
        <v>25453921.19</v>
      </c>
      <c r="D1913" s="40" t="n">
        <f aca="false">MAX(D1912,C1913)</f>
        <v>31831668.54</v>
      </c>
      <c r="E1913" s="41" t="n">
        <f aca="false">C1913/D1913-1</f>
        <v>-0.200358562479553</v>
      </c>
      <c r="F1913" s="42" t="n">
        <f aca="false">YEAR(A1913)</f>
        <v>2021</v>
      </c>
    </row>
    <row r="1914" customFormat="false" ht="15" hidden="false" customHeight="false" outlineLevel="0" collapsed="false">
      <c r="A1914" s="38" t="n">
        <v>44223</v>
      </c>
      <c r="B1914" s="39" t="n">
        <v>1607.5</v>
      </c>
      <c r="C1914" s="40" t="n">
        <v>25453921.19</v>
      </c>
      <c r="D1914" s="40" t="n">
        <f aca="false">MAX(D1913,C1914)</f>
        <v>31831668.54</v>
      </c>
      <c r="E1914" s="41" t="n">
        <f aca="false">C1914/D1914-1</f>
        <v>-0.200358562479553</v>
      </c>
      <c r="F1914" s="42" t="n">
        <f aca="false">YEAR(A1914)</f>
        <v>2021</v>
      </c>
    </row>
    <row r="1915" customFormat="false" ht="15" hidden="false" customHeight="false" outlineLevel="0" collapsed="false">
      <c r="A1915" s="38" t="n">
        <v>44224</v>
      </c>
      <c r="B1915" s="39" t="n">
        <v>1575.5</v>
      </c>
      <c r="C1915" s="40" t="n">
        <v>25453921.19</v>
      </c>
      <c r="D1915" s="40" t="n">
        <f aca="false">MAX(D1914,C1915)</f>
        <v>31831668.54</v>
      </c>
      <c r="E1915" s="41" t="n">
        <f aca="false">C1915/D1915-1</f>
        <v>-0.200358562479553</v>
      </c>
      <c r="F1915" s="42" t="n">
        <f aca="false">YEAR(A1915)</f>
        <v>2021</v>
      </c>
    </row>
    <row r="1916" customFormat="false" ht="15" hidden="false" customHeight="false" outlineLevel="0" collapsed="false">
      <c r="A1916" s="38" t="n">
        <v>44225</v>
      </c>
      <c r="B1916" s="39" t="n">
        <v>1518</v>
      </c>
      <c r="C1916" s="40" t="n">
        <v>25453921.19</v>
      </c>
      <c r="D1916" s="40" t="n">
        <f aca="false">MAX(D1915,C1916)</f>
        <v>31831668.54</v>
      </c>
      <c r="E1916" s="41" t="n">
        <f aca="false">C1916/D1916-1</f>
        <v>-0.200358562479553</v>
      </c>
      <c r="F1916" s="42" t="n">
        <f aca="false">YEAR(A1916)</f>
        <v>2021</v>
      </c>
    </row>
    <row r="1917" customFormat="false" ht="15" hidden="false" customHeight="false" outlineLevel="0" collapsed="false">
      <c r="A1917" s="38" t="n">
        <v>44228</v>
      </c>
      <c r="B1917" s="39" t="n">
        <v>1505.5</v>
      </c>
      <c r="C1917" s="40" t="n">
        <v>25453921.19</v>
      </c>
      <c r="D1917" s="40" t="n">
        <f aca="false">MAX(D1916,C1917)</f>
        <v>31831668.54</v>
      </c>
      <c r="E1917" s="41" t="n">
        <f aca="false">C1917/D1917-1</f>
        <v>-0.200358562479553</v>
      </c>
      <c r="F1917" s="42" t="n">
        <f aca="false">YEAR(A1917)</f>
        <v>2021</v>
      </c>
    </row>
    <row r="1918" customFormat="false" ht="15" hidden="false" customHeight="false" outlineLevel="0" collapsed="false">
      <c r="A1918" s="38" t="n">
        <v>44229</v>
      </c>
      <c r="B1918" s="39" t="n">
        <v>1467.5</v>
      </c>
      <c r="C1918" s="40" t="n">
        <v>25453921.19</v>
      </c>
      <c r="D1918" s="40" t="n">
        <f aca="false">MAX(D1917,C1918)</f>
        <v>31831668.54</v>
      </c>
      <c r="E1918" s="41" t="n">
        <f aca="false">C1918/D1918-1</f>
        <v>-0.200358562479553</v>
      </c>
      <c r="F1918" s="42" t="n">
        <f aca="false">YEAR(A1918)</f>
        <v>2021</v>
      </c>
    </row>
    <row r="1919" customFormat="false" ht="15" hidden="false" customHeight="false" outlineLevel="0" collapsed="false">
      <c r="A1919" s="38" t="n">
        <v>44230</v>
      </c>
      <c r="B1919" s="39" t="n">
        <v>1451</v>
      </c>
      <c r="C1919" s="40" t="n">
        <v>25453921.19</v>
      </c>
      <c r="D1919" s="40" t="n">
        <f aca="false">MAX(D1918,C1919)</f>
        <v>31831668.54</v>
      </c>
      <c r="E1919" s="41" t="n">
        <f aca="false">C1919/D1919-1</f>
        <v>-0.200358562479553</v>
      </c>
      <c r="F1919" s="42" t="n">
        <f aca="false">YEAR(A1919)</f>
        <v>2021</v>
      </c>
    </row>
    <row r="1920" customFormat="false" ht="15" hidden="false" customHeight="false" outlineLevel="0" collapsed="false">
      <c r="A1920" s="38" t="n">
        <v>44231</v>
      </c>
      <c r="B1920" s="39" t="n">
        <v>1506</v>
      </c>
      <c r="C1920" s="40" t="n">
        <v>25453921.19</v>
      </c>
      <c r="D1920" s="40" t="n">
        <f aca="false">MAX(D1919,C1920)</f>
        <v>31831668.54</v>
      </c>
      <c r="E1920" s="41" t="n">
        <f aca="false">C1920/D1920-1</f>
        <v>-0.200358562479553</v>
      </c>
      <c r="F1920" s="42" t="n">
        <f aca="false">YEAR(A1920)</f>
        <v>2021</v>
      </c>
    </row>
    <row r="1921" customFormat="false" ht="15" hidden="false" customHeight="false" outlineLevel="0" collapsed="false">
      <c r="A1921" s="38" t="n">
        <v>44232</v>
      </c>
      <c r="B1921" s="39" t="n">
        <v>1511</v>
      </c>
      <c r="C1921" s="40" t="n">
        <v>25453921.19</v>
      </c>
      <c r="D1921" s="40" t="n">
        <f aca="false">MAX(D1920,C1921)</f>
        <v>31831668.54</v>
      </c>
      <c r="E1921" s="41" t="n">
        <f aca="false">C1921/D1921-1</f>
        <v>-0.200358562479553</v>
      </c>
      <c r="F1921" s="42" t="n">
        <f aca="false">YEAR(A1921)</f>
        <v>2021</v>
      </c>
    </row>
    <row r="1922" customFormat="false" ht="15" hidden="false" customHeight="false" outlineLevel="0" collapsed="false">
      <c r="A1922" s="38" t="n">
        <v>44235</v>
      </c>
      <c r="B1922" s="39" t="n">
        <v>1522</v>
      </c>
      <c r="C1922" s="40" t="n">
        <v>25453921.19</v>
      </c>
      <c r="D1922" s="40" t="n">
        <f aca="false">MAX(D1921,C1922)</f>
        <v>31831668.54</v>
      </c>
      <c r="E1922" s="41" t="n">
        <f aca="false">C1922/D1922-1</f>
        <v>-0.200358562479553</v>
      </c>
      <c r="F1922" s="42" t="n">
        <f aca="false">YEAR(A1922)</f>
        <v>2021</v>
      </c>
    </row>
    <row r="1923" customFormat="false" ht="15" hidden="false" customHeight="false" outlineLevel="0" collapsed="false">
      <c r="A1923" s="38" t="n">
        <v>44236</v>
      </c>
      <c r="B1923" s="39" t="n">
        <v>1546</v>
      </c>
      <c r="C1923" s="40" t="n">
        <v>25453921.19</v>
      </c>
      <c r="D1923" s="40" t="n">
        <f aca="false">MAX(D1922,C1923)</f>
        <v>31831668.54</v>
      </c>
      <c r="E1923" s="41" t="n">
        <f aca="false">C1923/D1923-1</f>
        <v>-0.200358562479553</v>
      </c>
      <c r="F1923" s="42" t="n">
        <f aca="false">YEAR(A1923)</f>
        <v>2021</v>
      </c>
    </row>
    <row r="1924" customFormat="false" ht="15" hidden="false" customHeight="false" outlineLevel="0" collapsed="false">
      <c r="A1924" s="38" t="n">
        <v>44237</v>
      </c>
      <c r="B1924" s="39" t="n">
        <v>1537.5</v>
      </c>
      <c r="C1924" s="40" t="n">
        <v>25453921.19</v>
      </c>
      <c r="D1924" s="40" t="n">
        <f aca="false">MAX(D1923,C1924)</f>
        <v>31831668.54</v>
      </c>
      <c r="E1924" s="41" t="n">
        <f aca="false">C1924/D1924-1</f>
        <v>-0.200358562479553</v>
      </c>
      <c r="F1924" s="42" t="n">
        <f aca="false">YEAR(A1924)</f>
        <v>2021</v>
      </c>
    </row>
    <row r="1925" customFormat="false" ht="15" hidden="false" customHeight="false" outlineLevel="0" collapsed="false">
      <c r="A1925" s="38" t="n">
        <v>44245</v>
      </c>
      <c r="B1925" s="39" t="n">
        <v>1601</v>
      </c>
      <c r="C1925" s="40" t="n">
        <v>25453921.19</v>
      </c>
      <c r="D1925" s="40" t="n">
        <f aca="false">MAX(D1924,C1925)</f>
        <v>31831668.54</v>
      </c>
      <c r="E1925" s="41" t="n">
        <f aca="false">C1925/D1925-1</f>
        <v>-0.200358562479553</v>
      </c>
      <c r="F1925" s="42" t="n">
        <f aca="false">YEAR(A1925)</f>
        <v>2021</v>
      </c>
    </row>
    <row r="1926" customFormat="false" ht="15" hidden="false" customHeight="false" outlineLevel="0" collapsed="false">
      <c r="A1926" s="38" t="n">
        <v>44246</v>
      </c>
      <c r="B1926" s="39" t="n">
        <v>1564</v>
      </c>
      <c r="C1926" s="40" t="n">
        <v>25453921.19</v>
      </c>
      <c r="D1926" s="40" t="n">
        <f aca="false">MAX(D1925,C1926)</f>
        <v>31831668.54</v>
      </c>
      <c r="E1926" s="41" t="n">
        <f aca="false">C1926/D1926-1</f>
        <v>-0.200358562479553</v>
      </c>
      <c r="F1926" s="42" t="n">
        <f aca="false">YEAR(A1926)</f>
        <v>2021</v>
      </c>
    </row>
    <row r="1927" customFormat="false" ht="15" hidden="false" customHeight="false" outlineLevel="0" collapsed="false">
      <c r="A1927" s="38" t="n">
        <v>44249</v>
      </c>
      <c r="B1927" s="39" t="n">
        <v>1503.5</v>
      </c>
      <c r="C1927" s="40" t="n">
        <v>25453921.19</v>
      </c>
      <c r="D1927" s="40" t="n">
        <f aca="false">MAX(D1926,C1927)</f>
        <v>31831668.54</v>
      </c>
      <c r="E1927" s="41" t="n">
        <f aca="false">C1927/D1927-1</f>
        <v>-0.200358562479553</v>
      </c>
      <c r="F1927" s="42" t="n">
        <f aca="false">YEAR(A1927)</f>
        <v>2021</v>
      </c>
    </row>
    <row r="1928" customFormat="false" ht="15" hidden="false" customHeight="false" outlineLevel="0" collapsed="false">
      <c r="A1928" s="38" t="n">
        <v>44250</v>
      </c>
      <c r="B1928" s="39" t="n">
        <v>1460.5</v>
      </c>
      <c r="C1928" s="40" t="n">
        <v>27854590.38</v>
      </c>
      <c r="D1928" s="40" t="n">
        <f aca="false">MAX(D1927,C1928)</f>
        <v>31831668.54</v>
      </c>
      <c r="E1928" s="41" t="n">
        <f aca="false">C1928/D1928-1</f>
        <v>-0.124940926517954</v>
      </c>
      <c r="F1928" s="42" t="n">
        <f aca="false">YEAR(A1928)</f>
        <v>2021</v>
      </c>
    </row>
    <row r="1929" customFormat="false" ht="15" hidden="false" customHeight="false" outlineLevel="0" collapsed="false">
      <c r="A1929" s="38" t="n">
        <v>44251</v>
      </c>
      <c r="B1929" s="39" t="n">
        <v>1481.5</v>
      </c>
      <c r="C1929" s="40" t="n">
        <v>26365270.38</v>
      </c>
      <c r="D1929" s="40" t="n">
        <f aca="false">MAX(D1928,C1929)</f>
        <v>31831668.54</v>
      </c>
      <c r="E1929" s="41" t="n">
        <f aca="false">C1929/D1929-1</f>
        <v>-0.171728294831007</v>
      </c>
      <c r="F1929" s="42" t="n">
        <f aca="false">YEAR(A1929)</f>
        <v>2021</v>
      </c>
    </row>
    <row r="1930" customFormat="false" ht="15" hidden="false" customHeight="false" outlineLevel="0" collapsed="false">
      <c r="A1930" s="38" t="n">
        <v>44252</v>
      </c>
      <c r="B1930" s="39" t="n">
        <v>1524</v>
      </c>
      <c r="C1930" s="40" t="n">
        <v>23351170.38</v>
      </c>
      <c r="D1930" s="40" t="n">
        <f aca="false">MAX(D1929,C1930)</f>
        <v>31831668.54</v>
      </c>
      <c r="E1930" s="41" t="n">
        <f aca="false">C1930/D1930-1</f>
        <v>-0.266417016416947</v>
      </c>
      <c r="F1930" s="42" t="n">
        <f aca="false">YEAR(A1930)</f>
        <v>2021</v>
      </c>
    </row>
    <row r="1931" customFormat="false" ht="15" hidden="false" customHeight="false" outlineLevel="0" collapsed="false">
      <c r="A1931" s="38" t="n">
        <v>44253</v>
      </c>
      <c r="B1931" s="39" t="n">
        <v>1471</v>
      </c>
      <c r="C1931" s="40" t="n">
        <v>27109930.38</v>
      </c>
      <c r="D1931" s="40" t="n">
        <f aca="false">MAX(D1930,C1931)</f>
        <v>31831668.54</v>
      </c>
      <c r="E1931" s="41" t="n">
        <f aca="false">C1931/D1931-1</f>
        <v>-0.14833461067448</v>
      </c>
      <c r="F1931" s="42" t="n">
        <f aca="false">YEAR(A1931)</f>
        <v>2021</v>
      </c>
    </row>
    <row r="1932" customFormat="false" ht="15" hidden="false" customHeight="false" outlineLevel="0" collapsed="false">
      <c r="A1932" s="38" t="n">
        <v>44256</v>
      </c>
      <c r="B1932" s="39" t="n">
        <v>1403</v>
      </c>
      <c r="C1932" s="40" t="n">
        <v>31932490.38</v>
      </c>
      <c r="D1932" s="40" t="n">
        <f aca="false">MAX(D1931,C1932)</f>
        <v>31932490.38</v>
      </c>
      <c r="E1932" s="41" t="n">
        <f aca="false">C1932/D1932-1</f>
        <v>0</v>
      </c>
      <c r="F1932" s="42" t="n">
        <f aca="false">YEAR(A1932)</f>
        <v>2021</v>
      </c>
    </row>
    <row r="1933" customFormat="false" ht="15" hidden="false" customHeight="false" outlineLevel="0" collapsed="false">
      <c r="A1933" s="38" t="n">
        <v>44257</v>
      </c>
      <c r="B1933" s="39" t="n">
        <v>1489</v>
      </c>
      <c r="C1933" s="40" t="n">
        <v>25833370.38</v>
      </c>
      <c r="D1933" s="40" t="n">
        <f aca="false">MAX(D1932,C1933)</f>
        <v>31932490.38</v>
      </c>
      <c r="E1933" s="41" t="n">
        <f aca="false">C1933/D1933-1</f>
        <v>-0.191000448991602</v>
      </c>
      <c r="F1933" s="42" t="n">
        <f aca="false">YEAR(A1933)</f>
        <v>2021</v>
      </c>
    </row>
    <row r="1934" customFormat="false" ht="15" hidden="false" customHeight="false" outlineLevel="0" collapsed="false">
      <c r="A1934" s="38" t="n">
        <v>44258</v>
      </c>
      <c r="B1934" s="39" t="n">
        <v>1521</v>
      </c>
      <c r="C1934" s="40" t="n">
        <v>23563930.38</v>
      </c>
      <c r="D1934" s="40" t="n">
        <f aca="false">MAX(D1933,C1934)</f>
        <v>31932490.38</v>
      </c>
      <c r="E1934" s="41" t="n">
        <f aca="false">C1934/D1934-1</f>
        <v>-0.262070383500105</v>
      </c>
      <c r="F1934" s="42" t="n">
        <f aca="false">YEAR(A1934)</f>
        <v>2021</v>
      </c>
    </row>
    <row r="1935" customFormat="false" ht="15" hidden="false" customHeight="false" outlineLevel="0" collapsed="false">
      <c r="A1935" s="38" t="n">
        <v>44259</v>
      </c>
      <c r="B1935" s="39" t="n">
        <v>1498</v>
      </c>
      <c r="C1935" s="40" t="n">
        <v>25195090.38</v>
      </c>
      <c r="D1935" s="40" t="n">
        <f aca="false">MAX(D1934,C1935)</f>
        <v>31932490.38</v>
      </c>
      <c r="E1935" s="41" t="n">
        <f aca="false">C1935/D1935-1</f>
        <v>-0.210988868072118</v>
      </c>
      <c r="F1935" s="42" t="n">
        <f aca="false">YEAR(A1935)</f>
        <v>2021</v>
      </c>
    </row>
    <row r="1936" customFormat="false" ht="15" hidden="false" customHeight="false" outlineLevel="0" collapsed="false">
      <c r="A1936" s="38" t="n">
        <v>44260</v>
      </c>
      <c r="B1936" s="39" t="n">
        <v>1478</v>
      </c>
      <c r="C1936" s="40" t="n">
        <v>26613490.38</v>
      </c>
      <c r="D1936" s="40" t="n">
        <f aca="false">MAX(D1935,C1936)</f>
        <v>31932490.38</v>
      </c>
      <c r="E1936" s="41" t="n">
        <f aca="false">C1936/D1936-1</f>
        <v>-0.166570159004304</v>
      </c>
      <c r="F1936" s="42" t="n">
        <f aca="false">YEAR(A1936)</f>
        <v>2021</v>
      </c>
    </row>
    <row r="1937" customFormat="false" ht="15" hidden="false" customHeight="false" outlineLevel="0" collapsed="false">
      <c r="A1937" s="38" t="n">
        <v>44263</v>
      </c>
      <c r="B1937" s="39" t="n">
        <v>1503</v>
      </c>
      <c r="C1937" s="40" t="n">
        <v>24840490.38</v>
      </c>
      <c r="D1937" s="40" t="n">
        <f aca="false">MAX(D1936,C1937)</f>
        <v>31932490.38</v>
      </c>
      <c r="E1937" s="41" t="n">
        <f aca="false">C1937/D1937-1</f>
        <v>-0.222093545339072</v>
      </c>
      <c r="F1937" s="42" t="n">
        <f aca="false">YEAR(A1937)</f>
        <v>2021</v>
      </c>
    </row>
    <row r="1938" customFormat="false" ht="15" hidden="false" customHeight="false" outlineLevel="0" collapsed="false">
      <c r="A1938" s="38" t="n">
        <v>44264</v>
      </c>
      <c r="B1938" s="39" t="n">
        <v>1461</v>
      </c>
      <c r="C1938" s="40" t="n">
        <v>27819130.38</v>
      </c>
      <c r="D1938" s="40" t="n">
        <f aca="false">MAX(D1937,C1938)</f>
        <v>31932490.38</v>
      </c>
      <c r="E1938" s="41" t="n">
        <f aca="false">C1938/D1938-1</f>
        <v>-0.128814256296662</v>
      </c>
      <c r="F1938" s="42" t="n">
        <f aca="false">YEAR(A1938)</f>
        <v>2021</v>
      </c>
    </row>
    <row r="1939" customFormat="false" ht="15" hidden="false" customHeight="false" outlineLevel="0" collapsed="false">
      <c r="A1939" s="38" t="n">
        <v>44265</v>
      </c>
      <c r="B1939" s="39" t="n">
        <v>1503.5</v>
      </c>
      <c r="C1939" s="40" t="n">
        <v>24805030.38</v>
      </c>
      <c r="D1939" s="40" t="n">
        <f aca="false">MAX(D1938,C1939)</f>
        <v>31932490.38</v>
      </c>
      <c r="E1939" s="41" t="n">
        <f aca="false">C1939/D1939-1</f>
        <v>-0.223204013065767</v>
      </c>
      <c r="F1939" s="42" t="n">
        <f aca="false">YEAR(A1939)</f>
        <v>2021</v>
      </c>
    </row>
    <row r="1940" customFormat="false" ht="15" hidden="false" customHeight="false" outlineLevel="0" collapsed="false">
      <c r="A1940" s="38" t="n">
        <v>44266</v>
      </c>
      <c r="B1940" s="39" t="n">
        <v>1531</v>
      </c>
      <c r="C1940" s="40" t="n">
        <v>22854730.38</v>
      </c>
      <c r="D1940" s="40" t="n">
        <f aca="false">MAX(D1939,C1940)</f>
        <v>31932490.38</v>
      </c>
      <c r="E1940" s="41" t="n">
        <f aca="false">C1940/D1940-1</f>
        <v>-0.284279738034012</v>
      </c>
      <c r="F1940" s="42" t="n">
        <f aca="false">YEAR(A1940)</f>
        <v>2021</v>
      </c>
    </row>
    <row r="1941" customFormat="false" ht="15" hidden="false" customHeight="false" outlineLevel="0" collapsed="false">
      <c r="A1941" s="38" t="n">
        <v>44267</v>
      </c>
      <c r="B1941" s="39" t="n">
        <v>1495</v>
      </c>
      <c r="C1941" s="40" t="n">
        <v>25407850.38</v>
      </c>
      <c r="D1941" s="40" t="n">
        <f aca="false">MAX(D1940,C1941)</f>
        <v>31932490.38</v>
      </c>
      <c r="E1941" s="41" t="n">
        <f aca="false">C1941/D1941-1</f>
        <v>-0.204326061711946</v>
      </c>
      <c r="F1941" s="42" t="n">
        <f aca="false">YEAR(A1941)</f>
        <v>2021</v>
      </c>
    </row>
    <row r="1942" customFormat="false" ht="15" hidden="false" customHeight="false" outlineLevel="0" collapsed="false">
      <c r="A1942" s="38" t="n">
        <v>44270</v>
      </c>
      <c r="B1942" s="39" t="n">
        <v>1478</v>
      </c>
      <c r="C1942" s="40" t="n">
        <v>26613490.38</v>
      </c>
      <c r="D1942" s="40" t="n">
        <f aca="false">MAX(D1941,C1942)</f>
        <v>31932490.38</v>
      </c>
      <c r="E1942" s="41" t="n">
        <f aca="false">C1942/D1942-1</f>
        <v>-0.166570159004304</v>
      </c>
      <c r="F1942" s="42" t="n">
        <f aca="false">YEAR(A1942)</f>
        <v>2021</v>
      </c>
    </row>
    <row r="1943" customFormat="false" ht="15" hidden="false" customHeight="false" outlineLevel="0" collapsed="false">
      <c r="A1943" s="38" t="n">
        <v>44271</v>
      </c>
      <c r="B1943" s="39" t="n">
        <v>1530.5</v>
      </c>
      <c r="C1943" s="40" t="n">
        <v>22890190.38</v>
      </c>
      <c r="D1943" s="40" t="n">
        <f aca="false">MAX(D1942,C1943)</f>
        <v>31932490.38</v>
      </c>
      <c r="E1943" s="41" t="n">
        <f aca="false">C1943/D1943-1</f>
        <v>-0.283169270307316</v>
      </c>
      <c r="F1943" s="42" t="n">
        <f aca="false">YEAR(A1943)</f>
        <v>2021</v>
      </c>
    </row>
    <row r="1944" customFormat="false" ht="15" hidden="false" customHeight="false" outlineLevel="0" collapsed="false">
      <c r="A1944" s="38" t="n">
        <v>44272</v>
      </c>
      <c r="B1944" s="39" t="n">
        <v>1591</v>
      </c>
      <c r="C1944" s="40" t="n">
        <v>18599530.38</v>
      </c>
      <c r="D1944" s="40" t="n">
        <f aca="false">MAX(D1943,C1944)</f>
        <v>31932490.38</v>
      </c>
      <c r="E1944" s="41" t="n">
        <f aca="false">C1944/D1944-1</f>
        <v>-0.417535865237455</v>
      </c>
      <c r="F1944" s="42" t="n">
        <f aca="false">YEAR(A1944)</f>
        <v>2021</v>
      </c>
    </row>
    <row r="1945" customFormat="false" ht="15" hidden="false" customHeight="false" outlineLevel="0" collapsed="false">
      <c r="A1945" s="38" t="n">
        <v>44273</v>
      </c>
      <c r="B1945" s="39" t="n">
        <v>1575</v>
      </c>
      <c r="C1945" s="40" t="n">
        <v>19581214.47</v>
      </c>
      <c r="D1945" s="40" t="n">
        <f aca="false">MAX(D1944,C1945)</f>
        <v>31932490.38</v>
      </c>
      <c r="E1945" s="41" t="n">
        <f aca="false">C1945/D1945-1</f>
        <v>-0.38679338075479</v>
      </c>
      <c r="F1945" s="42" t="n">
        <f aca="false">YEAR(A1945)</f>
        <v>2021</v>
      </c>
    </row>
    <row r="1946" customFormat="false" ht="15" hidden="false" customHeight="false" outlineLevel="0" collapsed="false">
      <c r="A1946" s="38" t="n">
        <v>44274</v>
      </c>
      <c r="B1946" s="39" t="n">
        <v>1580.5</v>
      </c>
      <c r="C1946" s="40" t="n">
        <v>19581214.47</v>
      </c>
      <c r="D1946" s="40" t="n">
        <f aca="false">MAX(D1945,C1946)</f>
        <v>31932490.38</v>
      </c>
      <c r="E1946" s="41" t="n">
        <f aca="false">C1946/D1946-1</f>
        <v>-0.38679338075479</v>
      </c>
      <c r="F1946" s="42" t="n">
        <f aca="false">YEAR(A1946)</f>
        <v>2021</v>
      </c>
    </row>
    <row r="1947" customFormat="false" ht="15" hidden="false" customHeight="false" outlineLevel="0" collapsed="false">
      <c r="A1947" s="38" t="n">
        <v>44277</v>
      </c>
      <c r="B1947" s="39" t="n">
        <v>1539</v>
      </c>
      <c r="C1947" s="40" t="n">
        <v>19581214.47</v>
      </c>
      <c r="D1947" s="40" t="n">
        <f aca="false">MAX(D1946,C1947)</f>
        <v>31932490.38</v>
      </c>
      <c r="E1947" s="41" t="n">
        <f aca="false">C1947/D1947-1</f>
        <v>-0.38679338075479</v>
      </c>
      <c r="F1947" s="42" t="n">
        <f aca="false">YEAR(A1947)</f>
        <v>2021</v>
      </c>
    </row>
    <row r="1948" customFormat="false" ht="15" hidden="false" customHeight="false" outlineLevel="0" collapsed="false">
      <c r="A1948" s="38" t="n">
        <v>44278</v>
      </c>
      <c r="B1948" s="39" t="n">
        <v>1544</v>
      </c>
      <c r="C1948" s="40" t="n">
        <v>19581214.47</v>
      </c>
      <c r="D1948" s="40" t="n">
        <f aca="false">MAX(D1947,C1948)</f>
        <v>31932490.38</v>
      </c>
      <c r="E1948" s="41" t="n">
        <f aca="false">C1948/D1948-1</f>
        <v>-0.38679338075479</v>
      </c>
      <c r="F1948" s="42" t="n">
        <f aca="false">YEAR(A1948)</f>
        <v>2021</v>
      </c>
    </row>
    <row r="1949" customFormat="false" ht="15" hidden="false" customHeight="false" outlineLevel="0" collapsed="false">
      <c r="A1949" s="38" t="n">
        <v>44279</v>
      </c>
      <c r="B1949" s="39" t="n">
        <v>1543.5</v>
      </c>
      <c r="C1949" s="40" t="n">
        <v>19581214.47</v>
      </c>
      <c r="D1949" s="40" t="n">
        <f aca="false">MAX(D1948,C1949)</f>
        <v>31932490.38</v>
      </c>
      <c r="E1949" s="41" t="n">
        <f aca="false">C1949/D1949-1</f>
        <v>-0.38679338075479</v>
      </c>
      <c r="F1949" s="42" t="n">
        <f aca="false">YEAR(A1949)</f>
        <v>2021</v>
      </c>
    </row>
    <row r="1950" customFormat="false" ht="15" hidden="false" customHeight="false" outlineLevel="0" collapsed="false">
      <c r="A1950" s="38" t="n">
        <v>44280</v>
      </c>
      <c r="B1950" s="39" t="n">
        <v>1552.5</v>
      </c>
      <c r="C1950" s="40" t="n">
        <v>19581214.47</v>
      </c>
      <c r="D1950" s="40" t="n">
        <f aca="false">MAX(D1949,C1950)</f>
        <v>31932490.38</v>
      </c>
      <c r="E1950" s="41" t="n">
        <f aca="false">C1950/D1950-1</f>
        <v>-0.38679338075479</v>
      </c>
      <c r="F1950" s="42" t="n">
        <f aca="false">YEAR(A1950)</f>
        <v>2021</v>
      </c>
    </row>
    <row r="1951" customFormat="false" ht="15" hidden="false" customHeight="false" outlineLevel="0" collapsed="false">
      <c r="A1951" s="38" t="n">
        <v>44281</v>
      </c>
      <c r="B1951" s="39" t="n">
        <v>1566</v>
      </c>
      <c r="C1951" s="40" t="n">
        <v>19581214.47</v>
      </c>
      <c r="D1951" s="40" t="n">
        <f aca="false">MAX(D1950,C1951)</f>
        <v>31932490.38</v>
      </c>
      <c r="E1951" s="41" t="n">
        <f aca="false">C1951/D1951-1</f>
        <v>-0.38679338075479</v>
      </c>
      <c r="F1951" s="42" t="n">
        <f aca="false">YEAR(A1951)</f>
        <v>2021</v>
      </c>
    </row>
    <row r="1952" customFormat="false" ht="15" hidden="false" customHeight="false" outlineLevel="0" collapsed="false">
      <c r="A1952" s="38" t="n">
        <v>44284</v>
      </c>
      <c r="B1952" s="39" t="n">
        <v>1648</v>
      </c>
      <c r="C1952" s="40" t="n">
        <v>19581214.47</v>
      </c>
      <c r="D1952" s="40" t="n">
        <f aca="false">MAX(D1951,C1952)</f>
        <v>31932490.38</v>
      </c>
      <c r="E1952" s="41" t="n">
        <f aca="false">C1952/D1952-1</f>
        <v>-0.38679338075479</v>
      </c>
      <c r="F1952" s="42" t="n">
        <f aca="false">YEAR(A1952)</f>
        <v>2021</v>
      </c>
    </row>
    <row r="1953" customFormat="false" ht="15" hidden="false" customHeight="false" outlineLevel="0" collapsed="false">
      <c r="A1953" s="38" t="n">
        <v>44285</v>
      </c>
      <c r="B1953" s="39" t="n">
        <v>1657</v>
      </c>
      <c r="C1953" s="40" t="n">
        <v>19696206.19</v>
      </c>
      <c r="D1953" s="40" t="n">
        <f aca="false">MAX(D1952,C1953)</f>
        <v>31932490.38</v>
      </c>
      <c r="E1953" s="41" t="n">
        <f aca="false">C1953/D1953-1</f>
        <v>-0.383192292376414</v>
      </c>
      <c r="F1953" s="42" t="n">
        <f aca="false">YEAR(A1953)</f>
        <v>2021</v>
      </c>
    </row>
    <row r="1954" customFormat="false" ht="15" hidden="false" customHeight="false" outlineLevel="0" collapsed="false">
      <c r="A1954" s="38" t="n">
        <v>44286</v>
      </c>
      <c r="B1954" s="39" t="n">
        <v>1660</v>
      </c>
      <c r="C1954" s="40" t="n">
        <v>19843986.19</v>
      </c>
      <c r="D1954" s="40" t="n">
        <f aca="false">MAX(D1953,C1954)</f>
        <v>31932490.38</v>
      </c>
      <c r="E1954" s="41" t="n">
        <f aca="false">C1954/D1954-1</f>
        <v>-0.378564404033181</v>
      </c>
      <c r="F1954" s="42" t="n">
        <f aca="false">YEAR(A1954)</f>
        <v>2021</v>
      </c>
    </row>
    <row r="1955" customFormat="false" ht="15" hidden="false" customHeight="false" outlineLevel="0" collapsed="false">
      <c r="A1955" s="38" t="n">
        <v>44287</v>
      </c>
      <c r="B1955" s="39" t="n">
        <v>1606</v>
      </c>
      <c r="C1955" s="40" t="n">
        <v>17183946.19</v>
      </c>
      <c r="D1955" s="40" t="n">
        <f aca="false">MAX(D1954,C1955)</f>
        <v>31932490.38</v>
      </c>
      <c r="E1955" s="41" t="n">
        <f aca="false">C1955/D1955-1</f>
        <v>-0.461866394211374</v>
      </c>
      <c r="F1955" s="42" t="n">
        <f aca="false">YEAR(A1955)</f>
        <v>2021</v>
      </c>
    </row>
    <row r="1956" customFormat="false" ht="15" hidden="false" customHeight="false" outlineLevel="0" collapsed="false">
      <c r="A1956" s="38" t="n">
        <v>44288</v>
      </c>
      <c r="B1956" s="39" t="n">
        <v>1596.5</v>
      </c>
      <c r="C1956" s="40" t="n">
        <v>16715976.19</v>
      </c>
      <c r="D1956" s="40" t="n">
        <f aca="false">MAX(D1955,C1956)</f>
        <v>31932490.38</v>
      </c>
      <c r="E1956" s="41" t="n">
        <f aca="false">C1956/D1956-1</f>
        <v>-0.476521373964945</v>
      </c>
      <c r="F1956" s="42" t="n">
        <f aca="false">YEAR(A1956)</f>
        <v>2021</v>
      </c>
    </row>
    <row r="1957" customFormat="false" ht="15" hidden="false" customHeight="false" outlineLevel="0" collapsed="false">
      <c r="A1957" s="38" t="n">
        <v>44292</v>
      </c>
      <c r="B1957" s="39" t="n">
        <v>1621.5</v>
      </c>
      <c r="C1957" s="40" t="n">
        <v>17947476.19</v>
      </c>
      <c r="D1957" s="40" t="n">
        <f aca="false">MAX(D1956,C1957)</f>
        <v>31932490.38</v>
      </c>
      <c r="E1957" s="41" t="n">
        <f aca="false">C1957/D1957-1</f>
        <v>-0.437955637771338</v>
      </c>
      <c r="F1957" s="42" t="n">
        <f aca="false">YEAR(A1957)</f>
        <v>2021</v>
      </c>
    </row>
    <row r="1958" customFormat="false" ht="15" hidden="false" customHeight="false" outlineLevel="0" collapsed="false">
      <c r="A1958" s="38" t="n">
        <v>44293</v>
      </c>
      <c r="B1958" s="39" t="n">
        <v>1605.5</v>
      </c>
      <c r="C1958" s="40" t="n">
        <v>17159316.19</v>
      </c>
      <c r="D1958" s="40" t="n">
        <f aca="false">MAX(D1957,C1958)</f>
        <v>31932490.38</v>
      </c>
      <c r="E1958" s="41" t="n">
        <f aca="false">C1958/D1958-1</f>
        <v>-0.462637708935246</v>
      </c>
      <c r="F1958" s="42" t="n">
        <f aca="false">YEAR(A1958)</f>
        <v>2021</v>
      </c>
    </row>
    <row r="1959" customFormat="false" ht="15" hidden="false" customHeight="false" outlineLevel="0" collapsed="false">
      <c r="A1959" s="38" t="n">
        <v>44294</v>
      </c>
      <c r="B1959" s="39" t="n">
        <v>1579</v>
      </c>
      <c r="C1959" s="40" t="n">
        <v>15853926.19</v>
      </c>
      <c r="D1959" s="40" t="n">
        <f aca="false">MAX(D1958,C1959)</f>
        <v>31932490.38</v>
      </c>
      <c r="E1959" s="41" t="n">
        <f aca="false">C1959/D1959-1</f>
        <v>-0.503517389300471</v>
      </c>
      <c r="F1959" s="42" t="n">
        <f aca="false">YEAR(A1959)</f>
        <v>2021</v>
      </c>
    </row>
    <row r="1960" customFormat="false" ht="15" hidden="false" customHeight="false" outlineLevel="0" collapsed="false">
      <c r="A1960" s="38" t="n">
        <v>44295</v>
      </c>
      <c r="B1960" s="39" t="n">
        <v>1585.5</v>
      </c>
      <c r="C1960" s="40" t="n">
        <v>16174116.19</v>
      </c>
      <c r="D1960" s="40" t="n">
        <f aca="false">MAX(D1959,C1960)</f>
        <v>31932490.38</v>
      </c>
      <c r="E1960" s="41" t="n">
        <f aca="false">C1960/D1960-1</f>
        <v>-0.493490297890133</v>
      </c>
      <c r="F1960" s="42" t="n">
        <f aca="false">YEAR(A1960)</f>
        <v>2021</v>
      </c>
    </row>
    <row r="1961" customFormat="false" ht="15" hidden="false" customHeight="false" outlineLevel="0" collapsed="false">
      <c r="A1961" s="38" t="n">
        <v>44298</v>
      </c>
      <c r="B1961" s="39" t="n">
        <v>1614.5</v>
      </c>
      <c r="C1961" s="40" t="n">
        <v>17602656.19</v>
      </c>
      <c r="D1961" s="40" t="n">
        <f aca="false">MAX(D1960,C1961)</f>
        <v>31932490.38</v>
      </c>
      <c r="E1961" s="41" t="n">
        <f aca="false">C1961/D1961-1</f>
        <v>-0.448754043905548</v>
      </c>
      <c r="F1961" s="42" t="n">
        <f aca="false">YEAR(A1961)</f>
        <v>2021</v>
      </c>
    </row>
    <row r="1962" customFormat="false" ht="15" hidden="false" customHeight="false" outlineLevel="0" collapsed="false">
      <c r="A1962" s="38" t="n">
        <v>44299</v>
      </c>
      <c r="B1962" s="39" t="n">
        <v>1624.5</v>
      </c>
      <c r="C1962" s="40" t="n">
        <v>18095256.19</v>
      </c>
      <c r="D1962" s="40" t="n">
        <f aca="false">MAX(D1961,C1962)</f>
        <v>31932490.38</v>
      </c>
      <c r="E1962" s="41" t="n">
        <f aca="false">C1962/D1962-1</f>
        <v>-0.433327749428105</v>
      </c>
      <c r="F1962" s="42" t="n">
        <f aca="false">YEAR(A1962)</f>
        <v>2021</v>
      </c>
    </row>
    <row r="1963" customFormat="false" ht="15" hidden="false" customHeight="false" outlineLevel="0" collapsed="false">
      <c r="A1963" s="38" t="n">
        <v>44300</v>
      </c>
      <c r="B1963" s="39" t="n">
        <v>1635</v>
      </c>
      <c r="C1963" s="40" t="n">
        <v>18612486.19</v>
      </c>
      <c r="D1963" s="40" t="n">
        <f aca="false">MAX(D1962,C1963)</f>
        <v>31932490.38</v>
      </c>
      <c r="E1963" s="41" t="n">
        <f aca="false">C1963/D1963-1</f>
        <v>-0.417130140226789</v>
      </c>
      <c r="F1963" s="42" t="n">
        <f aca="false">YEAR(A1963)</f>
        <v>2021</v>
      </c>
    </row>
    <row r="1964" customFormat="false" ht="15" hidden="false" customHeight="false" outlineLevel="0" collapsed="false">
      <c r="A1964" s="38" t="n">
        <v>44301</v>
      </c>
      <c r="B1964" s="39" t="n">
        <v>1638.5</v>
      </c>
      <c r="C1964" s="40" t="n">
        <v>18784896.19</v>
      </c>
      <c r="D1964" s="40" t="n">
        <f aca="false">MAX(D1963,C1964)</f>
        <v>31932490.38</v>
      </c>
      <c r="E1964" s="41" t="n">
        <f aca="false">C1964/D1964-1</f>
        <v>-0.411730937159684</v>
      </c>
      <c r="F1964" s="42" t="n">
        <f aca="false">YEAR(A1964)</f>
        <v>2021</v>
      </c>
    </row>
    <row r="1965" customFormat="false" ht="15" hidden="false" customHeight="false" outlineLevel="0" collapsed="false">
      <c r="A1965" s="38" t="n">
        <v>44302</v>
      </c>
      <c r="B1965" s="39" t="n">
        <v>1708.5</v>
      </c>
      <c r="C1965" s="40" t="n">
        <v>22233096.19</v>
      </c>
      <c r="D1965" s="40" t="n">
        <f aca="false">MAX(D1964,C1965)</f>
        <v>31932490.38</v>
      </c>
      <c r="E1965" s="41" t="n">
        <f aca="false">C1965/D1965-1</f>
        <v>-0.303746875817582</v>
      </c>
      <c r="F1965" s="42" t="n">
        <f aca="false">YEAR(A1965)</f>
        <v>2021</v>
      </c>
    </row>
    <row r="1966" customFormat="false" ht="15" hidden="false" customHeight="false" outlineLevel="0" collapsed="false">
      <c r="A1966" s="38" t="n">
        <v>44305</v>
      </c>
      <c r="B1966" s="39" t="n">
        <v>1700.5</v>
      </c>
      <c r="C1966" s="40" t="n">
        <v>21839016.19</v>
      </c>
      <c r="D1966" s="40" t="n">
        <f aca="false">MAX(D1965,C1966)</f>
        <v>31932490.38</v>
      </c>
      <c r="E1966" s="41" t="n">
        <f aca="false">C1966/D1966-1</f>
        <v>-0.316087911399537</v>
      </c>
      <c r="F1966" s="42" t="n">
        <f aca="false">YEAR(A1966)</f>
        <v>2021</v>
      </c>
    </row>
    <row r="1967" customFormat="false" ht="15" hidden="false" customHeight="false" outlineLevel="0" collapsed="false">
      <c r="A1967" s="38" t="n">
        <v>44306</v>
      </c>
      <c r="B1967" s="39" t="n">
        <v>1707</v>
      </c>
      <c r="C1967" s="40" t="n">
        <v>22159206.19</v>
      </c>
      <c r="D1967" s="40" t="n">
        <f aca="false">MAX(D1966,C1967)</f>
        <v>31932490.38</v>
      </c>
      <c r="E1967" s="41" t="n">
        <f aca="false">C1967/D1967-1</f>
        <v>-0.306060819989199</v>
      </c>
      <c r="F1967" s="42" t="n">
        <f aca="false">YEAR(A1967)</f>
        <v>2021</v>
      </c>
    </row>
    <row r="1968" customFormat="false" ht="15" hidden="false" customHeight="false" outlineLevel="0" collapsed="false">
      <c r="A1968" s="38" t="n">
        <v>44307</v>
      </c>
      <c r="B1968" s="39" t="n">
        <v>1690</v>
      </c>
      <c r="C1968" s="40" t="n">
        <v>21321786.19</v>
      </c>
      <c r="D1968" s="40" t="n">
        <f aca="false">MAX(D1967,C1968)</f>
        <v>31932490.38</v>
      </c>
      <c r="E1968" s="41" t="n">
        <f aca="false">C1968/D1968-1</f>
        <v>-0.332285520600852</v>
      </c>
      <c r="F1968" s="42" t="n">
        <f aca="false">YEAR(A1968)</f>
        <v>2021</v>
      </c>
    </row>
    <row r="1969" customFormat="false" ht="15" hidden="false" customHeight="false" outlineLevel="0" collapsed="false">
      <c r="A1969" s="38" t="n">
        <v>44308</v>
      </c>
      <c r="B1969" s="39" t="n">
        <v>1728.5</v>
      </c>
      <c r="C1969" s="40" t="n">
        <v>23218296.19</v>
      </c>
      <c r="D1969" s="40" t="n">
        <f aca="false">MAX(D1968,C1969)</f>
        <v>31932490.38</v>
      </c>
      <c r="E1969" s="41" t="n">
        <f aca="false">C1969/D1969-1</f>
        <v>-0.272894286862696</v>
      </c>
      <c r="F1969" s="42" t="n">
        <f aca="false">YEAR(A1969)</f>
        <v>2021</v>
      </c>
    </row>
    <row r="1970" customFormat="false" ht="15" hidden="false" customHeight="false" outlineLevel="0" collapsed="false">
      <c r="A1970" s="38" t="n">
        <v>44309</v>
      </c>
      <c r="B1970" s="39" t="n">
        <v>1723.5</v>
      </c>
      <c r="C1970" s="40" t="n">
        <v>22971996.19</v>
      </c>
      <c r="D1970" s="40" t="n">
        <f aca="false">MAX(D1969,C1970)</f>
        <v>31932490.38</v>
      </c>
      <c r="E1970" s="41" t="n">
        <f aca="false">C1970/D1970-1</f>
        <v>-0.280607434101418</v>
      </c>
      <c r="F1970" s="42" t="n">
        <f aca="false">YEAR(A1970)</f>
        <v>2021</v>
      </c>
    </row>
    <row r="1971" customFormat="false" ht="15" hidden="false" customHeight="false" outlineLevel="0" collapsed="false">
      <c r="A1971" s="38" t="n">
        <v>44312</v>
      </c>
      <c r="B1971" s="39" t="n">
        <v>1764.5</v>
      </c>
      <c r="C1971" s="40" t="n">
        <v>24991656.19</v>
      </c>
      <c r="D1971" s="40" t="n">
        <f aca="false">MAX(D1970,C1971)</f>
        <v>31932490.38</v>
      </c>
      <c r="E1971" s="41" t="n">
        <f aca="false">C1971/D1971-1</f>
        <v>-0.217359626743901</v>
      </c>
      <c r="F1971" s="42" t="n">
        <f aca="false">YEAR(A1971)</f>
        <v>2021</v>
      </c>
    </row>
    <row r="1972" customFormat="false" ht="15" hidden="false" customHeight="false" outlineLevel="0" collapsed="false">
      <c r="A1972" s="38" t="n">
        <v>44313</v>
      </c>
      <c r="B1972" s="39" t="n">
        <v>1760</v>
      </c>
      <c r="C1972" s="40" t="n">
        <v>24769986.19</v>
      </c>
      <c r="D1972" s="40" t="n">
        <f aca="false">MAX(D1971,C1972)</f>
        <v>31932490.38</v>
      </c>
      <c r="E1972" s="41" t="n">
        <f aca="false">C1972/D1972-1</f>
        <v>-0.22430145925875</v>
      </c>
      <c r="F1972" s="42" t="n">
        <f aca="false">YEAR(A1972)</f>
        <v>2021</v>
      </c>
    </row>
    <row r="1973" customFormat="false" ht="15" hidden="false" customHeight="false" outlineLevel="0" collapsed="false">
      <c r="A1973" s="38" t="n">
        <v>44314</v>
      </c>
      <c r="B1973" s="39" t="n">
        <v>1734.5</v>
      </c>
      <c r="C1973" s="40" t="n">
        <v>23513856.19</v>
      </c>
      <c r="D1973" s="40" t="n">
        <f aca="false">MAX(D1972,C1973)</f>
        <v>31932490.38</v>
      </c>
      <c r="E1973" s="41" t="n">
        <f aca="false">C1973/D1973-1</f>
        <v>-0.26363851017623</v>
      </c>
      <c r="F1973" s="42" t="n">
        <f aca="false">YEAR(A1973)</f>
        <v>2021</v>
      </c>
    </row>
    <row r="1974" customFormat="false" ht="15" hidden="false" customHeight="false" outlineLevel="0" collapsed="false">
      <c r="A1974" s="38" t="n">
        <v>44315</v>
      </c>
      <c r="B1974" s="39" t="n">
        <v>1747</v>
      </c>
      <c r="C1974" s="40" t="n">
        <v>24129606.19</v>
      </c>
      <c r="D1974" s="40" t="n">
        <f aca="false">MAX(D1973,C1974)</f>
        <v>31932490.38</v>
      </c>
      <c r="E1974" s="41" t="n">
        <f aca="false">C1974/D1974-1</f>
        <v>-0.244355642079426</v>
      </c>
      <c r="F1974" s="42" t="n">
        <f aca="false">YEAR(A1974)</f>
        <v>2021</v>
      </c>
    </row>
    <row r="1975" customFormat="false" ht="15" hidden="false" customHeight="false" outlineLevel="0" collapsed="false">
      <c r="A1975" s="38" t="n">
        <v>44316</v>
      </c>
      <c r="B1975" s="39" t="n">
        <v>1757.5</v>
      </c>
      <c r="C1975" s="40" t="n">
        <v>24646836.19</v>
      </c>
      <c r="D1975" s="40" t="n">
        <f aca="false">MAX(D1974,C1975)</f>
        <v>31932490.38</v>
      </c>
      <c r="E1975" s="41" t="n">
        <f aca="false">C1975/D1975-1</f>
        <v>-0.228158032878111</v>
      </c>
      <c r="F1975" s="42" t="n">
        <f aca="false">YEAR(A1975)</f>
        <v>2021</v>
      </c>
    </row>
    <row r="1976" customFormat="false" ht="15" hidden="false" customHeight="false" outlineLevel="0" collapsed="false">
      <c r="A1976" s="38" t="n">
        <v>44322</v>
      </c>
      <c r="B1976" s="39" t="n">
        <v>1897</v>
      </c>
      <c r="C1976" s="40" t="n">
        <v>31518606.19</v>
      </c>
      <c r="D1976" s="40" t="n">
        <f aca="false">MAX(D1975,C1976)</f>
        <v>31932490.38</v>
      </c>
      <c r="E1976" s="41" t="n">
        <f aca="false">C1976/D1976-1</f>
        <v>-0.0129612249177791</v>
      </c>
      <c r="F1976" s="42" t="n">
        <f aca="false">YEAR(A1976)</f>
        <v>2021</v>
      </c>
    </row>
    <row r="1977" customFormat="false" ht="15" hidden="false" customHeight="false" outlineLevel="0" collapsed="false">
      <c r="A1977" s="38" t="n">
        <v>44323</v>
      </c>
      <c r="B1977" s="39" t="n">
        <v>1925.5</v>
      </c>
      <c r="C1977" s="40" t="n">
        <v>32922516.19</v>
      </c>
      <c r="D1977" s="40" t="n">
        <f aca="false">MAX(D1976,C1977)</f>
        <v>32922516.19</v>
      </c>
      <c r="E1977" s="41" t="n">
        <f aca="false">C1977/D1977-1</f>
        <v>0</v>
      </c>
      <c r="F1977" s="42" t="n">
        <f aca="false">YEAR(A1977)</f>
        <v>2021</v>
      </c>
    </row>
    <row r="1978" customFormat="false" ht="15" hidden="false" customHeight="false" outlineLevel="0" collapsed="false">
      <c r="A1978" s="38" t="n">
        <v>44326</v>
      </c>
      <c r="B1978" s="39" t="n">
        <v>2045</v>
      </c>
      <c r="C1978" s="40" t="n">
        <v>38809086.19</v>
      </c>
      <c r="D1978" s="40" t="n">
        <f aca="false">MAX(D1977,C1978)</f>
        <v>38809086.19</v>
      </c>
      <c r="E1978" s="41" t="n">
        <f aca="false">C1978/D1978-1</f>
        <v>0</v>
      </c>
      <c r="F1978" s="42" t="n">
        <f aca="false">YEAR(A1978)</f>
        <v>2021</v>
      </c>
    </row>
    <row r="1979" customFormat="false" ht="15" hidden="false" customHeight="false" outlineLevel="0" collapsed="false">
      <c r="A1979" s="38" t="n">
        <v>44327</v>
      </c>
      <c r="B1979" s="39" t="n">
        <v>2010.5</v>
      </c>
      <c r="C1979" s="40" t="n">
        <v>37109616.19</v>
      </c>
      <c r="D1979" s="40" t="n">
        <f aca="false">MAX(D1978,C1979)</f>
        <v>38809086.19</v>
      </c>
      <c r="E1979" s="41" t="n">
        <f aca="false">C1979/D1979-1</f>
        <v>-0.0437905183255231</v>
      </c>
      <c r="F1979" s="42" t="n">
        <f aca="false">YEAR(A1979)</f>
        <v>2021</v>
      </c>
    </row>
    <row r="1980" customFormat="false" ht="15" hidden="false" customHeight="false" outlineLevel="0" collapsed="false">
      <c r="A1980" s="38" t="n">
        <v>44328</v>
      </c>
      <c r="B1980" s="39" t="n">
        <v>2096.5</v>
      </c>
      <c r="C1980" s="40" t="n">
        <v>41345976.19</v>
      </c>
      <c r="D1980" s="40" t="n">
        <f aca="false">MAX(D1979,C1980)</f>
        <v>41345976.19</v>
      </c>
      <c r="E1980" s="41" t="n">
        <f aca="false">C1980/D1980-1</f>
        <v>0</v>
      </c>
      <c r="F1980" s="42" t="n">
        <f aca="false">YEAR(A1980)</f>
        <v>2021</v>
      </c>
    </row>
    <row r="1981" customFormat="false" ht="15" hidden="false" customHeight="false" outlineLevel="0" collapsed="false">
      <c r="A1981" s="38" t="n">
        <v>44329</v>
      </c>
      <c r="B1981" s="39" t="n">
        <v>1975</v>
      </c>
      <c r="C1981" s="40" t="n">
        <v>35360886.19</v>
      </c>
      <c r="D1981" s="40" t="n">
        <f aca="false">MAX(D1980,C1981)</f>
        <v>41345976.19</v>
      </c>
      <c r="E1981" s="41" t="n">
        <f aca="false">C1981/D1981-1</f>
        <v>-0.144756287105093</v>
      </c>
      <c r="F1981" s="42" t="n">
        <f aca="false">YEAR(A1981)</f>
        <v>2021</v>
      </c>
    </row>
    <row r="1982" customFormat="false" ht="15" hidden="false" customHeight="false" outlineLevel="0" collapsed="false">
      <c r="A1982" s="38" t="n">
        <v>44330</v>
      </c>
      <c r="B1982" s="39" t="n">
        <v>1912.5</v>
      </c>
      <c r="C1982" s="40" t="n">
        <v>32282136.19</v>
      </c>
      <c r="D1982" s="40" t="n">
        <f aca="false">MAX(D1981,C1982)</f>
        <v>41345976.19</v>
      </c>
      <c r="E1982" s="41" t="n">
        <f aca="false">C1982/D1982-1</f>
        <v>-0.219219397755862</v>
      </c>
      <c r="F1982" s="42" t="n">
        <f aca="false">YEAR(A1982)</f>
        <v>2021</v>
      </c>
    </row>
    <row r="1983" customFormat="false" ht="15" hidden="false" customHeight="false" outlineLevel="0" collapsed="false">
      <c r="A1983" s="38" t="n">
        <v>44333</v>
      </c>
      <c r="B1983" s="39" t="n">
        <v>1957.5</v>
      </c>
      <c r="C1983" s="40" t="n">
        <v>34498836.19</v>
      </c>
      <c r="D1983" s="40" t="n">
        <f aca="false">MAX(D1982,C1983)</f>
        <v>41345976.19</v>
      </c>
      <c r="E1983" s="41" t="n">
        <f aca="false">C1983/D1983-1</f>
        <v>-0.165605958087309</v>
      </c>
      <c r="F1983" s="42" t="n">
        <f aca="false">YEAR(A1983)</f>
        <v>2021</v>
      </c>
    </row>
    <row r="1984" customFormat="false" ht="15" hidden="false" customHeight="false" outlineLevel="0" collapsed="false">
      <c r="A1984" s="38" t="n">
        <v>44334</v>
      </c>
      <c r="B1984" s="39" t="n">
        <v>1957.5</v>
      </c>
      <c r="C1984" s="40" t="n">
        <v>34498836.19</v>
      </c>
      <c r="D1984" s="40" t="n">
        <f aca="false">MAX(D1983,C1984)</f>
        <v>41345976.19</v>
      </c>
      <c r="E1984" s="41" t="n">
        <f aca="false">C1984/D1984-1</f>
        <v>-0.165605958087309</v>
      </c>
      <c r="F1984" s="42" t="n">
        <f aca="false">YEAR(A1984)</f>
        <v>2021</v>
      </c>
    </row>
    <row r="1985" customFormat="false" ht="15" hidden="false" customHeight="false" outlineLevel="0" collapsed="false">
      <c r="A1985" s="38" t="n">
        <v>44335</v>
      </c>
      <c r="B1985" s="39" t="n">
        <v>1915</v>
      </c>
      <c r="C1985" s="40" t="n">
        <v>32405286.19</v>
      </c>
      <c r="D1985" s="40" t="n">
        <f aca="false">MAX(D1984,C1985)</f>
        <v>41345976.19</v>
      </c>
      <c r="E1985" s="41" t="n">
        <f aca="false">C1985/D1985-1</f>
        <v>-0.216240873329831</v>
      </c>
      <c r="F1985" s="42" t="n">
        <f aca="false">YEAR(A1985)</f>
        <v>2021</v>
      </c>
    </row>
    <row r="1986" customFormat="false" ht="15" hidden="false" customHeight="false" outlineLevel="0" collapsed="false">
      <c r="A1986" s="38" t="n">
        <v>44336</v>
      </c>
      <c r="B1986" s="39" t="n">
        <v>1773</v>
      </c>
      <c r="C1986" s="40" t="n">
        <v>25410366.19</v>
      </c>
      <c r="D1986" s="40" t="n">
        <f aca="false">MAX(D1985,C1986)</f>
        <v>41345976.19</v>
      </c>
      <c r="E1986" s="41" t="n">
        <f aca="false">C1986/D1986-1</f>
        <v>-0.385421060728376</v>
      </c>
      <c r="F1986" s="42" t="n">
        <f aca="false">YEAR(A1986)</f>
        <v>2021</v>
      </c>
    </row>
    <row r="1987" customFormat="false" ht="15" hidden="false" customHeight="false" outlineLevel="0" collapsed="false">
      <c r="A1987" s="38" t="n">
        <v>44337</v>
      </c>
      <c r="B1987" s="39" t="n">
        <v>1700</v>
      </c>
      <c r="C1987" s="40" t="n">
        <v>21814386.19</v>
      </c>
      <c r="D1987" s="40" t="n">
        <f aca="false">MAX(D1986,C1987)</f>
        <v>41345976.19</v>
      </c>
      <c r="E1987" s="41" t="n">
        <f aca="false">C1987/D1987-1</f>
        <v>-0.472393973968474</v>
      </c>
      <c r="F1987" s="42" t="n">
        <f aca="false">YEAR(A1987)</f>
        <v>2021</v>
      </c>
    </row>
    <row r="1988" customFormat="false" ht="15" hidden="false" customHeight="false" outlineLevel="0" collapsed="false">
      <c r="A1988" s="38" t="n">
        <v>44340</v>
      </c>
      <c r="B1988" s="39" t="n">
        <v>1723.5</v>
      </c>
      <c r="C1988" s="40" t="n">
        <v>22569457.43</v>
      </c>
      <c r="D1988" s="40" t="n">
        <f aca="false">MAX(D1987,C1988)</f>
        <v>41345976.19</v>
      </c>
      <c r="E1988" s="41" t="n">
        <f aca="false">C1988/D1988-1</f>
        <v>-0.454131707368934</v>
      </c>
      <c r="F1988" s="42" t="n">
        <f aca="false">YEAR(A1988)</f>
        <v>2021</v>
      </c>
    </row>
    <row r="1989" customFormat="false" ht="15" hidden="false" customHeight="false" outlineLevel="0" collapsed="false">
      <c r="A1989" s="38" t="n">
        <v>44341</v>
      </c>
      <c r="B1989" s="39" t="n">
        <v>1759</v>
      </c>
      <c r="C1989" s="40" t="n">
        <v>22569457.43</v>
      </c>
      <c r="D1989" s="40" t="n">
        <f aca="false">MAX(D1988,C1989)</f>
        <v>41345976.19</v>
      </c>
      <c r="E1989" s="41" t="n">
        <f aca="false">C1989/D1989-1</f>
        <v>-0.454131707368934</v>
      </c>
      <c r="F1989" s="42" t="n">
        <f aca="false">YEAR(A1989)</f>
        <v>2021</v>
      </c>
    </row>
    <row r="1990" customFormat="false" ht="15" hidden="false" customHeight="false" outlineLevel="0" collapsed="false">
      <c r="A1990" s="38" t="n">
        <v>44342</v>
      </c>
      <c r="B1990" s="39" t="n">
        <v>1736</v>
      </c>
      <c r="C1990" s="40" t="n">
        <v>22569457.43</v>
      </c>
      <c r="D1990" s="40" t="n">
        <f aca="false">MAX(D1989,C1990)</f>
        <v>41345976.19</v>
      </c>
      <c r="E1990" s="41" t="n">
        <f aca="false">C1990/D1990-1</f>
        <v>-0.454131707368934</v>
      </c>
      <c r="F1990" s="42" t="n">
        <f aca="false">YEAR(A1990)</f>
        <v>2021</v>
      </c>
    </row>
    <row r="1991" customFormat="false" ht="15" hidden="false" customHeight="false" outlineLevel="0" collapsed="false">
      <c r="A1991" s="38" t="n">
        <v>44343</v>
      </c>
      <c r="B1991" s="39" t="n">
        <v>1781</v>
      </c>
      <c r="C1991" s="40" t="n">
        <v>22569457.43</v>
      </c>
      <c r="D1991" s="40" t="n">
        <f aca="false">MAX(D1990,C1991)</f>
        <v>41345976.19</v>
      </c>
      <c r="E1991" s="41" t="n">
        <f aca="false">C1991/D1991-1</f>
        <v>-0.454131707368934</v>
      </c>
      <c r="F1991" s="42" t="n">
        <f aca="false">YEAR(A1991)</f>
        <v>2021</v>
      </c>
    </row>
    <row r="1992" customFormat="false" ht="15" hidden="false" customHeight="false" outlineLevel="0" collapsed="false">
      <c r="A1992" s="38" t="n">
        <v>44344</v>
      </c>
      <c r="B1992" s="39" t="n">
        <v>1790</v>
      </c>
      <c r="C1992" s="40" t="n">
        <v>22569457.43</v>
      </c>
      <c r="D1992" s="40" t="n">
        <f aca="false">MAX(D1991,C1992)</f>
        <v>41345976.19</v>
      </c>
      <c r="E1992" s="41" t="n">
        <f aca="false">C1992/D1992-1</f>
        <v>-0.454131707368934</v>
      </c>
      <c r="F1992" s="42" t="n">
        <f aca="false">YEAR(A1992)</f>
        <v>2021</v>
      </c>
    </row>
    <row r="1993" customFormat="false" ht="15" hidden="false" customHeight="false" outlineLevel="0" collapsed="false">
      <c r="A1993" s="38" t="n">
        <v>44347</v>
      </c>
      <c r="B1993" s="39" t="n">
        <v>1758</v>
      </c>
      <c r="C1993" s="40" t="n">
        <v>22569457.43</v>
      </c>
      <c r="D1993" s="40" t="n">
        <f aca="false">MAX(D1992,C1993)</f>
        <v>41345976.19</v>
      </c>
      <c r="E1993" s="41" t="n">
        <f aca="false">C1993/D1993-1</f>
        <v>-0.454131707368934</v>
      </c>
      <c r="F1993" s="42" t="n">
        <f aca="false">YEAR(A1993)</f>
        <v>2021</v>
      </c>
    </row>
    <row r="1994" customFormat="false" ht="15" hidden="false" customHeight="false" outlineLevel="0" collapsed="false">
      <c r="A1994" s="38" t="n">
        <v>44348</v>
      </c>
      <c r="B1994" s="39" t="n">
        <v>1862.5</v>
      </c>
      <c r="C1994" s="40" t="n">
        <v>22569457.43</v>
      </c>
      <c r="D1994" s="40" t="n">
        <f aca="false">MAX(D1993,C1994)</f>
        <v>41345976.19</v>
      </c>
      <c r="E1994" s="41" t="n">
        <f aca="false">C1994/D1994-1</f>
        <v>-0.454131707368934</v>
      </c>
      <c r="F1994" s="42" t="n">
        <f aca="false">YEAR(A1994)</f>
        <v>2021</v>
      </c>
    </row>
    <row r="1995" customFormat="false" ht="15" hidden="false" customHeight="false" outlineLevel="0" collapsed="false">
      <c r="A1995" s="38" t="n">
        <v>44349</v>
      </c>
      <c r="B1995" s="39" t="n">
        <v>1847.5</v>
      </c>
      <c r="C1995" s="40" t="n">
        <v>22569457.43</v>
      </c>
      <c r="D1995" s="40" t="n">
        <f aca="false">MAX(D1994,C1995)</f>
        <v>41345976.19</v>
      </c>
      <c r="E1995" s="41" t="n">
        <f aca="false">C1995/D1995-1</f>
        <v>-0.454131707368934</v>
      </c>
      <c r="F1995" s="42" t="n">
        <f aca="false">YEAR(A1995)</f>
        <v>2021</v>
      </c>
    </row>
    <row r="1996" customFormat="false" ht="15" hidden="false" customHeight="false" outlineLevel="0" collapsed="false">
      <c r="A1996" s="38" t="n">
        <v>44350</v>
      </c>
      <c r="B1996" s="39" t="n">
        <v>1864.5</v>
      </c>
      <c r="C1996" s="40" t="n">
        <v>22569457.43</v>
      </c>
      <c r="D1996" s="40" t="n">
        <f aca="false">MAX(D1995,C1996)</f>
        <v>41345976.19</v>
      </c>
      <c r="E1996" s="41" t="n">
        <f aca="false">C1996/D1996-1</f>
        <v>-0.454131707368934</v>
      </c>
      <c r="F1996" s="42" t="n">
        <f aca="false">YEAR(A1996)</f>
        <v>2021</v>
      </c>
    </row>
    <row r="1997" customFormat="false" ht="15" hidden="false" customHeight="false" outlineLevel="0" collapsed="false">
      <c r="A1997" s="38" t="n">
        <v>44351</v>
      </c>
      <c r="B1997" s="39" t="n">
        <v>1839</v>
      </c>
      <c r="C1997" s="40" t="n">
        <v>22569457.43</v>
      </c>
      <c r="D1997" s="40" t="n">
        <f aca="false">MAX(D1996,C1997)</f>
        <v>41345976.19</v>
      </c>
      <c r="E1997" s="41" t="n">
        <f aca="false">C1997/D1997-1</f>
        <v>-0.454131707368934</v>
      </c>
      <c r="F1997" s="42" t="n">
        <f aca="false">YEAR(A1997)</f>
        <v>2021</v>
      </c>
    </row>
    <row r="1998" customFormat="false" ht="15" hidden="false" customHeight="false" outlineLevel="0" collapsed="false">
      <c r="A1998" s="38" t="n">
        <v>44354</v>
      </c>
      <c r="B1998" s="39" t="n">
        <v>1786.5</v>
      </c>
      <c r="C1998" s="40" t="n">
        <v>22569457.43</v>
      </c>
      <c r="D1998" s="40" t="n">
        <f aca="false">MAX(D1997,C1998)</f>
        <v>41345976.19</v>
      </c>
      <c r="E1998" s="41" t="n">
        <f aca="false">C1998/D1998-1</f>
        <v>-0.454131707368934</v>
      </c>
      <c r="F1998" s="42" t="n">
        <f aca="false">YEAR(A1998)</f>
        <v>2021</v>
      </c>
    </row>
    <row r="1999" customFormat="false" ht="15" hidden="false" customHeight="false" outlineLevel="0" collapsed="false">
      <c r="A1999" s="38" t="n">
        <v>44355</v>
      </c>
      <c r="B1999" s="39" t="n">
        <v>1830.5</v>
      </c>
      <c r="C1999" s="40" t="n">
        <v>22569457.43</v>
      </c>
      <c r="D1999" s="40" t="n">
        <f aca="false">MAX(D1998,C1999)</f>
        <v>41345976.19</v>
      </c>
      <c r="E1999" s="41" t="n">
        <f aca="false">C1999/D1999-1</f>
        <v>-0.454131707368934</v>
      </c>
      <c r="F1999" s="42" t="n">
        <f aca="false">YEAR(A1999)</f>
        <v>2021</v>
      </c>
    </row>
    <row r="2000" customFormat="false" ht="15" hidden="false" customHeight="false" outlineLevel="0" collapsed="false">
      <c r="A2000" s="38" t="n">
        <v>44356</v>
      </c>
      <c r="B2000" s="39" t="n">
        <v>1851.5</v>
      </c>
      <c r="C2000" s="40" t="n">
        <v>22569457.43</v>
      </c>
      <c r="D2000" s="40" t="n">
        <f aca="false">MAX(D1999,C2000)</f>
        <v>41345976.19</v>
      </c>
      <c r="E2000" s="41" t="n">
        <f aca="false">C2000/D2000-1</f>
        <v>-0.454131707368934</v>
      </c>
      <c r="F2000" s="42" t="n">
        <f aca="false">YEAR(A2000)</f>
        <v>2021</v>
      </c>
    </row>
    <row r="2001" customFormat="false" ht="15" hidden="false" customHeight="false" outlineLevel="0" collapsed="false">
      <c r="A2001" s="38" t="n">
        <v>44357</v>
      </c>
      <c r="B2001" s="39" t="n">
        <v>1851</v>
      </c>
      <c r="C2001" s="40" t="n">
        <v>22569457.43</v>
      </c>
      <c r="D2001" s="40" t="n">
        <f aca="false">MAX(D2000,C2001)</f>
        <v>41345976.19</v>
      </c>
      <c r="E2001" s="41" t="n">
        <f aca="false">C2001/D2001-1</f>
        <v>-0.454131707368934</v>
      </c>
      <c r="F2001" s="42" t="n">
        <f aca="false">YEAR(A2001)</f>
        <v>2021</v>
      </c>
    </row>
    <row r="2002" customFormat="false" ht="15" hidden="false" customHeight="false" outlineLevel="0" collapsed="false">
      <c r="A2002" s="38" t="n">
        <v>44358</v>
      </c>
      <c r="B2002" s="39" t="n">
        <v>1964</v>
      </c>
      <c r="C2002" s="40" t="n">
        <v>22569457.43</v>
      </c>
      <c r="D2002" s="40" t="n">
        <f aca="false">MAX(D2001,C2002)</f>
        <v>41345976.19</v>
      </c>
      <c r="E2002" s="41" t="n">
        <f aca="false">C2002/D2002-1</f>
        <v>-0.454131707368934</v>
      </c>
      <c r="F2002" s="42" t="n">
        <f aca="false">YEAR(A2002)</f>
        <v>2021</v>
      </c>
    </row>
    <row r="2003" customFormat="false" ht="15" hidden="false" customHeight="false" outlineLevel="0" collapsed="false">
      <c r="A2003" s="38" t="n">
        <v>44362</v>
      </c>
      <c r="B2003" s="39" t="n">
        <v>1942</v>
      </c>
      <c r="C2003" s="40" t="n">
        <v>22569457.43</v>
      </c>
      <c r="D2003" s="40" t="n">
        <f aca="false">MAX(D2002,C2003)</f>
        <v>41345976.19</v>
      </c>
      <c r="E2003" s="41" t="n">
        <f aca="false">C2003/D2003-1</f>
        <v>-0.454131707368934</v>
      </c>
      <c r="F2003" s="42" t="n">
        <f aca="false">YEAR(A2003)</f>
        <v>2021</v>
      </c>
    </row>
    <row r="2004" customFormat="false" ht="15" hidden="false" customHeight="false" outlineLevel="0" collapsed="false">
      <c r="A2004" s="38" t="n">
        <v>44363</v>
      </c>
      <c r="B2004" s="39" t="n">
        <v>1937</v>
      </c>
      <c r="C2004" s="40" t="n">
        <v>22569457.43</v>
      </c>
      <c r="D2004" s="40" t="n">
        <f aca="false">MAX(D2003,C2004)</f>
        <v>41345976.19</v>
      </c>
      <c r="E2004" s="41" t="n">
        <f aca="false">C2004/D2004-1</f>
        <v>-0.454131707368934</v>
      </c>
      <c r="F2004" s="42" t="n">
        <f aca="false">YEAR(A2004)</f>
        <v>2021</v>
      </c>
    </row>
    <row r="2005" customFormat="false" ht="15" hidden="false" customHeight="false" outlineLevel="0" collapsed="false">
      <c r="A2005" s="38" t="n">
        <v>44364</v>
      </c>
      <c r="B2005" s="39" t="n">
        <v>1994</v>
      </c>
      <c r="C2005" s="40" t="n">
        <v>22569457.43</v>
      </c>
      <c r="D2005" s="40" t="n">
        <f aca="false">MAX(D2004,C2005)</f>
        <v>41345976.19</v>
      </c>
      <c r="E2005" s="41" t="n">
        <f aca="false">C2005/D2005-1</f>
        <v>-0.454131707368934</v>
      </c>
      <c r="F2005" s="42" t="n">
        <f aca="false">YEAR(A2005)</f>
        <v>2021</v>
      </c>
    </row>
    <row r="2006" customFormat="false" ht="15" hidden="false" customHeight="false" outlineLevel="0" collapsed="false">
      <c r="A2006" s="38" t="n">
        <v>44365</v>
      </c>
      <c r="B2006" s="39" t="n">
        <v>1938.5</v>
      </c>
      <c r="C2006" s="40" t="n">
        <v>22569457.43</v>
      </c>
      <c r="D2006" s="40" t="n">
        <f aca="false">MAX(D2005,C2006)</f>
        <v>41345976.19</v>
      </c>
      <c r="E2006" s="41" t="n">
        <f aca="false">C2006/D2006-1</f>
        <v>-0.454131707368934</v>
      </c>
      <c r="F2006" s="42" t="n">
        <f aca="false">YEAR(A2006)</f>
        <v>2021</v>
      </c>
    </row>
    <row r="2007" customFormat="false" ht="15" hidden="false" customHeight="false" outlineLevel="0" collapsed="false">
      <c r="A2007" s="38" t="n">
        <v>44368</v>
      </c>
      <c r="B2007" s="39" t="n">
        <v>1917.5</v>
      </c>
      <c r="C2007" s="40" t="n">
        <v>22569457.43</v>
      </c>
      <c r="D2007" s="40" t="n">
        <f aca="false">MAX(D2006,C2007)</f>
        <v>41345976.19</v>
      </c>
      <c r="E2007" s="41" t="n">
        <f aca="false">C2007/D2007-1</f>
        <v>-0.454131707368934</v>
      </c>
      <c r="F2007" s="42" t="n">
        <f aca="false">YEAR(A2007)</f>
        <v>2021</v>
      </c>
    </row>
    <row r="2008" customFormat="false" ht="15" hidden="false" customHeight="false" outlineLevel="0" collapsed="false">
      <c r="A2008" s="38" t="n">
        <v>44369</v>
      </c>
      <c r="B2008" s="39" t="n">
        <v>1950</v>
      </c>
      <c r="C2008" s="40" t="n">
        <v>22569457.43</v>
      </c>
      <c r="D2008" s="40" t="n">
        <f aca="false">MAX(D2007,C2008)</f>
        <v>41345976.19</v>
      </c>
      <c r="E2008" s="41" t="n">
        <f aca="false">C2008/D2008-1</f>
        <v>-0.454131707368934</v>
      </c>
      <c r="F2008" s="42" t="n">
        <f aca="false">YEAR(A2008)</f>
        <v>2021</v>
      </c>
    </row>
    <row r="2009" customFormat="false" ht="15" hidden="false" customHeight="false" outlineLevel="0" collapsed="false">
      <c r="A2009" s="38" t="n">
        <v>44370</v>
      </c>
      <c r="B2009" s="39" t="n">
        <v>2012</v>
      </c>
      <c r="C2009" s="40" t="n">
        <v>22569457.43</v>
      </c>
      <c r="D2009" s="40" t="n">
        <f aca="false">MAX(D2008,C2009)</f>
        <v>41345976.19</v>
      </c>
      <c r="E2009" s="41" t="n">
        <f aca="false">C2009/D2009-1</f>
        <v>-0.454131707368934</v>
      </c>
      <c r="F2009" s="42" t="n">
        <f aca="false">YEAR(A2009)</f>
        <v>2021</v>
      </c>
    </row>
    <row r="2010" customFormat="false" ht="15" hidden="false" customHeight="false" outlineLevel="0" collapsed="false">
      <c r="A2010" s="38" t="n">
        <v>44371</v>
      </c>
      <c r="B2010" s="39" t="n">
        <v>2021</v>
      </c>
      <c r="C2010" s="40" t="n">
        <v>22569457.43</v>
      </c>
      <c r="D2010" s="40" t="n">
        <f aca="false">MAX(D2009,C2010)</f>
        <v>41345976.19</v>
      </c>
      <c r="E2010" s="41" t="n">
        <f aca="false">C2010/D2010-1</f>
        <v>-0.454131707368934</v>
      </c>
      <c r="F2010" s="42" t="n">
        <f aca="false">YEAR(A2010)</f>
        <v>2021</v>
      </c>
    </row>
    <row r="2011" customFormat="false" ht="15" hidden="false" customHeight="false" outlineLevel="0" collapsed="false">
      <c r="A2011" s="38" t="n">
        <v>44372</v>
      </c>
      <c r="B2011" s="39" t="n">
        <v>2020</v>
      </c>
      <c r="C2011" s="40" t="n">
        <v>22189496.02</v>
      </c>
      <c r="D2011" s="40" t="n">
        <f aca="false">MAX(D2010,C2011)</f>
        <v>41345976.19</v>
      </c>
      <c r="E2011" s="41" t="n">
        <f aca="false">C2011/D2011-1</f>
        <v>-0.463321511190567</v>
      </c>
      <c r="F2011" s="42" t="n">
        <f aca="false">YEAR(A2011)</f>
        <v>2021</v>
      </c>
    </row>
    <row r="2012" customFormat="false" ht="15" hidden="false" customHeight="false" outlineLevel="0" collapsed="false">
      <c r="A2012" s="38" t="n">
        <v>44375</v>
      </c>
      <c r="B2012" s="39" t="n">
        <v>1955</v>
      </c>
      <c r="C2012" s="40" t="n">
        <v>19178696.02</v>
      </c>
      <c r="D2012" s="40" t="n">
        <f aca="false">MAX(D2011,C2012)</f>
        <v>41345976.19</v>
      </c>
      <c r="E2012" s="41" t="n">
        <f aca="false">C2012/D2012-1</f>
        <v>-0.536141172919299</v>
      </c>
      <c r="F2012" s="42" t="n">
        <f aca="false">YEAR(A2012)</f>
        <v>2021</v>
      </c>
    </row>
    <row r="2013" customFormat="false" ht="15" hidden="false" customHeight="false" outlineLevel="0" collapsed="false">
      <c r="A2013" s="38" t="n">
        <v>44376</v>
      </c>
      <c r="B2013" s="39" t="n">
        <v>1923</v>
      </c>
      <c r="C2013" s="40" t="n">
        <v>17696456.02</v>
      </c>
      <c r="D2013" s="40" t="n">
        <f aca="false">MAX(D2012,C2013)</f>
        <v>41345976.19</v>
      </c>
      <c r="E2013" s="41" t="n">
        <f aca="false">C2013/D2013-1</f>
        <v>-0.571990852539598</v>
      </c>
      <c r="F2013" s="42" t="n">
        <f aca="false">YEAR(A2013)</f>
        <v>2021</v>
      </c>
    </row>
    <row r="2014" customFormat="false" ht="15" hidden="false" customHeight="false" outlineLevel="0" collapsed="false">
      <c r="A2014" s="38" t="n">
        <v>44377</v>
      </c>
      <c r="B2014" s="39" t="n">
        <v>1921.5</v>
      </c>
      <c r="C2014" s="40" t="n">
        <v>17626976.02</v>
      </c>
      <c r="D2014" s="40" t="n">
        <f aca="false">MAX(D2013,C2014)</f>
        <v>41345976.19</v>
      </c>
      <c r="E2014" s="41" t="n">
        <f aca="false">C2014/D2014-1</f>
        <v>-0.573671306271799</v>
      </c>
      <c r="F2014" s="42" t="n">
        <f aca="false">YEAR(A2014)</f>
        <v>2021</v>
      </c>
    </row>
    <row r="2015" customFormat="false" ht="15" hidden="false" customHeight="false" outlineLevel="0" collapsed="false">
      <c r="A2015" s="38" t="n">
        <v>44378</v>
      </c>
      <c r="B2015" s="39" t="n">
        <v>1888.5</v>
      </c>
      <c r="C2015" s="40" t="n">
        <v>16098416.02</v>
      </c>
      <c r="D2015" s="40" t="n">
        <f aca="false">MAX(D2014,C2015)</f>
        <v>41345976.19</v>
      </c>
      <c r="E2015" s="41" t="n">
        <f aca="false">C2015/D2015-1</f>
        <v>-0.610641288380232</v>
      </c>
      <c r="F2015" s="42" t="n">
        <f aca="false">YEAR(A2015)</f>
        <v>2021</v>
      </c>
    </row>
    <row r="2016" customFormat="false" ht="15" hidden="false" customHeight="false" outlineLevel="0" collapsed="false">
      <c r="A2016" s="38" t="n">
        <v>44379</v>
      </c>
      <c r="B2016" s="39" t="n">
        <v>1908</v>
      </c>
      <c r="C2016" s="40" t="n">
        <v>17001656.02</v>
      </c>
      <c r="D2016" s="40" t="n">
        <f aca="false">MAX(D2015,C2016)</f>
        <v>41345976.19</v>
      </c>
      <c r="E2016" s="41" t="n">
        <f aca="false">C2016/D2016-1</f>
        <v>-0.588795389861613</v>
      </c>
      <c r="F2016" s="42" t="n">
        <f aca="false">YEAR(A2016)</f>
        <v>2021</v>
      </c>
    </row>
    <row r="2017" customFormat="false" ht="15" hidden="false" customHeight="false" outlineLevel="0" collapsed="false">
      <c r="A2017" s="38" t="n">
        <v>44382</v>
      </c>
      <c r="B2017" s="39" t="n">
        <v>1934</v>
      </c>
      <c r="C2017" s="40" t="n">
        <v>18205976.02</v>
      </c>
      <c r="D2017" s="40" t="n">
        <f aca="false">MAX(D2016,C2017)</f>
        <v>41345976.19</v>
      </c>
      <c r="E2017" s="41" t="n">
        <f aca="false">C2017/D2017-1</f>
        <v>-0.55966752517012</v>
      </c>
      <c r="F2017" s="42" t="n">
        <f aca="false">YEAR(A2017)</f>
        <v>2021</v>
      </c>
    </row>
    <row r="2018" customFormat="false" ht="15" hidden="false" customHeight="false" outlineLevel="0" collapsed="false">
      <c r="A2018" s="38" t="n">
        <v>44383</v>
      </c>
      <c r="B2018" s="39" t="n">
        <v>1905</v>
      </c>
      <c r="C2018" s="40" t="n">
        <v>16862696.02</v>
      </c>
      <c r="D2018" s="40" t="n">
        <f aca="false">MAX(D2017,C2018)</f>
        <v>41345976.19</v>
      </c>
      <c r="E2018" s="41" t="n">
        <f aca="false">C2018/D2018-1</f>
        <v>-0.592156297326016</v>
      </c>
      <c r="F2018" s="42" t="n">
        <f aca="false">YEAR(A2018)</f>
        <v>2021</v>
      </c>
    </row>
    <row r="2019" customFormat="false" ht="15" hidden="false" customHeight="false" outlineLevel="0" collapsed="false">
      <c r="A2019" s="38" t="n">
        <v>44384</v>
      </c>
      <c r="B2019" s="39" t="n">
        <v>1893</v>
      </c>
      <c r="C2019" s="40" t="n">
        <v>16306856.02</v>
      </c>
      <c r="D2019" s="40" t="n">
        <f aca="false">MAX(D2018,C2019)</f>
        <v>41345976.19</v>
      </c>
      <c r="E2019" s="41" t="n">
        <f aca="false">C2019/D2019-1</f>
        <v>-0.605599927183628</v>
      </c>
      <c r="F2019" s="42" t="n">
        <f aca="false">YEAR(A2019)</f>
        <v>2021</v>
      </c>
    </row>
    <row r="2020" customFormat="false" ht="15" hidden="false" customHeight="false" outlineLevel="0" collapsed="false">
      <c r="A2020" s="38" t="n">
        <v>44385</v>
      </c>
      <c r="B2020" s="39" t="n">
        <v>1805</v>
      </c>
      <c r="C2020" s="40" t="n">
        <v>14004642.14</v>
      </c>
      <c r="D2020" s="40" t="n">
        <f aca="false">MAX(D2019,C2020)</f>
        <v>41345976.19</v>
      </c>
      <c r="E2020" s="41" t="n">
        <f aca="false">C2020/D2020-1</f>
        <v>-0.661281618418114</v>
      </c>
      <c r="F2020" s="42" t="n">
        <f aca="false">YEAR(A2020)</f>
        <v>2021</v>
      </c>
    </row>
    <row r="2021" customFormat="false" ht="15" hidden="false" customHeight="false" outlineLevel="0" collapsed="false">
      <c r="A2021" s="38" t="n">
        <v>44386</v>
      </c>
      <c r="B2021" s="39" t="n">
        <v>1819.5</v>
      </c>
      <c r="C2021" s="40" t="n">
        <v>14004642.14</v>
      </c>
      <c r="D2021" s="40" t="n">
        <f aca="false">MAX(D2020,C2021)</f>
        <v>41345976.19</v>
      </c>
      <c r="E2021" s="41" t="n">
        <f aca="false">C2021/D2021-1</f>
        <v>-0.661281618418114</v>
      </c>
      <c r="F2021" s="42" t="n">
        <f aca="false">YEAR(A2021)</f>
        <v>2021</v>
      </c>
    </row>
    <row r="2022" customFormat="false" ht="15" hidden="false" customHeight="false" outlineLevel="0" collapsed="false">
      <c r="A2022" s="38" t="n">
        <v>44389</v>
      </c>
      <c r="B2022" s="39" t="n">
        <v>1842</v>
      </c>
      <c r="C2022" s="40" t="n">
        <v>14004642.14</v>
      </c>
      <c r="D2022" s="40" t="n">
        <f aca="false">MAX(D2021,C2022)</f>
        <v>41345976.19</v>
      </c>
      <c r="E2022" s="41" t="n">
        <f aca="false">C2022/D2022-1</f>
        <v>-0.661281618418114</v>
      </c>
      <c r="F2022" s="42" t="n">
        <f aca="false">YEAR(A2022)</f>
        <v>2021</v>
      </c>
    </row>
    <row r="2023" customFormat="false" ht="15" hidden="false" customHeight="false" outlineLevel="0" collapsed="false">
      <c r="A2023" s="38" t="n">
        <v>44390</v>
      </c>
      <c r="B2023" s="39" t="n">
        <v>1908.5</v>
      </c>
      <c r="C2023" s="40" t="n">
        <v>14004642.14</v>
      </c>
      <c r="D2023" s="40" t="n">
        <f aca="false">MAX(D2022,C2023)</f>
        <v>41345976.19</v>
      </c>
      <c r="E2023" s="41" t="n">
        <f aca="false">C2023/D2023-1</f>
        <v>-0.661281618418114</v>
      </c>
      <c r="F2023" s="42" t="n">
        <f aca="false">YEAR(A2023)</f>
        <v>2021</v>
      </c>
    </row>
    <row r="2024" customFormat="false" ht="15" hidden="false" customHeight="false" outlineLevel="0" collapsed="false">
      <c r="A2024" s="38" t="n">
        <v>44391</v>
      </c>
      <c r="B2024" s="39" t="n">
        <v>1940.5</v>
      </c>
      <c r="C2024" s="40" t="n">
        <v>14004642.14</v>
      </c>
      <c r="D2024" s="40" t="n">
        <f aca="false">MAX(D2023,C2024)</f>
        <v>41345976.19</v>
      </c>
      <c r="E2024" s="41" t="n">
        <f aca="false">C2024/D2024-1</f>
        <v>-0.661281618418114</v>
      </c>
      <c r="F2024" s="42" t="n">
        <f aca="false">YEAR(A2024)</f>
        <v>2021</v>
      </c>
    </row>
    <row r="2025" customFormat="false" ht="15" hidden="false" customHeight="false" outlineLevel="0" collapsed="false">
      <c r="A2025" s="38" t="n">
        <v>44392</v>
      </c>
      <c r="B2025" s="39" t="n">
        <v>1940</v>
      </c>
      <c r="C2025" s="40" t="n">
        <v>14004642.14</v>
      </c>
      <c r="D2025" s="40" t="n">
        <f aca="false">MAX(D2024,C2025)</f>
        <v>41345976.19</v>
      </c>
      <c r="E2025" s="41" t="n">
        <f aca="false">C2025/D2025-1</f>
        <v>-0.661281618418114</v>
      </c>
      <c r="F2025" s="42" t="n">
        <f aca="false">YEAR(A2025)</f>
        <v>2021</v>
      </c>
    </row>
    <row r="2026" customFormat="false" ht="15" hidden="false" customHeight="false" outlineLevel="0" collapsed="false">
      <c r="A2026" s="38" t="n">
        <v>44393</v>
      </c>
      <c r="B2026" s="39" t="n">
        <v>2007</v>
      </c>
      <c r="C2026" s="40" t="n">
        <v>14004642.14</v>
      </c>
      <c r="D2026" s="40" t="n">
        <f aca="false">MAX(D2025,C2026)</f>
        <v>41345976.19</v>
      </c>
      <c r="E2026" s="41" t="n">
        <f aca="false">C2026/D2026-1</f>
        <v>-0.661281618418114</v>
      </c>
      <c r="F2026" s="42" t="n">
        <f aca="false">YEAR(A2026)</f>
        <v>2021</v>
      </c>
    </row>
    <row r="2027" customFormat="false" ht="15" hidden="false" customHeight="false" outlineLevel="0" collapsed="false">
      <c r="A2027" s="38" t="n">
        <v>44396</v>
      </c>
      <c r="B2027" s="39" t="n">
        <v>2012.5</v>
      </c>
      <c r="C2027" s="40" t="n">
        <v>14004642.14</v>
      </c>
      <c r="D2027" s="40" t="n">
        <f aca="false">MAX(D2026,C2027)</f>
        <v>41345976.19</v>
      </c>
      <c r="E2027" s="41" t="n">
        <f aca="false">C2027/D2027-1</f>
        <v>-0.661281618418114</v>
      </c>
      <c r="F2027" s="42" t="n">
        <f aca="false">YEAR(A2027)</f>
        <v>2021</v>
      </c>
    </row>
    <row r="2028" customFormat="false" ht="15" hidden="false" customHeight="false" outlineLevel="0" collapsed="false">
      <c r="A2028" s="38" t="n">
        <v>44397</v>
      </c>
      <c r="B2028" s="39" t="n">
        <v>2042.5</v>
      </c>
      <c r="C2028" s="40" t="n">
        <v>14004642.14</v>
      </c>
      <c r="D2028" s="40" t="n">
        <f aca="false">MAX(D2027,C2028)</f>
        <v>41345976.19</v>
      </c>
      <c r="E2028" s="41" t="n">
        <f aca="false">C2028/D2028-1</f>
        <v>-0.661281618418114</v>
      </c>
      <c r="F2028" s="42" t="n">
        <f aca="false">YEAR(A2028)</f>
        <v>2021</v>
      </c>
    </row>
    <row r="2029" customFormat="false" ht="15" hidden="false" customHeight="false" outlineLevel="0" collapsed="false">
      <c r="A2029" s="38" t="n">
        <v>44398</v>
      </c>
      <c r="B2029" s="39" t="n">
        <v>2052</v>
      </c>
      <c r="C2029" s="40" t="n">
        <v>14004642.14</v>
      </c>
      <c r="D2029" s="40" t="n">
        <f aca="false">MAX(D2028,C2029)</f>
        <v>41345976.19</v>
      </c>
      <c r="E2029" s="41" t="n">
        <f aca="false">C2029/D2029-1</f>
        <v>-0.661281618418114</v>
      </c>
      <c r="F2029" s="42" t="n">
        <f aca="false">YEAR(A2029)</f>
        <v>2021</v>
      </c>
    </row>
    <row r="2030" customFormat="false" ht="15" hidden="false" customHeight="false" outlineLevel="0" collapsed="false">
      <c r="A2030" s="38" t="n">
        <v>44399</v>
      </c>
      <c r="B2030" s="39" t="n">
        <v>2046</v>
      </c>
      <c r="C2030" s="40" t="n">
        <v>14004642.14</v>
      </c>
      <c r="D2030" s="40" t="n">
        <f aca="false">MAX(D2029,C2030)</f>
        <v>41345976.19</v>
      </c>
      <c r="E2030" s="41" t="n">
        <f aca="false">C2030/D2030-1</f>
        <v>-0.661281618418114</v>
      </c>
      <c r="F2030" s="42" t="n">
        <f aca="false">YEAR(A2030)</f>
        <v>2021</v>
      </c>
    </row>
    <row r="2031" customFormat="false" ht="15" hidden="false" customHeight="false" outlineLevel="0" collapsed="false">
      <c r="A2031" s="38" t="n">
        <v>44400</v>
      </c>
      <c r="B2031" s="39" t="n">
        <v>2076</v>
      </c>
      <c r="C2031" s="40" t="n">
        <v>14004642.14</v>
      </c>
      <c r="D2031" s="40" t="n">
        <f aca="false">MAX(D2030,C2031)</f>
        <v>41345976.19</v>
      </c>
      <c r="E2031" s="41" t="n">
        <f aca="false">C2031/D2031-1</f>
        <v>-0.661281618418114</v>
      </c>
      <c r="F2031" s="42" t="n">
        <f aca="false">YEAR(A2031)</f>
        <v>2021</v>
      </c>
    </row>
    <row r="2032" customFormat="false" ht="15" hidden="false" customHeight="false" outlineLevel="0" collapsed="false">
      <c r="A2032" s="38" t="n">
        <v>44403</v>
      </c>
      <c r="B2032" s="39" t="n">
        <v>2105.5</v>
      </c>
      <c r="C2032" s="40" t="n">
        <v>14004642.14</v>
      </c>
      <c r="D2032" s="40" t="n">
        <f aca="false">MAX(D2031,C2032)</f>
        <v>41345976.19</v>
      </c>
      <c r="E2032" s="41" t="n">
        <f aca="false">C2032/D2032-1</f>
        <v>-0.661281618418114</v>
      </c>
      <c r="F2032" s="42" t="n">
        <f aca="false">YEAR(A2032)</f>
        <v>2021</v>
      </c>
    </row>
    <row r="2033" customFormat="false" ht="15" hidden="false" customHeight="false" outlineLevel="0" collapsed="false">
      <c r="A2033" s="38" t="n">
        <v>44404</v>
      </c>
      <c r="B2033" s="39" t="n">
        <v>2086.5</v>
      </c>
      <c r="C2033" s="40" t="n">
        <v>14004642.14</v>
      </c>
      <c r="D2033" s="40" t="n">
        <f aca="false">MAX(D2032,C2033)</f>
        <v>41345976.19</v>
      </c>
      <c r="E2033" s="41" t="n">
        <f aca="false">C2033/D2033-1</f>
        <v>-0.661281618418114</v>
      </c>
      <c r="F2033" s="42" t="n">
        <f aca="false">YEAR(A2033)</f>
        <v>2021</v>
      </c>
    </row>
    <row r="2034" customFormat="false" ht="15" hidden="false" customHeight="false" outlineLevel="0" collapsed="false">
      <c r="A2034" s="38" t="n">
        <v>44405</v>
      </c>
      <c r="B2034" s="39" t="n">
        <v>2135.5</v>
      </c>
      <c r="C2034" s="40" t="n">
        <v>14004642.14</v>
      </c>
      <c r="D2034" s="40" t="n">
        <f aca="false">MAX(D2033,C2034)</f>
        <v>41345976.19</v>
      </c>
      <c r="E2034" s="41" t="n">
        <f aca="false">C2034/D2034-1</f>
        <v>-0.661281618418114</v>
      </c>
      <c r="F2034" s="42" t="n">
        <f aca="false">YEAR(A2034)</f>
        <v>2021</v>
      </c>
    </row>
    <row r="2035" customFormat="false" ht="15" hidden="false" customHeight="false" outlineLevel="0" collapsed="false">
      <c r="A2035" s="38" t="n">
        <v>44406</v>
      </c>
      <c r="B2035" s="39" t="n">
        <v>2191.5</v>
      </c>
      <c r="C2035" s="40" t="n">
        <v>14004642.14</v>
      </c>
      <c r="D2035" s="40" t="n">
        <f aca="false">MAX(D2034,C2035)</f>
        <v>41345976.19</v>
      </c>
      <c r="E2035" s="41" t="n">
        <f aca="false">C2035/D2035-1</f>
        <v>-0.661281618418114</v>
      </c>
      <c r="F2035" s="42" t="n">
        <f aca="false">YEAR(A2035)</f>
        <v>2021</v>
      </c>
    </row>
    <row r="2036" customFormat="false" ht="15" hidden="false" customHeight="false" outlineLevel="0" collapsed="false">
      <c r="A2036" s="38" t="n">
        <v>44407</v>
      </c>
      <c r="B2036" s="39" t="n">
        <v>2239.5</v>
      </c>
      <c r="C2036" s="40" t="n">
        <v>14004642.14</v>
      </c>
      <c r="D2036" s="40" t="n">
        <f aca="false">MAX(D2035,C2036)</f>
        <v>41345976.19</v>
      </c>
      <c r="E2036" s="41" t="n">
        <f aca="false">C2036/D2036-1</f>
        <v>-0.661281618418114</v>
      </c>
      <c r="F2036" s="42" t="n">
        <f aca="false">YEAR(A2036)</f>
        <v>2021</v>
      </c>
    </row>
    <row r="2037" customFormat="false" ht="15" hidden="false" customHeight="false" outlineLevel="0" collapsed="false">
      <c r="A2037" s="38" t="n">
        <v>44410</v>
      </c>
      <c r="B2037" s="39" t="n">
        <v>2193</v>
      </c>
      <c r="C2037" s="40" t="n">
        <v>14004642.14</v>
      </c>
      <c r="D2037" s="40" t="n">
        <f aca="false">MAX(D2036,C2037)</f>
        <v>41345976.19</v>
      </c>
      <c r="E2037" s="41" t="n">
        <f aca="false">C2037/D2037-1</f>
        <v>-0.661281618418114</v>
      </c>
      <c r="F2037" s="42" t="n">
        <f aca="false">YEAR(A2037)</f>
        <v>2021</v>
      </c>
    </row>
    <row r="2038" customFormat="false" ht="15" hidden="false" customHeight="false" outlineLevel="0" collapsed="false">
      <c r="A2038" s="38" t="n">
        <v>44411</v>
      </c>
      <c r="B2038" s="39" t="n">
        <v>2118</v>
      </c>
      <c r="C2038" s="40" t="n">
        <v>14004642.14</v>
      </c>
      <c r="D2038" s="40" t="n">
        <f aca="false">MAX(D2037,C2038)</f>
        <v>41345976.19</v>
      </c>
      <c r="E2038" s="41" t="n">
        <f aca="false">C2038/D2038-1</f>
        <v>-0.661281618418114</v>
      </c>
      <c r="F2038" s="42" t="n">
        <f aca="false">YEAR(A2038)</f>
        <v>2021</v>
      </c>
    </row>
    <row r="2039" customFormat="false" ht="15" hidden="false" customHeight="false" outlineLevel="0" collapsed="false">
      <c r="A2039" s="38" t="n">
        <v>44412</v>
      </c>
      <c r="B2039" s="39" t="n">
        <v>2194</v>
      </c>
      <c r="C2039" s="40" t="n">
        <v>14004642.14</v>
      </c>
      <c r="D2039" s="40" t="n">
        <f aca="false">MAX(D2038,C2039)</f>
        <v>41345976.19</v>
      </c>
      <c r="E2039" s="41" t="n">
        <f aca="false">C2039/D2039-1</f>
        <v>-0.661281618418114</v>
      </c>
      <c r="F2039" s="42" t="n">
        <f aca="false">YEAR(A2039)</f>
        <v>2021</v>
      </c>
    </row>
    <row r="2040" customFormat="false" ht="15" hidden="false" customHeight="false" outlineLevel="0" collapsed="false">
      <c r="A2040" s="38" t="n">
        <v>44413</v>
      </c>
      <c r="B2040" s="39" t="n">
        <v>2188</v>
      </c>
      <c r="C2040" s="40" t="n">
        <v>14004642.14</v>
      </c>
      <c r="D2040" s="40" t="n">
        <f aca="false">MAX(D2039,C2040)</f>
        <v>41345976.19</v>
      </c>
      <c r="E2040" s="41" t="n">
        <f aca="false">C2040/D2040-1</f>
        <v>-0.661281618418114</v>
      </c>
      <c r="F2040" s="42" t="n">
        <f aca="false">YEAR(A2040)</f>
        <v>2021</v>
      </c>
    </row>
    <row r="2041" customFormat="false" ht="15" hidden="false" customHeight="false" outlineLevel="0" collapsed="false">
      <c r="A2041" s="38" t="n">
        <v>44414</v>
      </c>
      <c r="B2041" s="39" t="n">
        <v>2245</v>
      </c>
      <c r="C2041" s="40" t="n">
        <v>14004642.14</v>
      </c>
      <c r="D2041" s="40" t="n">
        <f aca="false">MAX(D2040,C2041)</f>
        <v>41345976.19</v>
      </c>
      <c r="E2041" s="41" t="n">
        <f aca="false">C2041/D2041-1</f>
        <v>-0.661281618418114</v>
      </c>
      <c r="F2041" s="42" t="n">
        <f aca="false">YEAR(A2041)</f>
        <v>2021</v>
      </c>
    </row>
    <row r="2042" customFormat="false" ht="15" hidden="false" customHeight="false" outlineLevel="0" collapsed="false">
      <c r="A2042" s="38" t="n">
        <v>44417</v>
      </c>
      <c r="B2042" s="39" t="n">
        <v>2271.5</v>
      </c>
      <c r="C2042" s="40" t="n">
        <v>14334210.91</v>
      </c>
      <c r="D2042" s="40" t="n">
        <f aca="false">MAX(D2041,C2042)</f>
        <v>41345976.19</v>
      </c>
      <c r="E2042" s="41" t="n">
        <f aca="false">C2042/D2042-1</f>
        <v>-0.653310618568322</v>
      </c>
      <c r="F2042" s="42" t="n">
        <f aca="false">YEAR(A2042)</f>
        <v>2021</v>
      </c>
    </row>
    <row r="2043" customFormat="false" ht="15" hidden="false" customHeight="false" outlineLevel="0" collapsed="false">
      <c r="A2043" s="38" t="n">
        <v>44418</v>
      </c>
      <c r="B2043" s="39" t="n">
        <v>2262</v>
      </c>
      <c r="C2043" s="40" t="n">
        <v>14089110.91</v>
      </c>
      <c r="D2043" s="40" t="n">
        <f aca="false">MAX(D2042,C2043)</f>
        <v>41345976.19</v>
      </c>
      <c r="E2043" s="41" t="n">
        <f aca="false">C2043/D2043-1</f>
        <v>-0.659238644039861</v>
      </c>
      <c r="F2043" s="42" t="n">
        <f aca="false">YEAR(A2043)</f>
        <v>2021</v>
      </c>
    </row>
    <row r="2044" customFormat="false" ht="15" hidden="false" customHeight="false" outlineLevel="0" collapsed="false">
      <c r="A2044" s="38" t="n">
        <v>44419</v>
      </c>
      <c r="B2044" s="39" t="n">
        <v>2299</v>
      </c>
      <c r="C2044" s="40" t="n">
        <v>15043710.91</v>
      </c>
      <c r="D2044" s="40" t="n">
        <f aca="false">MAX(D2043,C2044)</f>
        <v>41345976.19</v>
      </c>
      <c r="E2044" s="41" t="n">
        <f aca="false">C2044/D2044-1</f>
        <v>-0.636150544834917</v>
      </c>
      <c r="F2044" s="42" t="n">
        <f aca="false">YEAR(A2044)</f>
        <v>2021</v>
      </c>
    </row>
    <row r="2045" customFormat="false" ht="15" hidden="false" customHeight="false" outlineLevel="0" collapsed="false">
      <c r="A2045" s="38" t="n">
        <v>44420</v>
      </c>
      <c r="B2045" s="39" t="n">
        <v>2263.5</v>
      </c>
      <c r="C2045" s="40" t="n">
        <v>14127810.91</v>
      </c>
      <c r="D2045" s="40" t="n">
        <f aca="false">MAX(D2044,C2045)</f>
        <v>41345976.19</v>
      </c>
      <c r="E2045" s="41" t="n">
        <f aca="false">C2045/D2045-1</f>
        <v>-0.658302640018039</v>
      </c>
      <c r="F2045" s="42" t="n">
        <f aca="false">YEAR(A2045)</f>
        <v>2021</v>
      </c>
    </row>
    <row r="2046" customFormat="false" ht="15" hidden="false" customHeight="false" outlineLevel="0" collapsed="false">
      <c r="A2046" s="38" t="n">
        <v>44421</v>
      </c>
      <c r="B2046" s="39" t="n">
        <v>2250.5</v>
      </c>
      <c r="C2046" s="40" t="n">
        <v>13792410.91</v>
      </c>
      <c r="D2046" s="40" t="n">
        <f aca="false">MAX(D2045,C2046)</f>
        <v>41345976.19</v>
      </c>
      <c r="E2046" s="41" t="n">
        <f aca="false">C2046/D2046-1</f>
        <v>-0.666414674873831</v>
      </c>
      <c r="F2046" s="42" t="n">
        <f aca="false">YEAR(A2046)</f>
        <v>2021</v>
      </c>
    </row>
    <row r="2047" customFormat="false" ht="15" hidden="false" customHeight="false" outlineLevel="0" collapsed="false">
      <c r="A2047" s="38" t="n">
        <v>44424</v>
      </c>
      <c r="B2047" s="39" t="n">
        <v>2265.5</v>
      </c>
      <c r="C2047" s="40" t="n">
        <v>14179410.91</v>
      </c>
      <c r="D2047" s="40" t="n">
        <f aca="false">MAX(D2046,C2047)</f>
        <v>41345976.19</v>
      </c>
      <c r="E2047" s="41" t="n">
        <f aca="false">C2047/D2047-1</f>
        <v>-0.65705463465561</v>
      </c>
      <c r="F2047" s="42" t="n">
        <f aca="false">YEAR(A2047)</f>
        <v>2021</v>
      </c>
    </row>
    <row r="2048" customFormat="false" ht="15" hidden="false" customHeight="false" outlineLevel="0" collapsed="false">
      <c r="A2048" s="38" t="n">
        <v>44425</v>
      </c>
      <c r="B2048" s="39" t="n">
        <v>2329</v>
      </c>
      <c r="C2048" s="40" t="n">
        <v>15817710.91</v>
      </c>
      <c r="D2048" s="40" t="n">
        <f aca="false">MAX(D2047,C2048)</f>
        <v>41345976.19</v>
      </c>
      <c r="E2048" s="41" t="n">
        <f aca="false">C2048/D2048-1</f>
        <v>-0.617430464398475</v>
      </c>
      <c r="F2048" s="42" t="n">
        <f aca="false">YEAR(A2048)</f>
        <v>2021</v>
      </c>
    </row>
    <row r="2049" customFormat="false" ht="15" hidden="false" customHeight="false" outlineLevel="0" collapsed="false">
      <c r="A2049" s="38" t="n">
        <v>44426</v>
      </c>
      <c r="B2049" s="39" t="n">
        <v>2333</v>
      </c>
      <c r="C2049" s="40" t="n">
        <v>15920910.91</v>
      </c>
      <c r="D2049" s="40" t="n">
        <f aca="false">MAX(D2048,C2049)</f>
        <v>41345976.19</v>
      </c>
      <c r="E2049" s="41" t="n">
        <f aca="false">C2049/D2049-1</f>
        <v>-0.614934453673616</v>
      </c>
      <c r="F2049" s="42" t="n">
        <f aca="false">YEAR(A2049)</f>
        <v>2021</v>
      </c>
    </row>
    <row r="2050" customFormat="false" ht="15" hidden="false" customHeight="false" outlineLevel="0" collapsed="false">
      <c r="A2050" s="38" t="n">
        <v>44427</v>
      </c>
      <c r="B2050" s="39" t="n">
        <v>2449.5</v>
      </c>
      <c r="C2050" s="40" t="n">
        <v>18926610.91</v>
      </c>
      <c r="D2050" s="40" t="n">
        <f aca="false">MAX(D2049,C2050)</f>
        <v>41345976.19</v>
      </c>
      <c r="E2050" s="41" t="n">
        <f aca="false">C2050/D2050-1</f>
        <v>-0.542238141312101</v>
      </c>
      <c r="F2050" s="42" t="n">
        <f aca="false">YEAR(A2050)</f>
        <v>2021</v>
      </c>
    </row>
    <row r="2051" customFormat="false" ht="15" hidden="false" customHeight="false" outlineLevel="0" collapsed="false">
      <c r="A2051" s="38" t="n">
        <v>44428</v>
      </c>
      <c r="B2051" s="39" t="n">
        <v>2460</v>
      </c>
      <c r="C2051" s="40" t="n">
        <v>19197510.91</v>
      </c>
      <c r="D2051" s="40" t="n">
        <f aca="false">MAX(D2050,C2051)</f>
        <v>41345976.19</v>
      </c>
      <c r="E2051" s="41" t="n">
        <f aca="false">C2051/D2051-1</f>
        <v>-0.535686113159347</v>
      </c>
      <c r="F2051" s="42" t="n">
        <f aca="false">YEAR(A2051)</f>
        <v>2021</v>
      </c>
    </row>
    <row r="2052" customFormat="false" ht="15" hidden="false" customHeight="false" outlineLevel="0" collapsed="false">
      <c r="A2052" s="38" t="n">
        <v>44431</v>
      </c>
      <c r="B2052" s="39" t="n">
        <v>2604.5</v>
      </c>
      <c r="C2052" s="40" t="n">
        <v>22925610.91</v>
      </c>
      <c r="D2052" s="40" t="n">
        <f aca="false">MAX(D2051,C2052)</f>
        <v>41345976.19</v>
      </c>
      <c r="E2052" s="41" t="n">
        <f aca="false">C2052/D2052-1</f>
        <v>-0.44551772572382</v>
      </c>
      <c r="F2052" s="42" t="n">
        <f aca="false">YEAR(A2052)</f>
        <v>2021</v>
      </c>
    </row>
    <row r="2053" customFormat="false" ht="15" hidden="false" customHeight="false" outlineLevel="0" collapsed="false">
      <c r="A2053" s="38" t="n">
        <v>44432</v>
      </c>
      <c r="B2053" s="39" t="n">
        <v>2560.5</v>
      </c>
      <c r="C2053" s="40" t="n">
        <v>21790410.91</v>
      </c>
      <c r="D2053" s="40" t="n">
        <f aca="false">MAX(D2052,C2053)</f>
        <v>41345976.19</v>
      </c>
      <c r="E2053" s="41" t="n">
        <f aca="false">C2053/D2053-1</f>
        <v>-0.472973843697267</v>
      </c>
      <c r="F2053" s="42" t="n">
        <f aca="false">YEAR(A2053)</f>
        <v>2021</v>
      </c>
    </row>
    <row r="2054" customFormat="false" ht="15" hidden="false" customHeight="false" outlineLevel="0" collapsed="false">
      <c r="A2054" s="38" t="n">
        <v>44433</v>
      </c>
      <c r="B2054" s="39" t="n">
        <v>2670.5</v>
      </c>
      <c r="C2054" s="40" t="n">
        <v>24628410.91</v>
      </c>
      <c r="D2054" s="40" t="n">
        <f aca="false">MAX(D2053,C2054)</f>
        <v>41345976.19</v>
      </c>
      <c r="E2054" s="41" t="n">
        <f aca="false">C2054/D2054-1</f>
        <v>-0.404333548763648</v>
      </c>
      <c r="F2054" s="42" t="n">
        <f aca="false">YEAR(A2054)</f>
        <v>2021</v>
      </c>
    </row>
    <row r="2055" customFormat="false" ht="15" hidden="false" customHeight="false" outlineLevel="0" collapsed="false">
      <c r="A2055" s="38" t="n">
        <v>44434</v>
      </c>
      <c r="B2055" s="39" t="n">
        <v>2619.5</v>
      </c>
      <c r="C2055" s="40" t="n">
        <v>23312610.91</v>
      </c>
      <c r="D2055" s="40" t="n">
        <f aca="false">MAX(D2054,C2055)</f>
        <v>41345976.19</v>
      </c>
      <c r="E2055" s="41" t="n">
        <f aca="false">C2055/D2055-1</f>
        <v>-0.436157685505599</v>
      </c>
      <c r="F2055" s="42" t="n">
        <f aca="false">YEAR(A2055)</f>
        <v>2021</v>
      </c>
    </row>
    <row r="2056" customFormat="false" ht="15" hidden="false" customHeight="false" outlineLevel="0" collapsed="false">
      <c r="A2056" s="38" t="n">
        <v>44435</v>
      </c>
      <c r="B2056" s="39" t="n">
        <v>2610</v>
      </c>
      <c r="C2056" s="40" t="n">
        <v>23067510.91</v>
      </c>
      <c r="D2056" s="40" t="n">
        <f aca="false">MAX(D2055,C2056)</f>
        <v>41345976.19</v>
      </c>
      <c r="E2056" s="41" t="n">
        <f aca="false">C2056/D2056-1</f>
        <v>-0.442085710977139</v>
      </c>
      <c r="F2056" s="42" t="n">
        <f aca="false">YEAR(A2056)</f>
        <v>2021</v>
      </c>
    </row>
    <row r="2057" customFormat="false" ht="15" hidden="false" customHeight="false" outlineLevel="0" collapsed="false">
      <c r="A2057" s="38" t="n">
        <v>44438</v>
      </c>
      <c r="B2057" s="39" t="n">
        <v>2567</v>
      </c>
      <c r="C2057" s="40" t="n">
        <v>21958110.91</v>
      </c>
      <c r="D2057" s="40" t="n">
        <f aca="false">MAX(D2056,C2057)</f>
        <v>41345976.19</v>
      </c>
      <c r="E2057" s="41" t="n">
        <f aca="false">C2057/D2057-1</f>
        <v>-0.468917826269372</v>
      </c>
      <c r="F2057" s="42" t="n">
        <f aca="false">YEAR(A2057)</f>
        <v>2021</v>
      </c>
    </row>
    <row r="2058" customFormat="false" ht="15" hidden="false" customHeight="false" outlineLevel="0" collapsed="false">
      <c r="A2058" s="38" t="n">
        <v>44439</v>
      </c>
      <c r="B2058" s="39" t="n">
        <v>2541.5</v>
      </c>
      <c r="C2058" s="40" t="n">
        <v>21300210.91</v>
      </c>
      <c r="D2058" s="40" t="n">
        <f aca="false">MAX(D2057,C2058)</f>
        <v>41345976.19</v>
      </c>
      <c r="E2058" s="41" t="n">
        <f aca="false">C2058/D2058-1</f>
        <v>-0.484829894640347</v>
      </c>
      <c r="F2058" s="42" t="n">
        <f aca="false">YEAR(A2058)</f>
        <v>2021</v>
      </c>
    </row>
    <row r="2059" customFormat="false" ht="15" hidden="false" customHeight="false" outlineLevel="0" collapsed="false">
      <c r="A2059" s="38" t="n">
        <v>44440</v>
      </c>
      <c r="B2059" s="39" t="n">
        <v>2598.5</v>
      </c>
      <c r="C2059" s="40" t="n">
        <v>22770810.91</v>
      </c>
      <c r="D2059" s="40" t="n">
        <f aca="false">MAX(D2058,C2059)</f>
        <v>41345976.19</v>
      </c>
      <c r="E2059" s="41" t="n">
        <f aca="false">C2059/D2059-1</f>
        <v>-0.449261741811108</v>
      </c>
      <c r="F2059" s="42" t="n">
        <f aca="false">YEAR(A2059)</f>
        <v>2021</v>
      </c>
    </row>
    <row r="2060" customFormat="false" ht="15" hidden="false" customHeight="false" outlineLevel="0" collapsed="false">
      <c r="A2060" s="38" t="n">
        <v>44441</v>
      </c>
      <c r="B2060" s="39" t="n">
        <v>2753</v>
      </c>
      <c r="C2060" s="40" t="n">
        <v>26756910.91</v>
      </c>
      <c r="D2060" s="40" t="n">
        <f aca="false">MAX(D2059,C2060)</f>
        <v>41345976.19</v>
      </c>
      <c r="E2060" s="41" t="n">
        <f aca="false">C2060/D2060-1</f>
        <v>-0.352853327563434</v>
      </c>
      <c r="F2060" s="42" t="n">
        <f aca="false">YEAR(A2060)</f>
        <v>2021</v>
      </c>
    </row>
    <row r="2061" customFormat="false" ht="15" hidden="false" customHeight="false" outlineLevel="0" collapsed="false">
      <c r="A2061" s="38" t="n">
        <v>44442</v>
      </c>
      <c r="B2061" s="39" t="n">
        <v>2720.5</v>
      </c>
      <c r="C2061" s="40" t="n">
        <v>25918410.91</v>
      </c>
      <c r="D2061" s="40" t="n">
        <f aca="false">MAX(D2060,C2061)</f>
        <v>41345976.19</v>
      </c>
      <c r="E2061" s="41" t="n">
        <f aca="false">C2061/D2061-1</f>
        <v>-0.373133414702912</v>
      </c>
      <c r="F2061" s="42" t="n">
        <f aca="false">YEAR(A2061)</f>
        <v>2021</v>
      </c>
    </row>
    <row r="2062" customFormat="false" ht="15" hidden="false" customHeight="false" outlineLevel="0" collapsed="false">
      <c r="A2062" s="38" t="n">
        <v>44445</v>
      </c>
      <c r="B2062" s="39" t="n">
        <v>2894</v>
      </c>
      <c r="C2062" s="40" t="n">
        <v>30394710.91</v>
      </c>
      <c r="D2062" s="40" t="n">
        <f aca="false">MAX(D2061,C2062)</f>
        <v>41345976.19</v>
      </c>
      <c r="E2062" s="41" t="n">
        <f aca="false">C2062/D2062-1</f>
        <v>-0.264868949512158</v>
      </c>
      <c r="F2062" s="42" t="n">
        <f aca="false">YEAR(A2062)</f>
        <v>2021</v>
      </c>
    </row>
    <row r="2063" customFormat="false" ht="15" hidden="false" customHeight="false" outlineLevel="0" collapsed="false">
      <c r="A2063" s="38" t="n">
        <v>44446</v>
      </c>
      <c r="B2063" s="39" t="n">
        <v>3006.5</v>
      </c>
      <c r="C2063" s="40" t="n">
        <v>33297210.91</v>
      </c>
      <c r="D2063" s="40" t="n">
        <f aca="false">MAX(D2062,C2063)</f>
        <v>41345976.19</v>
      </c>
      <c r="E2063" s="41" t="n">
        <f aca="false">C2063/D2063-1</f>
        <v>-0.194668647875502</v>
      </c>
      <c r="F2063" s="42" t="n">
        <f aca="false">YEAR(A2063)</f>
        <v>2021</v>
      </c>
    </row>
    <row r="2064" customFormat="false" ht="15" hidden="false" customHeight="false" outlineLevel="0" collapsed="false">
      <c r="A2064" s="38" t="n">
        <v>44447</v>
      </c>
      <c r="B2064" s="39" t="n">
        <v>2969</v>
      </c>
      <c r="C2064" s="40" t="n">
        <v>32329710.91</v>
      </c>
      <c r="D2064" s="40" t="n">
        <f aca="false">MAX(D2063,C2064)</f>
        <v>41345976.19</v>
      </c>
      <c r="E2064" s="41" t="n">
        <f aca="false">C2064/D2064-1</f>
        <v>-0.218068748421054</v>
      </c>
      <c r="F2064" s="42" t="n">
        <f aca="false">YEAR(A2064)</f>
        <v>2021</v>
      </c>
    </row>
    <row r="2065" customFormat="false" ht="15" hidden="false" customHeight="false" outlineLevel="0" collapsed="false">
      <c r="A2065" s="38" t="n">
        <v>44448</v>
      </c>
      <c r="B2065" s="39" t="n">
        <v>3154</v>
      </c>
      <c r="C2065" s="40" t="n">
        <v>37102710.91</v>
      </c>
      <c r="D2065" s="40" t="n">
        <f aca="false">MAX(D2064,C2065)</f>
        <v>41345976.19</v>
      </c>
      <c r="E2065" s="41" t="n">
        <f aca="false">C2065/D2065-1</f>
        <v>-0.102628252396331</v>
      </c>
      <c r="F2065" s="42" t="n">
        <f aca="false">YEAR(A2065)</f>
        <v>2021</v>
      </c>
    </row>
    <row r="2066" customFormat="false" ht="15" hidden="false" customHeight="false" outlineLevel="0" collapsed="false">
      <c r="A2066" s="38" t="n">
        <v>44449</v>
      </c>
      <c r="B2066" s="39" t="n">
        <v>2922</v>
      </c>
      <c r="C2066" s="40" t="n">
        <v>31117110.91</v>
      </c>
      <c r="D2066" s="40" t="n">
        <f aca="false">MAX(D2065,C2066)</f>
        <v>41345976.19</v>
      </c>
      <c r="E2066" s="41" t="n">
        <f aca="false">C2066/D2066-1</f>
        <v>-0.247396874438146</v>
      </c>
      <c r="F2066" s="42" t="n">
        <f aca="false">YEAR(A2066)</f>
        <v>2021</v>
      </c>
    </row>
    <row r="2067" customFormat="false" ht="15" hidden="false" customHeight="false" outlineLevel="0" collapsed="false">
      <c r="A2067" s="38" t="n">
        <v>44452</v>
      </c>
      <c r="B2067" s="39" t="n">
        <v>2827</v>
      </c>
      <c r="C2067" s="40" t="n">
        <v>28666110.91</v>
      </c>
      <c r="D2067" s="40" t="n">
        <f aca="false">MAX(D2066,C2067)</f>
        <v>41345976.19</v>
      </c>
      <c r="E2067" s="41" t="n">
        <f aca="false">C2067/D2067-1</f>
        <v>-0.306677129153544</v>
      </c>
      <c r="F2067" s="42" t="n">
        <f aca="false">YEAR(A2067)</f>
        <v>2021</v>
      </c>
    </row>
    <row r="2068" customFormat="false" ht="15" hidden="false" customHeight="false" outlineLevel="0" collapsed="false">
      <c r="A2068" s="38" t="n">
        <v>44453</v>
      </c>
      <c r="B2068" s="39" t="n">
        <v>2773</v>
      </c>
      <c r="C2068" s="40" t="n">
        <v>27272910.91</v>
      </c>
      <c r="D2068" s="40" t="n">
        <f aca="false">MAX(D2067,C2068)</f>
        <v>41345976.19</v>
      </c>
      <c r="E2068" s="41" t="n">
        <f aca="false">C2068/D2068-1</f>
        <v>-0.340373273939139</v>
      </c>
      <c r="F2068" s="42" t="n">
        <f aca="false">YEAR(A2068)</f>
        <v>2021</v>
      </c>
    </row>
    <row r="2069" customFormat="false" ht="15" hidden="false" customHeight="false" outlineLevel="0" collapsed="false">
      <c r="A2069" s="38" t="n">
        <v>44454</v>
      </c>
      <c r="B2069" s="39" t="n">
        <v>2809.5</v>
      </c>
      <c r="C2069" s="40" t="n">
        <v>28214610.91</v>
      </c>
      <c r="D2069" s="40" t="n">
        <f aca="false">MAX(D2068,C2069)</f>
        <v>41345976.19</v>
      </c>
      <c r="E2069" s="41" t="n">
        <f aca="false">C2069/D2069-1</f>
        <v>-0.317597176074802</v>
      </c>
      <c r="F2069" s="42" t="n">
        <f aca="false">YEAR(A2069)</f>
        <v>2021</v>
      </c>
    </row>
    <row r="2070" customFormat="false" ht="15" hidden="false" customHeight="false" outlineLevel="0" collapsed="false">
      <c r="A2070" s="38" t="n">
        <v>44455</v>
      </c>
      <c r="B2070" s="39" t="n">
        <v>2745</v>
      </c>
      <c r="C2070" s="40" t="n">
        <v>26550510.91</v>
      </c>
      <c r="D2070" s="40" t="n">
        <f aca="false">MAX(D2069,C2070)</f>
        <v>41345976.19</v>
      </c>
      <c r="E2070" s="41" t="n">
        <f aca="false">C2070/D2070-1</f>
        <v>-0.357845349013151</v>
      </c>
      <c r="F2070" s="42" t="n">
        <f aca="false">YEAR(A2070)</f>
        <v>2021</v>
      </c>
    </row>
    <row r="2071" customFormat="false" ht="15" hidden="false" customHeight="false" outlineLevel="0" collapsed="false">
      <c r="A2071" s="38" t="n">
        <v>44456</v>
      </c>
      <c r="B2071" s="39" t="n">
        <v>2753.5</v>
      </c>
      <c r="C2071" s="40" t="n">
        <v>26769810.91</v>
      </c>
      <c r="D2071" s="40" t="n">
        <f aca="false">MAX(D2070,C2071)</f>
        <v>41345976.19</v>
      </c>
      <c r="E2071" s="41" t="n">
        <f aca="false">C2071/D2071-1</f>
        <v>-0.352541326222826</v>
      </c>
      <c r="F2071" s="42" t="n">
        <f aca="false">YEAR(A2071)</f>
        <v>2021</v>
      </c>
    </row>
    <row r="2072" customFormat="false" ht="15" hidden="false" customHeight="false" outlineLevel="0" collapsed="false">
      <c r="A2072" s="38" t="n">
        <v>44461</v>
      </c>
      <c r="B2072" s="39" t="n">
        <v>2958.5</v>
      </c>
      <c r="C2072" s="40" t="n">
        <v>32058810.91</v>
      </c>
      <c r="D2072" s="40" t="n">
        <f aca="false">MAX(D2071,C2072)</f>
        <v>41345976.19</v>
      </c>
      <c r="E2072" s="41" t="n">
        <f aca="false">C2072/D2072-1</f>
        <v>-0.224620776573809</v>
      </c>
      <c r="F2072" s="42" t="n">
        <f aca="false">YEAR(A2072)</f>
        <v>2021</v>
      </c>
    </row>
    <row r="2073" customFormat="false" ht="15" hidden="false" customHeight="false" outlineLevel="0" collapsed="false">
      <c r="A2073" s="38" t="n">
        <v>44462</v>
      </c>
      <c r="B2073" s="39" t="n">
        <v>3030.5</v>
      </c>
      <c r="C2073" s="40" t="n">
        <v>33916410.91</v>
      </c>
      <c r="D2073" s="40" t="n">
        <f aca="false">MAX(D2072,C2073)</f>
        <v>41345976.19</v>
      </c>
      <c r="E2073" s="41" t="n">
        <f aca="false">C2073/D2073-1</f>
        <v>-0.179692583526349</v>
      </c>
      <c r="F2073" s="42" t="n">
        <f aca="false">YEAR(A2073)</f>
        <v>2021</v>
      </c>
    </row>
    <row r="2074" customFormat="false" ht="15" hidden="false" customHeight="false" outlineLevel="0" collapsed="false">
      <c r="A2074" s="38" t="n">
        <v>44463</v>
      </c>
      <c r="B2074" s="39" t="n">
        <v>2850.5</v>
      </c>
      <c r="C2074" s="40" t="n">
        <v>29272410.91</v>
      </c>
      <c r="D2074" s="40" t="n">
        <f aca="false">MAX(D2073,C2074)</f>
        <v>41345976.19</v>
      </c>
      <c r="E2074" s="41" t="n">
        <f aca="false">C2074/D2074-1</f>
        <v>-0.292013066144998</v>
      </c>
      <c r="F2074" s="42" t="n">
        <f aca="false">YEAR(A2074)</f>
        <v>2021</v>
      </c>
    </row>
    <row r="2075" customFormat="false" ht="15" hidden="false" customHeight="false" outlineLevel="0" collapsed="false">
      <c r="A2075" s="38" t="n">
        <v>44466</v>
      </c>
      <c r="B2075" s="39" t="n">
        <v>2884</v>
      </c>
      <c r="C2075" s="40" t="n">
        <v>30136710.91</v>
      </c>
      <c r="D2075" s="40" t="n">
        <f aca="false">MAX(D2074,C2075)</f>
        <v>41345976.19</v>
      </c>
      <c r="E2075" s="41" t="n">
        <f aca="false">C2075/D2075-1</f>
        <v>-0.271108976324305</v>
      </c>
      <c r="F2075" s="42" t="n">
        <f aca="false">YEAR(A2075)</f>
        <v>2021</v>
      </c>
    </row>
    <row r="2076" customFormat="false" ht="15" hidden="false" customHeight="false" outlineLevel="0" collapsed="false">
      <c r="A2076" s="38" t="n">
        <v>44467</v>
      </c>
      <c r="B2076" s="39" t="n">
        <v>2997</v>
      </c>
      <c r="C2076" s="40" t="n">
        <v>33052110.91</v>
      </c>
      <c r="D2076" s="40" t="n">
        <f aca="false">MAX(D2075,C2076)</f>
        <v>41345976.19</v>
      </c>
      <c r="E2076" s="41" t="n">
        <f aca="false">C2076/D2076-1</f>
        <v>-0.200596673347042</v>
      </c>
      <c r="F2076" s="42" t="n">
        <f aca="false">YEAR(A2076)</f>
        <v>2021</v>
      </c>
    </row>
    <row r="2077" customFormat="false" ht="15" hidden="false" customHeight="false" outlineLevel="0" collapsed="false">
      <c r="A2077" s="38" t="n">
        <v>44468</v>
      </c>
      <c r="B2077" s="39" t="n">
        <v>3006.5</v>
      </c>
      <c r="C2077" s="40" t="n">
        <v>33297210.91</v>
      </c>
      <c r="D2077" s="40" t="n">
        <f aca="false">MAX(D2076,C2077)</f>
        <v>41345976.19</v>
      </c>
      <c r="E2077" s="41" t="n">
        <f aca="false">C2077/D2077-1</f>
        <v>-0.194668647875502</v>
      </c>
      <c r="F2077" s="42" t="n">
        <f aca="false">YEAR(A2077)</f>
        <v>2021</v>
      </c>
    </row>
    <row r="2078" customFormat="false" ht="15" hidden="false" customHeight="false" outlineLevel="0" collapsed="false">
      <c r="A2078" s="38" t="n">
        <v>44469</v>
      </c>
      <c r="B2078" s="39" t="n">
        <v>3253.5</v>
      </c>
      <c r="C2078" s="40" t="n">
        <v>39669810.91</v>
      </c>
      <c r="D2078" s="40" t="n">
        <f aca="false">MAX(D2077,C2078)</f>
        <v>41345976.19</v>
      </c>
      <c r="E2078" s="41" t="n">
        <f aca="false">C2078/D2078-1</f>
        <v>-0.040539985615466</v>
      </c>
      <c r="F2078" s="42" t="n">
        <f aca="false">YEAR(A2078)</f>
        <v>2021</v>
      </c>
    </row>
    <row r="2079" customFormat="false" ht="15" hidden="false" customHeight="false" outlineLevel="0" collapsed="false">
      <c r="A2079" s="38" t="n">
        <v>44477</v>
      </c>
      <c r="B2079" s="39" t="n">
        <v>3128</v>
      </c>
      <c r="C2079" s="40" t="n">
        <v>36431910.91</v>
      </c>
      <c r="D2079" s="40" t="n">
        <f aca="false">MAX(D2078,C2079)</f>
        <v>41345976.19</v>
      </c>
      <c r="E2079" s="41" t="n">
        <f aca="false">C2079/D2079-1</f>
        <v>-0.118852322107914</v>
      </c>
      <c r="F2079" s="42" t="n">
        <f aca="false">YEAR(A2079)</f>
        <v>2021</v>
      </c>
    </row>
    <row r="2080" customFormat="false" ht="15" hidden="false" customHeight="false" outlineLevel="0" collapsed="false">
      <c r="A2080" s="38" t="n">
        <v>44480</v>
      </c>
      <c r="B2080" s="39" t="n">
        <v>3356</v>
      </c>
      <c r="C2080" s="40" t="n">
        <v>42314310.91</v>
      </c>
      <c r="D2080" s="40" t="n">
        <f aca="false">MAX(D2079,C2080)</f>
        <v>42314310.91</v>
      </c>
      <c r="E2080" s="41" t="n">
        <f aca="false">C2080/D2080-1</f>
        <v>0</v>
      </c>
      <c r="F2080" s="42" t="n">
        <f aca="false">YEAR(A2080)</f>
        <v>2021</v>
      </c>
    </row>
    <row r="2081" customFormat="false" ht="15" hidden="false" customHeight="false" outlineLevel="0" collapsed="false">
      <c r="A2081" s="38" t="n">
        <v>44481</v>
      </c>
      <c r="B2081" s="39" t="n">
        <v>3405.5</v>
      </c>
      <c r="C2081" s="40" t="n">
        <v>43591410.91</v>
      </c>
      <c r="D2081" s="40" t="n">
        <f aca="false">MAX(D2080,C2081)</f>
        <v>43591410.91</v>
      </c>
      <c r="E2081" s="41" t="n">
        <f aca="false">C2081/D2081-1</f>
        <v>0</v>
      </c>
      <c r="F2081" s="42" t="n">
        <f aca="false">YEAR(A2081)</f>
        <v>2021</v>
      </c>
    </row>
    <row r="2082" customFormat="false" ht="15" hidden="false" customHeight="false" outlineLevel="0" collapsed="false">
      <c r="A2082" s="38" t="n">
        <v>44482</v>
      </c>
      <c r="B2082" s="39" t="n">
        <v>3408.5</v>
      </c>
      <c r="C2082" s="40" t="n">
        <v>43668810.91</v>
      </c>
      <c r="D2082" s="40" t="n">
        <f aca="false">MAX(D2081,C2082)</f>
        <v>43668810.91</v>
      </c>
      <c r="E2082" s="41" t="n">
        <f aca="false">C2082/D2082-1</f>
        <v>0</v>
      </c>
      <c r="F2082" s="42" t="n">
        <f aca="false">YEAR(A2082)</f>
        <v>2021</v>
      </c>
    </row>
    <row r="2083" customFormat="false" ht="15" hidden="false" customHeight="false" outlineLevel="0" collapsed="false">
      <c r="A2083" s="38" t="n">
        <v>44483</v>
      </c>
      <c r="B2083" s="39" t="n">
        <v>3406.5</v>
      </c>
      <c r="C2083" s="40" t="n">
        <v>43617210.91</v>
      </c>
      <c r="D2083" s="40" t="n">
        <f aca="false">MAX(D2082,C2083)</f>
        <v>43668810.91</v>
      </c>
      <c r="E2083" s="41" t="n">
        <f aca="false">C2083/D2083-1</f>
        <v>-0.00118162136602129</v>
      </c>
      <c r="F2083" s="42" t="n">
        <f aca="false">YEAR(A2083)</f>
        <v>2021</v>
      </c>
    </row>
    <row r="2084" customFormat="false" ht="15" hidden="false" customHeight="false" outlineLevel="0" collapsed="false">
      <c r="A2084" s="38" t="n">
        <v>44484</v>
      </c>
      <c r="B2084" s="39" t="n">
        <v>3544.5</v>
      </c>
      <c r="C2084" s="40" t="n">
        <v>47177610.91</v>
      </c>
      <c r="D2084" s="40" t="n">
        <f aca="false">MAX(D2083,C2084)</f>
        <v>47177610.91</v>
      </c>
      <c r="E2084" s="41" t="n">
        <f aca="false">C2084/D2084-1</f>
        <v>0</v>
      </c>
      <c r="F2084" s="42" t="n">
        <f aca="false">YEAR(A2084)</f>
        <v>2021</v>
      </c>
    </row>
    <row r="2085" customFormat="false" ht="15" hidden="false" customHeight="false" outlineLevel="0" collapsed="false">
      <c r="A2085" s="38" t="n">
        <v>44487</v>
      </c>
      <c r="B2085" s="39" t="n">
        <v>3764.5</v>
      </c>
      <c r="C2085" s="40" t="n">
        <v>52853610.91</v>
      </c>
      <c r="D2085" s="40" t="n">
        <f aca="false">MAX(D2084,C2085)</f>
        <v>52853610.91</v>
      </c>
      <c r="E2085" s="41" t="n">
        <f aca="false">C2085/D2085-1</f>
        <v>0</v>
      </c>
      <c r="F2085" s="42" t="n">
        <f aca="false">YEAR(A2085)</f>
        <v>2021</v>
      </c>
    </row>
    <row r="2086" customFormat="false" ht="15" hidden="false" customHeight="false" outlineLevel="0" collapsed="false">
      <c r="A2086" s="38" t="n">
        <v>44488</v>
      </c>
      <c r="B2086" s="39" t="n">
        <v>3644.5</v>
      </c>
      <c r="C2086" s="40" t="n">
        <v>49757610.91</v>
      </c>
      <c r="D2086" s="40" t="n">
        <f aca="false">MAX(D2085,C2086)</f>
        <v>52853610.91</v>
      </c>
      <c r="E2086" s="41" t="n">
        <f aca="false">C2086/D2086-1</f>
        <v>-0.0585768871169828</v>
      </c>
      <c r="F2086" s="42" t="n">
        <f aca="false">YEAR(A2086)</f>
        <v>2021</v>
      </c>
    </row>
    <row r="2087" customFormat="false" ht="15" hidden="false" customHeight="false" outlineLevel="0" collapsed="false">
      <c r="A2087" s="38" t="n">
        <v>44489</v>
      </c>
      <c r="B2087" s="39" t="n">
        <v>3361</v>
      </c>
      <c r="C2087" s="40" t="n">
        <v>42443310.91</v>
      </c>
      <c r="D2087" s="40" t="n">
        <f aca="false">MAX(D2086,C2087)</f>
        <v>52853610.91</v>
      </c>
      <c r="E2087" s="41" t="n">
        <f aca="false">C2087/D2087-1</f>
        <v>-0.196964782930855</v>
      </c>
      <c r="F2087" s="42" t="n">
        <f aca="false">YEAR(A2087)</f>
        <v>2021</v>
      </c>
    </row>
    <row r="2088" customFormat="false" ht="15" hidden="false" customHeight="false" outlineLevel="0" collapsed="false">
      <c r="A2088" s="38" t="n">
        <v>44490</v>
      </c>
      <c r="B2088" s="39" t="n">
        <v>3040.5</v>
      </c>
      <c r="C2088" s="40" t="n">
        <v>34174410.91</v>
      </c>
      <c r="D2088" s="40" t="n">
        <f aca="false">MAX(D2087,C2088)</f>
        <v>52853610.91</v>
      </c>
      <c r="E2088" s="41" t="n">
        <f aca="false">C2088/D2088-1</f>
        <v>-0.353413885605796</v>
      </c>
      <c r="F2088" s="42" t="n">
        <f aca="false">YEAR(A2088)</f>
        <v>2021</v>
      </c>
    </row>
    <row r="2089" customFormat="false" ht="15" hidden="false" customHeight="false" outlineLevel="0" collapsed="false">
      <c r="A2089" s="38" t="n">
        <v>44491</v>
      </c>
      <c r="B2089" s="39" t="n">
        <v>2792.5</v>
      </c>
      <c r="C2089" s="40" t="n">
        <v>35907887.97</v>
      </c>
      <c r="D2089" s="40" t="n">
        <f aca="false">MAX(D2088,C2089)</f>
        <v>52853610.91</v>
      </c>
      <c r="E2089" s="41" t="n">
        <f aca="false">C2089/D2089-1</f>
        <v>-0.320616182096914</v>
      </c>
      <c r="F2089" s="42" t="n">
        <f aca="false">YEAR(A2089)</f>
        <v>2021</v>
      </c>
    </row>
    <row r="2090" customFormat="false" ht="15" hidden="false" customHeight="false" outlineLevel="0" collapsed="false">
      <c r="A2090" s="38" t="n">
        <v>44494</v>
      </c>
      <c r="B2090" s="39" t="n">
        <v>2866.5</v>
      </c>
      <c r="C2090" s="40" t="n">
        <v>35907887.97</v>
      </c>
      <c r="D2090" s="40" t="n">
        <f aca="false">MAX(D2089,C2090)</f>
        <v>52853610.91</v>
      </c>
      <c r="E2090" s="41" t="n">
        <f aca="false">C2090/D2090-1</f>
        <v>-0.320616182096914</v>
      </c>
      <c r="F2090" s="42" t="n">
        <f aca="false">YEAR(A2090)</f>
        <v>2021</v>
      </c>
    </row>
    <row r="2091" customFormat="false" ht="15" hidden="false" customHeight="false" outlineLevel="0" collapsed="false">
      <c r="A2091" s="38" t="n">
        <v>44495</v>
      </c>
      <c r="B2091" s="39" t="n">
        <v>2831.5</v>
      </c>
      <c r="C2091" s="40" t="n">
        <v>35907887.97</v>
      </c>
      <c r="D2091" s="40" t="n">
        <f aca="false">MAX(D2090,C2091)</f>
        <v>52853610.91</v>
      </c>
      <c r="E2091" s="41" t="n">
        <f aca="false">C2091/D2091-1</f>
        <v>-0.320616182096914</v>
      </c>
      <c r="F2091" s="42" t="n">
        <f aca="false">YEAR(A2091)</f>
        <v>2021</v>
      </c>
    </row>
    <row r="2092" customFormat="false" ht="15" hidden="false" customHeight="false" outlineLevel="0" collapsed="false">
      <c r="A2092" s="38" t="n">
        <v>44496</v>
      </c>
      <c r="B2092" s="39" t="n">
        <v>2584</v>
      </c>
      <c r="C2092" s="40" t="n">
        <v>35907887.97</v>
      </c>
      <c r="D2092" s="40" t="n">
        <f aca="false">MAX(D2091,C2092)</f>
        <v>52853610.91</v>
      </c>
      <c r="E2092" s="41" t="n">
        <f aca="false">C2092/D2092-1</f>
        <v>-0.320616182096914</v>
      </c>
      <c r="F2092" s="42" t="n">
        <f aca="false">YEAR(A2092)</f>
        <v>2021</v>
      </c>
    </row>
    <row r="2093" customFormat="false" ht="15" hidden="false" customHeight="false" outlineLevel="0" collapsed="false">
      <c r="A2093" s="38" t="n">
        <v>44497</v>
      </c>
      <c r="B2093" s="39" t="n">
        <v>2381.5</v>
      </c>
      <c r="C2093" s="40" t="n">
        <v>35907887.97</v>
      </c>
      <c r="D2093" s="40" t="n">
        <f aca="false">MAX(D2092,C2093)</f>
        <v>52853610.91</v>
      </c>
      <c r="E2093" s="41" t="n">
        <f aca="false">C2093/D2093-1</f>
        <v>-0.320616182096914</v>
      </c>
      <c r="F2093" s="42" t="n">
        <f aca="false">YEAR(A2093)</f>
        <v>2021</v>
      </c>
    </row>
    <row r="2094" customFormat="false" ht="15" hidden="false" customHeight="false" outlineLevel="0" collapsed="false">
      <c r="A2094" s="38" t="n">
        <v>44498</v>
      </c>
      <c r="B2094" s="39" t="n">
        <v>2188.5</v>
      </c>
      <c r="C2094" s="40" t="n">
        <v>35907887.97</v>
      </c>
      <c r="D2094" s="40" t="n">
        <f aca="false">MAX(D2093,C2094)</f>
        <v>52853610.91</v>
      </c>
      <c r="E2094" s="41" t="n">
        <f aca="false">C2094/D2094-1</f>
        <v>-0.320616182096914</v>
      </c>
      <c r="F2094" s="42" t="n">
        <f aca="false">YEAR(A2094)</f>
        <v>2021</v>
      </c>
    </row>
    <row r="2095" customFormat="false" ht="15" hidden="false" customHeight="false" outlineLevel="0" collapsed="false">
      <c r="A2095" s="38" t="n">
        <v>44501</v>
      </c>
      <c r="B2095" s="39" t="n">
        <v>2077</v>
      </c>
      <c r="C2095" s="40" t="n">
        <v>35907887.97</v>
      </c>
      <c r="D2095" s="40" t="n">
        <f aca="false">MAX(D2094,C2095)</f>
        <v>52853610.91</v>
      </c>
      <c r="E2095" s="41" t="n">
        <f aca="false">C2095/D2095-1</f>
        <v>-0.320616182096914</v>
      </c>
      <c r="F2095" s="42" t="n">
        <f aca="false">YEAR(A2095)</f>
        <v>2021</v>
      </c>
    </row>
    <row r="2096" customFormat="false" ht="15" hidden="false" customHeight="false" outlineLevel="0" collapsed="false">
      <c r="A2096" s="38" t="n">
        <v>44502</v>
      </c>
      <c r="B2096" s="39" t="n">
        <v>2080.5</v>
      </c>
      <c r="C2096" s="40" t="n">
        <v>35907887.97</v>
      </c>
      <c r="D2096" s="40" t="n">
        <f aca="false">MAX(D2095,C2096)</f>
        <v>52853610.91</v>
      </c>
      <c r="E2096" s="41" t="n">
        <f aca="false">C2096/D2096-1</f>
        <v>-0.320616182096914</v>
      </c>
      <c r="F2096" s="42" t="n">
        <f aca="false">YEAR(A2096)</f>
        <v>2021</v>
      </c>
    </row>
    <row r="2097" customFormat="false" ht="15" hidden="false" customHeight="false" outlineLevel="0" collapsed="false">
      <c r="A2097" s="38" t="n">
        <v>44503</v>
      </c>
      <c r="B2097" s="39" t="n">
        <v>2321.5</v>
      </c>
      <c r="C2097" s="40" t="n">
        <v>35907887.97</v>
      </c>
      <c r="D2097" s="40" t="n">
        <f aca="false">MAX(D2096,C2097)</f>
        <v>52853610.91</v>
      </c>
      <c r="E2097" s="41" t="n">
        <f aca="false">C2097/D2097-1</f>
        <v>-0.320616182096914</v>
      </c>
      <c r="F2097" s="42" t="n">
        <f aca="false">YEAR(A2097)</f>
        <v>2021</v>
      </c>
    </row>
    <row r="2098" customFormat="false" ht="15" hidden="false" customHeight="false" outlineLevel="0" collapsed="false">
      <c r="A2098" s="38" t="n">
        <v>44504</v>
      </c>
      <c r="B2098" s="39" t="n">
        <v>2223</v>
      </c>
      <c r="C2098" s="40" t="n">
        <v>35907887.97</v>
      </c>
      <c r="D2098" s="40" t="n">
        <f aca="false">MAX(D2097,C2098)</f>
        <v>52853610.91</v>
      </c>
      <c r="E2098" s="41" t="n">
        <f aca="false">C2098/D2098-1</f>
        <v>-0.320616182096914</v>
      </c>
      <c r="F2098" s="42" t="n">
        <f aca="false">YEAR(A2098)</f>
        <v>2021</v>
      </c>
    </row>
    <row r="2099" customFormat="false" ht="15" hidden="false" customHeight="false" outlineLevel="0" collapsed="false">
      <c r="A2099" s="38" t="n">
        <v>44505</v>
      </c>
      <c r="B2099" s="39" t="n">
        <v>2235.5</v>
      </c>
      <c r="C2099" s="40" t="n">
        <v>35907887.97</v>
      </c>
      <c r="D2099" s="40" t="n">
        <f aca="false">MAX(D2098,C2099)</f>
        <v>52853610.91</v>
      </c>
      <c r="E2099" s="41" t="n">
        <f aca="false">C2099/D2099-1</f>
        <v>-0.320616182096914</v>
      </c>
      <c r="F2099" s="42" t="n">
        <f aca="false">YEAR(A2099)</f>
        <v>2021</v>
      </c>
    </row>
    <row r="2100" customFormat="false" ht="15" hidden="false" customHeight="false" outlineLevel="0" collapsed="false">
      <c r="A2100" s="38" t="n">
        <v>44508</v>
      </c>
      <c r="B2100" s="39" t="n">
        <v>2216.5</v>
      </c>
      <c r="C2100" s="40" t="n">
        <v>35907887.97</v>
      </c>
      <c r="D2100" s="40" t="n">
        <f aca="false">MAX(D2099,C2100)</f>
        <v>52853610.91</v>
      </c>
      <c r="E2100" s="41" t="n">
        <f aca="false">C2100/D2100-1</f>
        <v>-0.320616182096914</v>
      </c>
      <c r="F2100" s="42" t="n">
        <f aca="false">YEAR(A2100)</f>
        <v>2021</v>
      </c>
    </row>
    <row r="2101" customFormat="false" ht="15" hidden="false" customHeight="false" outlineLevel="0" collapsed="false">
      <c r="A2101" s="38" t="n">
        <v>44509</v>
      </c>
      <c r="B2101" s="39" t="n">
        <v>2150</v>
      </c>
      <c r="C2101" s="40" t="n">
        <v>35907887.97</v>
      </c>
      <c r="D2101" s="40" t="n">
        <f aca="false">MAX(D2100,C2101)</f>
        <v>52853610.91</v>
      </c>
      <c r="E2101" s="41" t="n">
        <f aca="false">C2101/D2101-1</f>
        <v>-0.320616182096914</v>
      </c>
      <c r="F2101" s="42" t="n">
        <f aca="false">YEAR(A2101)</f>
        <v>2021</v>
      </c>
    </row>
    <row r="2102" customFormat="false" ht="15" hidden="false" customHeight="false" outlineLevel="0" collapsed="false">
      <c r="A2102" s="38" t="n">
        <v>44510</v>
      </c>
      <c r="B2102" s="39" t="n">
        <v>2089.5</v>
      </c>
      <c r="C2102" s="40" t="n">
        <v>35907887.97</v>
      </c>
      <c r="D2102" s="40" t="n">
        <f aca="false">MAX(D2101,C2102)</f>
        <v>52853610.91</v>
      </c>
      <c r="E2102" s="41" t="n">
        <f aca="false">C2102/D2102-1</f>
        <v>-0.320616182096914</v>
      </c>
      <c r="F2102" s="42" t="n">
        <f aca="false">YEAR(A2102)</f>
        <v>2021</v>
      </c>
    </row>
    <row r="2103" customFormat="false" ht="15" hidden="false" customHeight="false" outlineLevel="0" collapsed="false">
      <c r="A2103" s="38" t="n">
        <v>44511</v>
      </c>
      <c r="B2103" s="39" t="n">
        <v>2206.5</v>
      </c>
      <c r="C2103" s="40" t="n">
        <v>35907887.97</v>
      </c>
      <c r="D2103" s="40" t="n">
        <f aca="false">MAX(D2102,C2103)</f>
        <v>52853610.91</v>
      </c>
      <c r="E2103" s="41" t="n">
        <f aca="false">C2103/D2103-1</f>
        <v>-0.320616182096914</v>
      </c>
      <c r="F2103" s="42" t="n">
        <f aca="false">YEAR(A2103)</f>
        <v>2021</v>
      </c>
    </row>
    <row r="2104" customFormat="false" ht="15" hidden="false" customHeight="false" outlineLevel="0" collapsed="false">
      <c r="A2104" s="38" t="n">
        <v>44512</v>
      </c>
      <c r="B2104" s="39" t="n">
        <v>2069.5</v>
      </c>
      <c r="C2104" s="40" t="n">
        <v>35907887.97</v>
      </c>
      <c r="D2104" s="40" t="n">
        <f aca="false">MAX(D2103,C2104)</f>
        <v>52853610.91</v>
      </c>
      <c r="E2104" s="41" t="n">
        <f aca="false">C2104/D2104-1</f>
        <v>-0.320616182096914</v>
      </c>
      <c r="F2104" s="42" t="n">
        <f aca="false">YEAR(A2104)</f>
        <v>2021</v>
      </c>
    </row>
    <row r="2105" customFormat="false" ht="15" hidden="false" customHeight="false" outlineLevel="0" collapsed="false">
      <c r="A2105" s="38" t="n">
        <v>44515</v>
      </c>
      <c r="B2105" s="39" t="n">
        <v>1890</v>
      </c>
      <c r="C2105" s="40" t="n">
        <v>35907887.97</v>
      </c>
      <c r="D2105" s="40" t="n">
        <f aca="false">MAX(D2104,C2105)</f>
        <v>52853610.91</v>
      </c>
      <c r="E2105" s="41" t="n">
        <f aca="false">C2105/D2105-1</f>
        <v>-0.320616182096914</v>
      </c>
      <c r="F2105" s="42" t="n">
        <f aca="false">YEAR(A2105)</f>
        <v>2021</v>
      </c>
    </row>
    <row r="2106" customFormat="false" ht="15" hidden="false" customHeight="false" outlineLevel="0" collapsed="false">
      <c r="A2106" s="38" t="n">
        <v>44516</v>
      </c>
      <c r="B2106" s="39" t="n">
        <v>1816.5</v>
      </c>
      <c r="C2106" s="40" t="n">
        <v>41326342.93</v>
      </c>
      <c r="D2106" s="40" t="n">
        <f aca="false">MAX(D2105,C2106)</f>
        <v>52853610.91</v>
      </c>
      <c r="E2106" s="41" t="n">
        <f aca="false">C2106/D2106-1</f>
        <v>-0.218098021715656</v>
      </c>
      <c r="F2106" s="42" t="n">
        <f aca="false">YEAR(A2106)</f>
        <v>2021</v>
      </c>
    </row>
    <row r="2107" customFormat="false" ht="15" hidden="false" customHeight="false" outlineLevel="0" collapsed="false">
      <c r="A2107" s="38" t="n">
        <v>44517</v>
      </c>
      <c r="B2107" s="39" t="n">
        <v>1830.5</v>
      </c>
      <c r="C2107" s="40" t="n">
        <v>40215862.93</v>
      </c>
      <c r="D2107" s="40" t="n">
        <f aca="false">MAX(D2106,C2107)</f>
        <v>52853610.91</v>
      </c>
      <c r="E2107" s="41" t="n">
        <f aca="false">C2107/D2107-1</f>
        <v>-0.239108506730406</v>
      </c>
      <c r="F2107" s="42" t="n">
        <f aca="false">YEAR(A2107)</f>
        <v>2021</v>
      </c>
    </row>
    <row r="2108" customFormat="false" ht="15" hidden="false" customHeight="false" outlineLevel="0" collapsed="false">
      <c r="A2108" s="38" t="n">
        <v>44518</v>
      </c>
      <c r="B2108" s="39" t="n">
        <v>1752</v>
      </c>
      <c r="C2108" s="40" t="n">
        <v>46442482.93</v>
      </c>
      <c r="D2108" s="40" t="n">
        <f aca="false">MAX(D2107,C2108)</f>
        <v>52853610.91</v>
      </c>
      <c r="E2108" s="41" t="n">
        <f aca="false">C2108/D2108-1</f>
        <v>-0.121299715754842</v>
      </c>
      <c r="F2108" s="42" t="n">
        <f aca="false">YEAR(A2108)</f>
        <v>2021</v>
      </c>
    </row>
    <row r="2109" customFormat="false" ht="15" hidden="false" customHeight="false" outlineLevel="0" collapsed="false">
      <c r="A2109" s="38" t="n">
        <v>44519</v>
      </c>
      <c r="B2109" s="39" t="n">
        <v>1776.5</v>
      </c>
      <c r="C2109" s="40" t="n">
        <v>44499142.93</v>
      </c>
      <c r="D2109" s="40" t="n">
        <f aca="false">MAX(D2108,C2109)</f>
        <v>52853610.91</v>
      </c>
      <c r="E2109" s="41" t="n">
        <f aca="false">C2109/D2109-1</f>
        <v>-0.158068064530655</v>
      </c>
      <c r="F2109" s="42" t="n">
        <f aca="false">YEAR(A2109)</f>
        <v>2021</v>
      </c>
    </row>
    <row r="2110" customFormat="false" ht="15" hidden="false" customHeight="false" outlineLevel="0" collapsed="false">
      <c r="A2110" s="38" t="n">
        <v>44522</v>
      </c>
      <c r="B2110" s="39" t="n">
        <v>1794.5</v>
      </c>
      <c r="C2110" s="40" t="n">
        <v>43071382.93</v>
      </c>
      <c r="D2110" s="40" t="n">
        <f aca="false">MAX(D2109,C2110)</f>
        <v>52853610.91</v>
      </c>
      <c r="E2110" s="41" t="n">
        <f aca="false">C2110/D2110-1</f>
        <v>-0.185081545263905</v>
      </c>
      <c r="F2110" s="42" t="n">
        <f aca="false">YEAR(A2110)</f>
        <v>2021</v>
      </c>
    </row>
    <row r="2111" customFormat="false" ht="15" hidden="false" customHeight="false" outlineLevel="0" collapsed="false">
      <c r="A2111" s="38" t="n">
        <v>44523</v>
      </c>
      <c r="B2111" s="39" t="n">
        <v>1852.5</v>
      </c>
      <c r="C2111" s="40" t="n">
        <v>38470822.93</v>
      </c>
      <c r="D2111" s="40" t="n">
        <f aca="false">MAX(D2110,C2111)</f>
        <v>52853610.91</v>
      </c>
      <c r="E2111" s="41" t="n">
        <f aca="false">C2111/D2111-1</f>
        <v>-0.272124983182157</v>
      </c>
      <c r="F2111" s="42" t="n">
        <f aca="false">YEAR(A2111)</f>
        <v>2021</v>
      </c>
    </row>
    <row r="2112" customFormat="false" ht="15" hidden="false" customHeight="false" outlineLevel="0" collapsed="false">
      <c r="A2112" s="38" t="n">
        <v>44524</v>
      </c>
      <c r="B2112" s="39" t="n">
        <v>2060.5</v>
      </c>
      <c r="C2112" s="40" t="n">
        <v>21972262.93</v>
      </c>
      <c r="D2112" s="40" t="n">
        <f aca="false">MAX(D2111,C2112)</f>
        <v>52853610.91</v>
      </c>
      <c r="E2112" s="41" t="n">
        <f aca="false">C2112/D2112-1</f>
        <v>-0.584280760544162</v>
      </c>
      <c r="F2112" s="42" t="n">
        <f aca="false">YEAR(A2112)</f>
        <v>2021</v>
      </c>
    </row>
    <row r="2113" customFormat="false" ht="15" hidden="false" customHeight="false" outlineLevel="0" collapsed="false">
      <c r="A2113" s="38" t="n">
        <v>44525</v>
      </c>
      <c r="B2113" s="39" t="n">
        <v>2068.5</v>
      </c>
      <c r="C2113" s="40" t="n">
        <v>21337702.93</v>
      </c>
      <c r="D2113" s="40" t="n">
        <f aca="false">MAX(D2112,C2113)</f>
        <v>52853610.91</v>
      </c>
      <c r="E2113" s="41" t="n">
        <f aca="false">C2113/D2113-1</f>
        <v>-0.596286751981162</v>
      </c>
      <c r="F2113" s="42" t="n">
        <f aca="false">YEAR(A2113)</f>
        <v>2021</v>
      </c>
    </row>
    <row r="2114" customFormat="false" ht="15" hidden="false" customHeight="false" outlineLevel="0" collapsed="false">
      <c r="A2114" s="38" t="n">
        <v>44526</v>
      </c>
      <c r="B2114" s="39" t="n">
        <v>1899.5</v>
      </c>
      <c r="C2114" s="40" t="n">
        <v>34742782.93</v>
      </c>
      <c r="D2114" s="40" t="n">
        <f aca="false">MAX(D2113,C2114)</f>
        <v>52853610.91</v>
      </c>
      <c r="E2114" s="41" t="n">
        <f aca="false">C2114/D2114-1</f>
        <v>-0.342660182874533</v>
      </c>
      <c r="F2114" s="42" t="n">
        <f aca="false">YEAR(A2114)</f>
        <v>2021</v>
      </c>
    </row>
    <row r="2115" customFormat="false" ht="15" hidden="false" customHeight="false" outlineLevel="0" collapsed="false">
      <c r="A2115" s="38" t="n">
        <v>44529</v>
      </c>
      <c r="B2115" s="39" t="n">
        <v>1942.5</v>
      </c>
      <c r="C2115" s="40" t="n">
        <v>31332022.93</v>
      </c>
      <c r="D2115" s="40" t="n">
        <f aca="false">MAX(D2114,C2115)</f>
        <v>52853610.91</v>
      </c>
      <c r="E2115" s="41" t="n">
        <f aca="false">C2115/D2115-1</f>
        <v>-0.407192386848409</v>
      </c>
      <c r="F2115" s="42" t="n">
        <f aca="false">YEAR(A2115)</f>
        <v>2021</v>
      </c>
    </row>
    <row r="2116" customFormat="false" ht="15" hidden="false" customHeight="false" outlineLevel="0" collapsed="false">
      <c r="A2116" s="38" t="n">
        <v>44530</v>
      </c>
      <c r="B2116" s="39" t="n">
        <v>2007</v>
      </c>
      <c r="C2116" s="40" t="n">
        <v>26215882.93</v>
      </c>
      <c r="D2116" s="40" t="n">
        <f aca="false">MAX(D2115,C2116)</f>
        <v>52853610.91</v>
      </c>
      <c r="E2116" s="41" t="n">
        <f aca="false">C2116/D2116-1</f>
        <v>-0.503990692809223</v>
      </c>
      <c r="F2116" s="42" t="n">
        <f aca="false">YEAR(A2116)</f>
        <v>2021</v>
      </c>
    </row>
    <row r="2117" customFormat="false" ht="15" hidden="false" customHeight="false" outlineLevel="0" collapsed="false">
      <c r="A2117" s="38" t="n">
        <v>44531</v>
      </c>
      <c r="B2117" s="39" t="n">
        <v>2041.5</v>
      </c>
      <c r="C2117" s="40" t="n">
        <v>23479342.93</v>
      </c>
      <c r="D2117" s="40" t="n">
        <f aca="false">MAX(D2116,C2117)</f>
        <v>52853610.91</v>
      </c>
      <c r="E2117" s="41" t="n">
        <f aca="false">C2117/D2117-1</f>
        <v>-0.555766530881286</v>
      </c>
      <c r="F2117" s="42" t="n">
        <f aca="false">YEAR(A2117)</f>
        <v>2021</v>
      </c>
    </row>
    <row r="2118" customFormat="false" ht="15" hidden="false" customHeight="false" outlineLevel="0" collapsed="false">
      <c r="A2118" s="38" t="n">
        <v>44532</v>
      </c>
      <c r="B2118" s="39" t="n">
        <v>1955</v>
      </c>
      <c r="C2118" s="40" t="n">
        <v>30340522.93</v>
      </c>
      <c r="D2118" s="40" t="n">
        <f aca="false">MAX(D2117,C2118)</f>
        <v>52853610.91</v>
      </c>
      <c r="E2118" s="41" t="n">
        <f aca="false">C2118/D2118-1</f>
        <v>-0.425951748468722</v>
      </c>
      <c r="F2118" s="42" t="n">
        <f aca="false">YEAR(A2118)</f>
        <v>2021</v>
      </c>
    </row>
    <row r="2119" customFormat="false" ht="15" hidden="false" customHeight="false" outlineLevel="0" collapsed="false">
      <c r="A2119" s="38" t="n">
        <v>44533</v>
      </c>
      <c r="B2119" s="39" t="n">
        <v>2023</v>
      </c>
      <c r="C2119" s="40" t="n">
        <v>24946762.93</v>
      </c>
      <c r="D2119" s="40" t="n">
        <f aca="false">MAX(D2118,C2119)</f>
        <v>52853610.91</v>
      </c>
      <c r="E2119" s="41" t="n">
        <f aca="false">C2119/D2119-1</f>
        <v>-0.528002675683223</v>
      </c>
      <c r="F2119" s="42" t="n">
        <f aca="false">YEAR(A2119)</f>
        <v>2021</v>
      </c>
    </row>
    <row r="2120" customFormat="false" ht="15" hidden="false" customHeight="false" outlineLevel="0" collapsed="false">
      <c r="A2120" s="38" t="n">
        <v>44536</v>
      </c>
      <c r="B2120" s="39" t="n">
        <v>1974</v>
      </c>
      <c r="C2120" s="40" t="n">
        <v>28833442.93</v>
      </c>
      <c r="D2120" s="40" t="n">
        <f aca="false">MAX(D2119,C2120)</f>
        <v>52853610.91</v>
      </c>
      <c r="E2120" s="41" t="n">
        <f aca="false">C2120/D2120-1</f>
        <v>-0.454465978131597</v>
      </c>
      <c r="F2120" s="42" t="n">
        <f aca="false">YEAR(A2120)</f>
        <v>2021</v>
      </c>
    </row>
    <row r="2121" customFormat="false" ht="15" hidden="false" customHeight="false" outlineLevel="0" collapsed="false">
      <c r="A2121" s="38" t="n">
        <v>44537</v>
      </c>
      <c r="B2121" s="39" t="n">
        <v>2047.5</v>
      </c>
      <c r="C2121" s="40" t="n">
        <v>23003422.93</v>
      </c>
      <c r="D2121" s="40" t="n">
        <f aca="false">MAX(D2120,C2121)</f>
        <v>52853610.91</v>
      </c>
      <c r="E2121" s="41" t="n">
        <f aca="false">C2121/D2121-1</f>
        <v>-0.564771024459036</v>
      </c>
      <c r="F2121" s="42" t="n">
        <f aca="false">YEAR(A2121)</f>
        <v>2021</v>
      </c>
    </row>
    <row r="2122" customFormat="false" ht="15" hidden="false" customHeight="false" outlineLevel="0" collapsed="false">
      <c r="A2122" s="38" t="n">
        <v>44538</v>
      </c>
      <c r="B2122" s="39" t="n">
        <v>2066.5</v>
      </c>
      <c r="C2122" s="40" t="n">
        <v>21496342.93</v>
      </c>
      <c r="D2122" s="40" t="n">
        <f aca="false">MAX(D2121,C2122)</f>
        <v>52853610.91</v>
      </c>
      <c r="E2122" s="41" t="n">
        <f aca="false">C2122/D2122-1</f>
        <v>-0.593285254121912</v>
      </c>
      <c r="F2122" s="42" t="n">
        <f aca="false">YEAR(A2122)</f>
        <v>2021</v>
      </c>
    </row>
    <row r="2123" customFormat="false" ht="15" hidden="false" customHeight="false" outlineLevel="0" collapsed="false">
      <c r="A2123" s="38" t="n">
        <v>44539</v>
      </c>
      <c r="B2123" s="39" t="n">
        <v>2050</v>
      </c>
      <c r="C2123" s="40" t="n">
        <v>22805122.93</v>
      </c>
      <c r="D2123" s="40" t="n">
        <f aca="false">MAX(D2122,C2123)</f>
        <v>52853610.91</v>
      </c>
      <c r="E2123" s="41" t="n">
        <f aca="false">C2123/D2123-1</f>
        <v>-0.568522896783099</v>
      </c>
      <c r="F2123" s="42" t="n">
        <f aca="false">YEAR(A2123)</f>
        <v>2021</v>
      </c>
    </row>
    <row r="2124" customFormat="false" ht="15" hidden="false" customHeight="false" outlineLevel="0" collapsed="false">
      <c r="A2124" s="38" t="n">
        <v>44540</v>
      </c>
      <c r="B2124" s="39" t="n">
        <v>1953</v>
      </c>
      <c r="C2124" s="40" t="n">
        <v>30499162.93</v>
      </c>
      <c r="D2124" s="40" t="n">
        <f aca="false">MAX(D2123,C2124)</f>
        <v>52853610.91</v>
      </c>
      <c r="E2124" s="41" t="n">
        <f aca="false">C2124/D2124-1</f>
        <v>-0.422950250609472</v>
      </c>
      <c r="F2124" s="42" t="n">
        <f aca="false">YEAR(A2124)</f>
        <v>2021</v>
      </c>
    </row>
    <row r="2125" customFormat="false" ht="15" hidden="false" customHeight="false" outlineLevel="0" collapsed="false">
      <c r="A2125" s="38" t="n">
        <v>44543</v>
      </c>
      <c r="B2125" s="39" t="n">
        <v>2041.5</v>
      </c>
      <c r="C2125" s="40" t="n">
        <v>23479342.93</v>
      </c>
      <c r="D2125" s="40" t="n">
        <f aca="false">MAX(D2124,C2125)</f>
        <v>52853610.91</v>
      </c>
      <c r="E2125" s="41" t="n">
        <f aca="false">C2125/D2125-1</f>
        <v>-0.555766530881286</v>
      </c>
      <c r="F2125" s="42" t="n">
        <f aca="false">YEAR(A2125)</f>
        <v>2021</v>
      </c>
    </row>
    <row r="2126" customFormat="false" ht="15" hidden="false" customHeight="false" outlineLevel="0" collapsed="false">
      <c r="A2126" s="38" t="n">
        <v>44544</v>
      </c>
      <c r="B2126" s="39" t="n">
        <v>2012</v>
      </c>
      <c r="C2126" s="40" t="n">
        <v>25819282.93</v>
      </c>
      <c r="D2126" s="40" t="n">
        <f aca="false">MAX(D2125,C2126)</f>
        <v>52853610.91</v>
      </c>
      <c r="E2126" s="41" t="n">
        <f aca="false">C2126/D2126-1</f>
        <v>-0.511494437457348</v>
      </c>
      <c r="F2126" s="42" t="n">
        <f aca="false">YEAR(A2126)</f>
        <v>2021</v>
      </c>
    </row>
    <row r="2127" customFormat="false" ht="15" hidden="false" customHeight="false" outlineLevel="0" collapsed="false">
      <c r="A2127" s="38" t="n">
        <v>44545</v>
      </c>
      <c r="B2127" s="39" t="n">
        <v>2030.5</v>
      </c>
      <c r="C2127" s="40" t="n">
        <v>24351862.93</v>
      </c>
      <c r="D2127" s="40" t="n">
        <f aca="false">MAX(D2126,C2127)</f>
        <v>52853610.91</v>
      </c>
      <c r="E2127" s="41" t="n">
        <f aca="false">C2127/D2127-1</f>
        <v>-0.539258292655411</v>
      </c>
      <c r="F2127" s="42" t="n">
        <f aca="false">YEAR(A2127)</f>
        <v>2021</v>
      </c>
    </row>
    <row r="2128" customFormat="false" ht="15" hidden="false" customHeight="false" outlineLevel="0" collapsed="false">
      <c r="A2128" s="38" t="n">
        <v>44546</v>
      </c>
      <c r="B2128" s="39" t="n">
        <v>2124</v>
      </c>
      <c r="C2128" s="40" t="n">
        <v>16935442.93</v>
      </c>
      <c r="D2128" s="40" t="n">
        <f aca="false">MAX(D2127,C2128)</f>
        <v>52853610.91</v>
      </c>
      <c r="E2128" s="41" t="n">
        <f aca="false">C2128/D2128-1</f>
        <v>-0.679578317575351</v>
      </c>
      <c r="F2128" s="42" t="n">
        <f aca="false">YEAR(A2128)</f>
        <v>2021</v>
      </c>
    </row>
    <row r="2129" customFormat="false" ht="15" hidden="false" customHeight="false" outlineLevel="0" collapsed="false">
      <c r="A2129" s="38" t="n">
        <v>44547</v>
      </c>
      <c r="B2129" s="39" t="n">
        <v>2150.5</v>
      </c>
      <c r="C2129" s="40" t="n">
        <v>14833462.93</v>
      </c>
      <c r="D2129" s="40" t="n">
        <f aca="false">MAX(D2128,C2129)</f>
        <v>52853610.91</v>
      </c>
      <c r="E2129" s="41" t="n">
        <f aca="false">C2129/D2129-1</f>
        <v>-0.719348164210414</v>
      </c>
      <c r="F2129" s="42" t="n">
        <f aca="false">YEAR(A2129)</f>
        <v>2021</v>
      </c>
    </row>
    <row r="2130" customFormat="false" ht="15" hidden="false" customHeight="false" outlineLevel="0" collapsed="false">
      <c r="A2130" s="38" t="n">
        <v>44550</v>
      </c>
      <c r="B2130" s="39" t="n">
        <v>2160.5</v>
      </c>
      <c r="C2130" s="40" t="n">
        <v>14538744.19</v>
      </c>
      <c r="D2130" s="40" t="n">
        <f aca="false">MAX(D2129,C2130)</f>
        <v>52853610.91</v>
      </c>
      <c r="E2130" s="41" t="n">
        <f aca="false">C2130/D2130-1</f>
        <v>-0.724924296757003</v>
      </c>
      <c r="F2130" s="42" t="n">
        <f aca="false">YEAR(A2130)</f>
        <v>2021</v>
      </c>
    </row>
    <row r="2131" customFormat="false" ht="15" hidden="false" customHeight="false" outlineLevel="0" collapsed="false">
      <c r="A2131" s="38" t="n">
        <v>44551</v>
      </c>
      <c r="B2131" s="39" t="n">
        <v>2208</v>
      </c>
      <c r="C2131" s="40" t="n">
        <v>14538744.19</v>
      </c>
      <c r="D2131" s="40" t="n">
        <f aca="false">MAX(D2130,C2131)</f>
        <v>52853610.91</v>
      </c>
      <c r="E2131" s="41" t="n">
        <f aca="false">C2131/D2131-1</f>
        <v>-0.724924296757003</v>
      </c>
      <c r="F2131" s="42" t="n">
        <f aca="false">YEAR(A2131)</f>
        <v>2021</v>
      </c>
    </row>
    <row r="2132" customFormat="false" ht="15" hidden="false" customHeight="false" outlineLevel="0" collapsed="false">
      <c r="A2132" s="38" t="n">
        <v>44552</v>
      </c>
      <c r="B2132" s="39" t="n">
        <v>2202</v>
      </c>
      <c r="C2132" s="40" t="n">
        <v>14538744.19</v>
      </c>
      <c r="D2132" s="40" t="n">
        <f aca="false">MAX(D2131,C2132)</f>
        <v>52853610.91</v>
      </c>
      <c r="E2132" s="41" t="n">
        <f aca="false">C2132/D2132-1</f>
        <v>-0.724924296757003</v>
      </c>
      <c r="F2132" s="42" t="n">
        <f aca="false">YEAR(A2132)</f>
        <v>2021</v>
      </c>
    </row>
    <row r="2133" customFormat="false" ht="15" hidden="false" customHeight="false" outlineLevel="0" collapsed="false">
      <c r="A2133" s="38" t="n">
        <v>44553</v>
      </c>
      <c r="B2133" s="39" t="n">
        <v>2230</v>
      </c>
      <c r="C2133" s="40" t="n">
        <v>14538744.19</v>
      </c>
      <c r="D2133" s="40" t="n">
        <f aca="false">MAX(D2132,C2133)</f>
        <v>52853610.91</v>
      </c>
      <c r="E2133" s="41" t="n">
        <f aca="false">C2133/D2133-1</f>
        <v>-0.724924296757003</v>
      </c>
      <c r="F2133" s="42" t="n">
        <f aca="false">YEAR(A2133)</f>
        <v>2021</v>
      </c>
    </row>
    <row r="2134" customFormat="false" ht="15" hidden="false" customHeight="false" outlineLevel="0" collapsed="false">
      <c r="A2134" s="38" t="n">
        <v>44554</v>
      </c>
      <c r="B2134" s="39" t="n">
        <v>2301.5</v>
      </c>
      <c r="C2134" s="40" t="n">
        <v>14538744.19</v>
      </c>
      <c r="D2134" s="40" t="n">
        <f aca="false">MAX(D2133,C2134)</f>
        <v>52853610.91</v>
      </c>
      <c r="E2134" s="41" t="n">
        <f aca="false">C2134/D2134-1</f>
        <v>-0.724924296757003</v>
      </c>
      <c r="F2134" s="42" t="n">
        <f aca="false">YEAR(A2134)</f>
        <v>2021</v>
      </c>
    </row>
    <row r="2135" customFormat="false" ht="15" hidden="false" customHeight="false" outlineLevel="0" collapsed="false">
      <c r="A2135" s="38" t="n">
        <v>44557</v>
      </c>
      <c r="B2135" s="39" t="n">
        <v>2176</v>
      </c>
      <c r="C2135" s="40" t="n">
        <v>14538744.19</v>
      </c>
      <c r="D2135" s="40" t="n">
        <f aca="false">MAX(D2134,C2135)</f>
        <v>52853610.91</v>
      </c>
      <c r="E2135" s="41" t="n">
        <f aca="false">C2135/D2135-1</f>
        <v>-0.724924296757003</v>
      </c>
      <c r="F2135" s="42" t="n">
        <f aca="false">YEAR(A2135)</f>
        <v>2021</v>
      </c>
    </row>
    <row r="2136" customFormat="false" ht="15" hidden="false" customHeight="false" outlineLevel="0" collapsed="false">
      <c r="A2136" s="38" t="n">
        <v>44558</v>
      </c>
      <c r="B2136" s="39" t="n">
        <v>2153.5</v>
      </c>
      <c r="C2136" s="40" t="n">
        <v>14538744.19</v>
      </c>
      <c r="D2136" s="40" t="n">
        <f aca="false">MAX(D2135,C2136)</f>
        <v>52853610.91</v>
      </c>
      <c r="E2136" s="41" t="n">
        <f aca="false">C2136/D2136-1</f>
        <v>-0.724924296757003</v>
      </c>
      <c r="F2136" s="42" t="n">
        <f aca="false">YEAR(A2136)</f>
        <v>2021</v>
      </c>
    </row>
    <row r="2137" customFormat="false" ht="15" hidden="false" customHeight="false" outlineLevel="0" collapsed="false">
      <c r="A2137" s="38" t="n">
        <v>44559</v>
      </c>
      <c r="B2137" s="39" t="n">
        <v>2170.5</v>
      </c>
      <c r="C2137" s="40" t="n">
        <v>14538744.19</v>
      </c>
      <c r="D2137" s="40" t="n">
        <f aca="false">MAX(D2136,C2137)</f>
        <v>52853610.91</v>
      </c>
      <c r="E2137" s="41" t="n">
        <f aca="false">C2137/D2137-1</f>
        <v>-0.724924296757003</v>
      </c>
      <c r="F2137" s="42" t="n">
        <f aca="false">YEAR(A2137)</f>
        <v>2021</v>
      </c>
    </row>
    <row r="2138" customFormat="false" ht="15" hidden="false" customHeight="false" outlineLevel="0" collapsed="false">
      <c r="A2138" s="38" t="n">
        <v>44560</v>
      </c>
      <c r="B2138" s="39" t="n">
        <v>2179</v>
      </c>
      <c r="C2138" s="40" t="n">
        <v>14538744.19</v>
      </c>
      <c r="D2138" s="40" t="n">
        <f aca="false">MAX(D2137,C2138)</f>
        <v>52853610.91</v>
      </c>
      <c r="E2138" s="41" t="n">
        <f aca="false">C2138/D2138-1</f>
        <v>-0.724924296757003</v>
      </c>
      <c r="F2138" s="42" t="n">
        <f aca="false">YEAR(A2138)</f>
        <v>2021</v>
      </c>
    </row>
    <row r="2139" customFormat="false" ht="15" hidden="false" customHeight="false" outlineLevel="0" collapsed="false">
      <c r="A2139" s="38" t="n">
        <v>44561</v>
      </c>
      <c r="B2139" s="39" t="n">
        <v>2210</v>
      </c>
      <c r="C2139" s="40" t="n">
        <v>14538744.19</v>
      </c>
      <c r="D2139" s="40" t="n">
        <f aca="false">MAX(D2138,C2139)</f>
        <v>52853610.91</v>
      </c>
      <c r="E2139" s="41" t="n">
        <f aca="false">C2139/D2139-1</f>
        <v>-0.724924296757003</v>
      </c>
      <c r="F2139" s="42" t="n">
        <f aca="false">YEAR(A2139)</f>
        <v>2021</v>
      </c>
    </row>
    <row r="2140" customFormat="false" ht="15" hidden="false" customHeight="false" outlineLevel="0" collapsed="false">
      <c r="A2140" s="38" t="n">
        <v>44565</v>
      </c>
      <c r="B2140" s="39" t="n">
        <v>2314.5</v>
      </c>
      <c r="C2140" s="40" t="n">
        <v>14538744.19</v>
      </c>
      <c r="D2140" s="40" t="n">
        <f aca="false">MAX(D2139,C2140)</f>
        <v>52853610.91</v>
      </c>
      <c r="E2140" s="41" t="n">
        <f aca="false">C2140/D2140-1</f>
        <v>-0.724924296757003</v>
      </c>
      <c r="F2140" s="42" t="n">
        <f aca="false">YEAR(A2140)</f>
        <v>2022</v>
      </c>
    </row>
    <row r="2141" customFormat="false" ht="15" hidden="false" customHeight="false" outlineLevel="0" collapsed="false">
      <c r="A2141" s="38" t="n">
        <v>44566</v>
      </c>
      <c r="B2141" s="39" t="n">
        <v>2335.5</v>
      </c>
      <c r="C2141" s="40" t="n">
        <v>14538744.19</v>
      </c>
      <c r="D2141" s="40" t="n">
        <f aca="false">MAX(D2140,C2141)</f>
        <v>52853610.91</v>
      </c>
      <c r="E2141" s="41" t="n">
        <f aca="false">C2141/D2141-1</f>
        <v>-0.724924296757003</v>
      </c>
      <c r="F2141" s="42" t="n">
        <f aca="false">YEAR(A2141)</f>
        <v>2022</v>
      </c>
    </row>
    <row r="2142" customFormat="false" ht="15" hidden="false" customHeight="false" outlineLevel="0" collapsed="false">
      <c r="A2142" s="38" t="n">
        <v>44567</v>
      </c>
      <c r="B2142" s="39" t="n">
        <v>2320</v>
      </c>
      <c r="C2142" s="40" t="n">
        <v>14538744.19</v>
      </c>
      <c r="D2142" s="40" t="n">
        <f aca="false">MAX(D2141,C2142)</f>
        <v>52853610.91</v>
      </c>
      <c r="E2142" s="41" t="n">
        <f aca="false">C2142/D2142-1</f>
        <v>-0.724924296757003</v>
      </c>
      <c r="F2142" s="42" t="n">
        <f aca="false">YEAR(A2142)</f>
        <v>2022</v>
      </c>
    </row>
    <row r="2143" customFormat="false" ht="15" hidden="false" customHeight="false" outlineLevel="0" collapsed="false">
      <c r="A2143" s="38" t="n">
        <v>44568</v>
      </c>
      <c r="B2143" s="39" t="n">
        <v>2271.5</v>
      </c>
      <c r="C2143" s="40" t="n">
        <v>14538744.19</v>
      </c>
      <c r="D2143" s="40" t="n">
        <f aca="false">MAX(D2142,C2143)</f>
        <v>52853610.91</v>
      </c>
      <c r="E2143" s="41" t="n">
        <f aca="false">C2143/D2143-1</f>
        <v>-0.724924296757003</v>
      </c>
      <c r="F2143" s="42" t="n">
        <f aca="false">YEAR(A2143)</f>
        <v>2022</v>
      </c>
    </row>
    <row r="2144" customFormat="false" ht="15" hidden="false" customHeight="false" outlineLevel="0" collapsed="false">
      <c r="A2144" s="38" t="n">
        <v>44571</v>
      </c>
      <c r="B2144" s="39" t="n">
        <v>2288.5</v>
      </c>
      <c r="C2144" s="40" t="n">
        <v>14538744.19</v>
      </c>
      <c r="D2144" s="40" t="n">
        <f aca="false">MAX(D2143,C2144)</f>
        <v>52853610.91</v>
      </c>
      <c r="E2144" s="41" t="n">
        <f aca="false">C2144/D2144-1</f>
        <v>-0.724924296757003</v>
      </c>
      <c r="F2144" s="42" t="n">
        <f aca="false">YEAR(A2144)</f>
        <v>2022</v>
      </c>
    </row>
    <row r="2145" customFormat="false" ht="15" hidden="false" customHeight="false" outlineLevel="0" collapsed="false">
      <c r="A2145" s="38" t="n">
        <v>44572</v>
      </c>
      <c r="B2145" s="39" t="n">
        <v>2296</v>
      </c>
      <c r="C2145" s="40" t="n">
        <v>14538744.19</v>
      </c>
      <c r="D2145" s="40" t="n">
        <f aca="false">MAX(D2144,C2145)</f>
        <v>52853610.91</v>
      </c>
      <c r="E2145" s="41" t="n">
        <f aca="false">C2145/D2145-1</f>
        <v>-0.724924296757003</v>
      </c>
      <c r="F2145" s="42" t="n">
        <f aca="false">YEAR(A2145)</f>
        <v>2022</v>
      </c>
    </row>
    <row r="2146" customFormat="false" ht="15" hidden="false" customHeight="false" outlineLevel="0" collapsed="false">
      <c r="A2146" s="38" t="n">
        <v>44573</v>
      </c>
      <c r="B2146" s="39" t="n">
        <v>2349</v>
      </c>
      <c r="C2146" s="40" t="n">
        <v>14538744.19</v>
      </c>
      <c r="D2146" s="40" t="n">
        <f aca="false">MAX(D2145,C2146)</f>
        <v>52853610.91</v>
      </c>
      <c r="E2146" s="41" t="n">
        <f aca="false">C2146/D2146-1</f>
        <v>-0.724924296757003</v>
      </c>
      <c r="F2146" s="42" t="n">
        <f aca="false">YEAR(A2146)</f>
        <v>2022</v>
      </c>
    </row>
    <row r="2147" customFormat="false" ht="15" hidden="false" customHeight="false" outlineLevel="0" collapsed="false">
      <c r="A2147" s="38" t="n">
        <v>44574</v>
      </c>
      <c r="B2147" s="39" t="n">
        <v>2309.5</v>
      </c>
      <c r="C2147" s="40" t="n">
        <v>13782752.51</v>
      </c>
      <c r="D2147" s="40" t="n">
        <f aca="false">MAX(D2146,C2147)</f>
        <v>52853610.91</v>
      </c>
      <c r="E2147" s="41" t="n">
        <f aca="false">C2147/D2147-1</f>
        <v>-0.739227797823133</v>
      </c>
      <c r="F2147" s="42" t="n">
        <f aca="false">YEAR(A2147)</f>
        <v>2022</v>
      </c>
    </row>
    <row r="2148" customFormat="false" ht="15" hidden="false" customHeight="false" outlineLevel="0" collapsed="false">
      <c r="A2148" s="38" t="n">
        <v>44575</v>
      </c>
      <c r="B2148" s="39" t="n">
        <v>2297</v>
      </c>
      <c r="C2148" s="40" t="n">
        <v>13459502.51</v>
      </c>
      <c r="D2148" s="40" t="n">
        <f aca="false">MAX(D2147,C2148)</f>
        <v>52853610.91</v>
      </c>
      <c r="E2148" s="41" t="n">
        <f aca="false">C2148/D2148-1</f>
        <v>-0.745343747035201</v>
      </c>
      <c r="F2148" s="42" t="n">
        <f aca="false">YEAR(A2148)</f>
        <v>2022</v>
      </c>
    </row>
    <row r="2149" customFormat="false" ht="15" hidden="false" customHeight="false" outlineLevel="0" collapsed="false">
      <c r="A2149" s="38" t="n">
        <v>44578</v>
      </c>
      <c r="B2149" s="39" t="n">
        <v>2192.5</v>
      </c>
      <c r="C2149" s="40" t="n">
        <v>10757132.51</v>
      </c>
      <c r="D2149" s="40" t="n">
        <f aca="false">MAX(D2148,C2149)</f>
        <v>52853610.91</v>
      </c>
      <c r="E2149" s="41" t="n">
        <f aca="false">C2149/D2149-1</f>
        <v>-0.796473082448096</v>
      </c>
      <c r="F2149" s="42" t="n">
        <f aca="false">YEAR(A2149)</f>
        <v>2022</v>
      </c>
    </row>
    <row r="2150" customFormat="false" ht="15" hidden="false" customHeight="false" outlineLevel="0" collapsed="false">
      <c r="A2150" s="38" t="n">
        <v>44579</v>
      </c>
      <c r="B2150" s="39" t="n">
        <v>2306</v>
      </c>
      <c r="C2150" s="40" t="n">
        <v>13692242.51</v>
      </c>
      <c r="D2150" s="40" t="n">
        <f aca="false">MAX(D2149,C2150)</f>
        <v>52853610.91</v>
      </c>
      <c r="E2150" s="41" t="n">
        <f aca="false">C2150/D2150-1</f>
        <v>-0.740940263602512</v>
      </c>
      <c r="F2150" s="42" t="n">
        <f aca="false">YEAR(A2150)</f>
        <v>2022</v>
      </c>
    </row>
    <row r="2151" customFormat="false" ht="15" hidden="false" customHeight="false" outlineLevel="0" collapsed="false">
      <c r="A2151" s="38" t="n">
        <v>44580</v>
      </c>
      <c r="B2151" s="39" t="n">
        <v>2251</v>
      </c>
      <c r="C2151" s="40" t="n">
        <v>12269942.51</v>
      </c>
      <c r="D2151" s="40" t="n">
        <f aca="false">MAX(D2150,C2151)</f>
        <v>52853610.91</v>
      </c>
      <c r="E2151" s="41" t="n">
        <f aca="false">C2151/D2151-1</f>
        <v>-0.767850440135614</v>
      </c>
      <c r="F2151" s="42" t="n">
        <f aca="false">YEAR(A2151)</f>
        <v>2022</v>
      </c>
    </row>
    <row r="2152" customFormat="false" ht="15" hidden="false" customHeight="false" outlineLevel="0" collapsed="false">
      <c r="A2152" s="38" t="n">
        <v>44581</v>
      </c>
      <c r="B2152" s="39" t="n">
        <v>2305.5</v>
      </c>
      <c r="C2152" s="40" t="n">
        <v>13679312.51</v>
      </c>
      <c r="D2152" s="40" t="n">
        <f aca="false">MAX(D2151,C2152)</f>
        <v>52853610.91</v>
      </c>
      <c r="E2152" s="41" t="n">
        <f aca="false">C2152/D2152-1</f>
        <v>-0.741184901570995</v>
      </c>
      <c r="F2152" s="42" t="n">
        <f aca="false">YEAR(A2152)</f>
        <v>2022</v>
      </c>
    </row>
    <row r="2153" customFormat="false" ht="15" hidden="false" customHeight="false" outlineLevel="0" collapsed="false">
      <c r="A2153" s="38" t="n">
        <v>44582</v>
      </c>
      <c r="B2153" s="39" t="n">
        <v>2200.5</v>
      </c>
      <c r="C2153" s="40" t="n">
        <v>10964012.51</v>
      </c>
      <c r="D2153" s="40" t="n">
        <f aca="false">MAX(D2152,C2153)</f>
        <v>52853610.91</v>
      </c>
      <c r="E2153" s="41" t="n">
        <f aca="false">C2153/D2153-1</f>
        <v>-0.792558874952372</v>
      </c>
      <c r="F2153" s="42" t="n">
        <f aca="false">YEAR(A2153)</f>
        <v>2022</v>
      </c>
    </row>
    <row r="2154" customFormat="false" ht="15" hidden="false" customHeight="false" outlineLevel="0" collapsed="false">
      <c r="A2154" s="38" t="n">
        <v>44585</v>
      </c>
      <c r="B2154" s="39" t="n">
        <v>2160.5</v>
      </c>
      <c r="C2154" s="40" t="n">
        <v>9929612.51</v>
      </c>
      <c r="D2154" s="40" t="n">
        <f aca="false">MAX(D2153,C2154)</f>
        <v>52853610.91</v>
      </c>
      <c r="E2154" s="41" t="n">
        <f aca="false">C2154/D2154-1</f>
        <v>-0.812129912430992</v>
      </c>
      <c r="F2154" s="42" t="n">
        <f aca="false">YEAR(A2154)</f>
        <v>2022</v>
      </c>
    </row>
    <row r="2155" customFormat="false" ht="15" hidden="false" customHeight="false" outlineLevel="0" collapsed="false">
      <c r="A2155" s="38" t="n">
        <v>44586</v>
      </c>
      <c r="B2155" s="39" t="n">
        <v>2204.5</v>
      </c>
      <c r="C2155" s="40" t="n">
        <v>11067452.51</v>
      </c>
      <c r="D2155" s="40" t="n">
        <f aca="false">MAX(D2154,C2155)</f>
        <v>52853610.91</v>
      </c>
      <c r="E2155" s="41" t="n">
        <f aca="false">C2155/D2155-1</f>
        <v>-0.79060177120451</v>
      </c>
      <c r="F2155" s="42" t="n">
        <f aca="false">YEAR(A2155)</f>
        <v>2022</v>
      </c>
    </row>
    <row r="2156" customFormat="false" ht="15" hidden="false" customHeight="false" outlineLevel="0" collapsed="false">
      <c r="A2156" s="38" t="n">
        <v>44587</v>
      </c>
      <c r="B2156" s="39" t="n">
        <v>2197.5</v>
      </c>
      <c r="C2156" s="40" t="n">
        <v>10886432.51</v>
      </c>
      <c r="D2156" s="40" t="n">
        <f aca="false">MAX(D2155,C2156)</f>
        <v>52853610.91</v>
      </c>
      <c r="E2156" s="41" t="n">
        <f aca="false">C2156/D2156-1</f>
        <v>-0.794026702763268</v>
      </c>
      <c r="F2156" s="42" t="n">
        <f aca="false">YEAR(A2156)</f>
        <v>2022</v>
      </c>
    </row>
    <row r="2157" customFormat="false" ht="15" hidden="false" customHeight="false" outlineLevel="0" collapsed="false">
      <c r="A2157" s="38" t="n">
        <v>44588</v>
      </c>
      <c r="B2157" s="39" t="n">
        <v>2270.5</v>
      </c>
      <c r="C2157" s="40" t="n">
        <v>12774212.51</v>
      </c>
      <c r="D2157" s="40" t="n">
        <f aca="false">MAX(D2156,C2157)</f>
        <v>52853610.91</v>
      </c>
      <c r="E2157" s="41" t="n">
        <f aca="false">C2157/D2157-1</f>
        <v>-0.758309559364787</v>
      </c>
      <c r="F2157" s="42" t="n">
        <f aca="false">YEAR(A2157)</f>
        <v>2022</v>
      </c>
    </row>
    <row r="2158" customFormat="false" ht="15" hidden="false" customHeight="false" outlineLevel="0" collapsed="false">
      <c r="A2158" s="38" t="n">
        <v>44589</v>
      </c>
      <c r="B2158" s="39" t="n">
        <v>2273.5</v>
      </c>
      <c r="C2158" s="40" t="n">
        <v>12851792.51</v>
      </c>
      <c r="D2158" s="40" t="n">
        <f aca="false">MAX(D2157,C2158)</f>
        <v>52853610.91</v>
      </c>
      <c r="E2158" s="41" t="n">
        <f aca="false">C2158/D2158-1</f>
        <v>-0.756841731553891</v>
      </c>
      <c r="F2158" s="42" t="n">
        <f aca="false">YEAR(A2158)</f>
        <v>2022</v>
      </c>
    </row>
    <row r="2159" customFormat="false" ht="15" hidden="false" customHeight="false" outlineLevel="0" collapsed="false">
      <c r="A2159" s="38" t="n">
        <v>44599</v>
      </c>
      <c r="B2159" s="39" t="n">
        <v>2304</v>
      </c>
      <c r="C2159" s="40" t="n">
        <v>13640522.51</v>
      </c>
      <c r="D2159" s="40" t="n">
        <f aca="false">MAX(D2158,C2159)</f>
        <v>52853610.91</v>
      </c>
      <c r="E2159" s="41" t="n">
        <f aca="false">C2159/D2159-1</f>
        <v>-0.741918815476443</v>
      </c>
      <c r="F2159" s="42" t="n">
        <f aca="false">YEAR(A2159)</f>
        <v>2022</v>
      </c>
    </row>
    <row r="2160" customFormat="false" ht="15" hidden="false" customHeight="false" outlineLevel="0" collapsed="false">
      <c r="A2160" s="38" t="n">
        <v>44600</v>
      </c>
      <c r="B2160" s="39" t="n">
        <v>2462.5</v>
      </c>
      <c r="C2160" s="40" t="n">
        <v>17739332.51</v>
      </c>
      <c r="D2160" s="40" t="n">
        <f aca="false">MAX(D2159,C2160)</f>
        <v>52853610.91</v>
      </c>
      <c r="E2160" s="41" t="n">
        <f aca="false">C2160/D2160-1</f>
        <v>-0.664368579467412</v>
      </c>
      <c r="F2160" s="42" t="n">
        <f aca="false">YEAR(A2160)</f>
        <v>2022</v>
      </c>
    </row>
    <row r="2161" customFormat="false" ht="15" hidden="false" customHeight="false" outlineLevel="0" collapsed="false">
      <c r="A2161" s="38" t="n">
        <v>44601</v>
      </c>
      <c r="B2161" s="39" t="n">
        <v>2314</v>
      </c>
      <c r="C2161" s="40" t="n">
        <v>13899122.51</v>
      </c>
      <c r="D2161" s="40" t="n">
        <f aca="false">MAX(D2160,C2161)</f>
        <v>52853610.91</v>
      </c>
      <c r="E2161" s="41" t="n">
        <f aca="false">C2161/D2161-1</f>
        <v>-0.737026056106788</v>
      </c>
      <c r="F2161" s="42" t="n">
        <f aca="false">YEAR(A2161)</f>
        <v>2022</v>
      </c>
    </row>
    <row r="2162" customFormat="false" ht="15" hidden="false" customHeight="false" outlineLevel="0" collapsed="false">
      <c r="A2162" s="38" t="n">
        <v>44602</v>
      </c>
      <c r="B2162" s="39" t="n">
        <v>2335</v>
      </c>
      <c r="C2162" s="40" t="n">
        <v>14442182.51</v>
      </c>
      <c r="D2162" s="40" t="n">
        <f aca="false">MAX(D2161,C2162)</f>
        <v>52853610.91</v>
      </c>
      <c r="E2162" s="41" t="n">
        <f aca="false">C2162/D2162-1</f>
        <v>-0.726751261430513</v>
      </c>
      <c r="F2162" s="42" t="n">
        <f aca="false">YEAR(A2162)</f>
        <v>2022</v>
      </c>
    </row>
    <row r="2163" customFormat="false" ht="15" hidden="false" customHeight="false" outlineLevel="0" collapsed="false">
      <c r="A2163" s="38" t="n">
        <v>44603</v>
      </c>
      <c r="B2163" s="39" t="n">
        <v>2345.5</v>
      </c>
      <c r="C2163" s="40" t="n">
        <v>14713712.51</v>
      </c>
      <c r="D2163" s="40" t="n">
        <f aca="false">MAX(D2162,C2163)</f>
        <v>52853610.91</v>
      </c>
      <c r="E2163" s="41" t="n">
        <f aca="false">C2163/D2163-1</f>
        <v>-0.721613864092375</v>
      </c>
      <c r="F2163" s="42" t="n">
        <f aca="false">YEAR(A2163)</f>
        <v>2022</v>
      </c>
    </row>
    <row r="2164" customFormat="false" ht="15" hidden="false" customHeight="false" outlineLevel="0" collapsed="false">
      <c r="A2164" s="38" t="n">
        <v>44606</v>
      </c>
      <c r="B2164" s="39" t="n">
        <v>2419</v>
      </c>
      <c r="C2164" s="40" t="n">
        <v>16614422.51</v>
      </c>
      <c r="D2164" s="40" t="n">
        <f aca="false">MAX(D2163,C2164)</f>
        <v>52853610.91</v>
      </c>
      <c r="E2164" s="41" t="n">
        <f aca="false">C2164/D2164-1</f>
        <v>-0.685652082725411</v>
      </c>
      <c r="F2164" s="42" t="n">
        <f aca="false">YEAR(A2164)</f>
        <v>2022</v>
      </c>
    </row>
    <row r="2165" customFormat="false" ht="15" hidden="false" customHeight="false" outlineLevel="0" collapsed="false">
      <c r="A2165" s="38" t="n">
        <v>44607</v>
      </c>
      <c r="B2165" s="39" t="n">
        <v>2406.5</v>
      </c>
      <c r="C2165" s="40" t="n">
        <v>16291172.51</v>
      </c>
      <c r="D2165" s="40" t="n">
        <f aca="false">MAX(D2164,C2165)</f>
        <v>52853610.91</v>
      </c>
      <c r="E2165" s="41" t="n">
        <f aca="false">C2165/D2165-1</f>
        <v>-0.69176803193748</v>
      </c>
      <c r="F2165" s="42" t="n">
        <f aca="false">YEAR(A2165)</f>
        <v>2022</v>
      </c>
    </row>
    <row r="2166" customFormat="false" ht="15" hidden="false" customHeight="false" outlineLevel="0" collapsed="false">
      <c r="A2166" s="38" t="n">
        <v>44608</v>
      </c>
      <c r="B2166" s="39" t="n">
        <v>2430.5</v>
      </c>
      <c r="C2166" s="40" t="n">
        <v>16911812.51</v>
      </c>
      <c r="D2166" s="40" t="n">
        <f aca="false">MAX(D2165,C2166)</f>
        <v>52853610.91</v>
      </c>
      <c r="E2166" s="41" t="n">
        <f aca="false">C2166/D2166-1</f>
        <v>-0.680025409450308</v>
      </c>
      <c r="F2166" s="42" t="n">
        <f aca="false">YEAR(A2166)</f>
        <v>2022</v>
      </c>
    </row>
    <row r="2167" customFormat="false" ht="15" hidden="false" customHeight="false" outlineLevel="0" collapsed="false">
      <c r="A2167" s="38" t="n">
        <v>44609</v>
      </c>
      <c r="B2167" s="39" t="n">
        <v>2431.5</v>
      </c>
      <c r="C2167" s="40" t="n">
        <v>16937672.51</v>
      </c>
      <c r="D2167" s="40" t="n">
        <f aca="false">MAX(D2166,C2167)</f>
        <v>52853610.91</v>
      </c>
      <c r="E2167" s="41" t="n">
        <f aca="false">C2167/D2167-1</f>
        <v>-0.679536133513342</v>
      </c>
      <c r="F2167" s="42" t="n">
        <f aca="false">YEAR(A2167)</f>
        <v>2022</v>
      </c>
    </row>
    <row r="2168" customFormat="false" ht="15" hidden="false" customHeight="false" outlineLevel="0" collapsed="false">
      <c r="A2168" s="38" t="n">
        <v>44610</v>
      </c>
      <c r="B2168" s="39" t="n">
        <v>2550</v>
      </c>
      <c r="C2168" s="40" t="n">
        <v>20002082.51</v>
      </c>
      <c r="D2168" s="40" t="n">
        <f aca="false">MAX(D2167,C2168)</f>
        <v>52853610.91</v>
      </c>
      <c r="E2168" s="41" t="n">
        <f aca="false">C2168/D2168-1</f>
        <v>-0.621556934982931</v>
      </c>
      <c r="F2168" s="42" t="n">
        <f aca="false">YEAR(A2168)</f>
        <v>2022</v>
      </c>
    </row>
    <row r="2169" customFormat="false" ht="15" hidden="false" customHeight="false" outlineLevel="0" collapsed="false">
      <c r="A2169" s="38" t="n">
        <v>44613</v>
      </c>
      <c r="B2169" s="39" t="n">
        <v>2638.5</v>
      </c>
      <c r="C2169" s="40" t="n">
        <v>22290692.51</v>
      </c>
      <c r="D2169" s="40" t="n">
        <f aca="false">MAX(D2168,C2169)</f>
        <v>52853610.91</v>
      </c>
      <c r="E2169" s="41" t="n">
        <f aca="false">C2169/D2169-1</f>
        <v>-0.578256014561485</v>
      </c>
      <c r="F2169" s="42" t="n">
        <f aca="false">YEAR(A2169)</f>
        <v>2022</v>
      </c>
    </row>
    <row r="2170" customFormat="false" ht="15" hidden="false" customHeight="false" outlineLevel="0" collapsed="false">
      <c r="A2170" s="38" t="n">
        <v>44614</v>
      </c>
      <c r="B2170" s="39" t="n">
        <v>2585</v>
      </c>
      <c r="C2170" s="40" t="n">
        <v>20907182.51</v>
      </c>
      <c r="D2170" s="40" t="n">
        <f aca="false">MAX(D2169,C2170)</f>
        <v>52853610.91</v>
      </c>
      <c r="E2170" s="41" t="n">
        <f aca="false">C2170/D2170-1</f>
        <v>-0.604432277189139</v>
      </c>
      <c r="F2170" s="42" t="n">
        <f aca="false">YEAR(A2170)</f>
        <v>2022</v>
      </c>
    </row>
    <row r="2171" customFormat="false" ht="15" hidden="false" customHeight="false" outlineLevel="0" collapsed="false">
      <c r="A2171" s="38" t="n">
        <v>44615</v>
      </c>
      <c r="B2171" s="39" t="n">
        <v>2674</v>
      </c>
      <c r="C2171" s="40" t="n">
        <v>23208722.51</v>
      </c>
      <c r="D2171" s="40" t="n">
        <f aca="false">MAX(D2170,C2171)</f>
        <v>52853610.91</v>
      </c>
      <c r="E2171" s="41" t="n">
        <f aca="false">C2171/D2171-1</f>
        <v>-0.56088671879921</v>
      </c>
      <c r="F2171" s="42" t="n">
        <f aca="false">YEAR(A2171)</f>
        <v>2022</v>
      </c>
    </row>
    <row r="2172" customFormat="false" ht="15" hidden="false" customHeight="false" outlineLevel="0" collapsed="false">
      <c r="A2172" s="38" t="n">
        <v>44616</v>
      </c>
      <c r="B2172" s="39" t="n">
        <v>2626</v>
      </c>
      <c r="C2172" s="40" t="n">
        <v>21967442.51</v>
      </c>
      <c r="D2172" s="40" t="n">
        <f aca="false">MAX(D2171,C2172)</f>
        <v>52853610.91</v>
      </c>
      <c r="E2172" s="41" t="n">
        <f aca="false">C2172/D2172-1</f>
        <v>-0.584371963773553</v>
      </c>
      <c r="F2172" s="42" t="n">
        <f aca="false">YEAR(A2172)</f>
        <v>2022</v>
      </c>
    </row>
    <row r="2173" customFormat="false" ht="15" hidden="false" customHeight="false" outlineLevel="0" collapsed="false">
      <c r="A2173" s="38" t="n">
        <v>44617</v>
      </c>
      <c r="B2173" s="39" t="n">
        <v>2501</v>
      </c>
      <c r="C2173" s="40" t="n">
        <v>18734942.51</v>
      </c>
      <c r="D2173" s="40" t="n">
        <f aca="false">MAX(D2172,C2173)</f>
        <v>52853610.91</v>
      </c>
      <c r="E2173" s="41" t="n">
        <f aca="false">C2173/D2173-1</f>
        <v>-0.64553145589424</v>
      </c>
      <c r="F2173" s="42" t="n">
        <f aca="false">YEAR(A2173)</f>
        <v>2022</v>
      </c>
    </row>
    <row r="2174" customFormat="false" ht="15" hidden="false" customHeight="false" outlineLevel="0" collapsed="false">
      <c r="A2174" s="38" t="n">
        <v>44620</v>
      </c>
      <c r="B2174" s="39" t="n">
        <v>2603.5</v>
      </c>
      <c r="C2174" s="40" t="n">
        <v>21385592.51</v>
      </c>
      <c r="D2174" s="40" t="n">
        <f aca="false">MAX(D2173,C2174)</f>
        <v>52853610.91</v>
      </c>
      <c r="E2174" s="41" t="n">
        <f aca="false">C2174/D2174-1</f>
        <v>-0.595380672355277</v>
      </c>
      <c r="F2174" s="42" t="n">
        <f aca="false">YEAR(A2174)</f>
        <v>2022</v>
      </c>
    </row>
    <row r="2175" customFormat="false" ht="15" hidden="false" customHeight="false" outlineLevel="0" collapsed="false">
      <c r="A2175" s="38" t="n">
        <v>44621</v>
      </c>
      <c r="B2175" s="39" t="n">
        <v>2713</v>
      </c>
      <c r="C2175" s="40" t="n">
        <v>24217262.51</v>
      </c>
      <c r="D2175" s="40" t="n">
        <f aca="false">MAX(D2174,C2175)</f>
        <v>52853610.91</v>
      </c>
      <c r="E2175" s="41" t="n">
        <f aca="false">C2175/D2175-1</f>
        <v>-0.541804957257555</v>
      </c>
      <c r="F2175" s="42" t="n">
        <f aca="false">YEAR(A2175)</f>
        <v>2022</v>
      </c>
    </row>
    <row r="2176" customFormat="false" ht="15" hidden="false" customHeight="false" outlineLevel="0" collapsed="false">
      <c r="A2176" s="38" t="n">
        <v>44622</v>
      </c>
      <c r="B2176" s="39" t="n">
        <v>2766</v>
      </c>
      <c r="C2176" s="40" t="n">
        <v>25587842.51</v>
      </c>
      <c r="D2176" s="40" t="n">
        <f aca="false">MAX(D2175,C2176)</f>
        <v>52853610.91</v>
      </c>
      <c r="E2176" s="41" t="n">
        <f aca="false">C2176/D2176-1</f>
        <v>-0.515873332598384</v>
      </c>
      <c r="F2176" s="42" t="n">
        <f aca="false">YEAR(A2176)</f>
        <v>2022</v>
      </c>
    </row>
    <row r="2177" customFormat="false" ht="15" hidden="false" customHeight="false" outlineLevel="0" collapsed="false">
      <c r="A2177" s="38" t="n">
        <v>44623</v>
      </c>
      <c r="B2177" s="39" t="n">
        <v>2868.5</v>
      </c>
      <c r="C2177" s="40" t="n">
        <v>28238492.51</v>
      </c>
      <c r="D2177" s="40" t="n">
        <f aca="false">MAX(D2176,C2177)</f>
        <v>52853610.91</v>
      </c>
      <c r="E2177" s="41" t="n">
        <f aca="false">C2177/D2177-1</f>
        <v>-0.46572254905942</v>
      </c>
      <c r="F2177" s="42" t="n">
        <f aca="false">YEAR(A2177)</f>
        <v>2022</v>
      </c>
    </row>
    <row r="2178" customFormat="false" ht="15" hidden="false" customHeight="false" outlineLevel="0" collapsed="false">
      <c r="A2178" s="38" t="n">
        <v>44624</v>
      </c>
      <c r="B2178" s="39" t="n">
        <v>2852.5</v>
      </c>
      <c r="C2178" s="40" t="n">
        <v>27824732.51</v>
      </c>
      <c r="D2178" s="40" t="n">
        <f aca="false">MAX(D2177,C2178)</f>
        <v>52853610.91</v>
      </c>
      <c r="E2178" s="41" t="n">
        <f aca="false">C2178/D2178-1</f>
        <v>-0.473550964050868</v>
      </c>
      <c r="F2178" s="42" t="n">
        <f aca="false">YEAR(A2178)</f>
        <v>2022</v>
      </c>
    </row>
    <row r="2179" customFormat="false" ht="15" hidden="false" customHeight="false" outlineLevel="0" collapsed="false">
      <c r="A2179" s="38" t="n">
        <v>44627</v>
      </c>
      <c r="B2179" s="39" t="n">
        <v>3115.5</v>
      </c>
      <c r="C2179" s="40" t="n">
        <v>34625912.51</v>
      </c>
      <c r="D2179" s="40" t="n">
        <f aca="false">MAX(D2178,C2179)</f>
        <v>52853610.91</v>
      </c>
      <c r="E2179" s="41" t="n">
        <f aca="false">C2179/D2179-1</f>
        <v>-0.344871392628943</v>
      </c>
      <c r="F2179" s="42" t="n">
        <f aca="false">YEAR(A2179)</f>
        <v>2022</v>
      </c>
    </row>
    <row r="2180" customFormat="false" ht="15" hidden="false" customHeight="false" outlineLevel="0" collapsed="false">
      <c r="A2180" s="38" t="n">
        <v>44628</v>
      </c>
      <c r="B2180" s="39" t="n">
        <v>3035.5</v>
      </c>
      <c r="C2180" s="40" t="n">
        <v>32557112.51</v>
      </c>
      <c r="D2180" s="40" t="n">
        <f aca="false">MAX(D2179,C2180)</f>
        <v>52853610.91</v>
      </c>
      <c r="E2180" s="41" t="n">
        <f aca="false">C2180/D2180-1</f>
        <v>-0.384013467586183</v>
      </c>
      <c r="F2180" s="42" t="n">
        <f aca="false">YEAR(A2180)</f>
        <v>2022</v>
      </c>
    </row>
    <row r="2181" customFormat="false" ht="15" hidden="false" customHeight="false" outlineLevel="0" collapsed="false">
      <c r="A2181" s="38" t="n">
        <v>44629</v>
      </c>
      <c r="B2181" s="39" t="n">
        <v>3084</v>
      </c>
      <c r="C2181" s="40" t="n">
        <v>33811322.51</v>
      </c>
      <c r="D2181" s="40" t="n">
        <f aca="false">MAX(D2180,C2181)</f>
        <v>52853610.91</v>
      </c>
      <c r="E2181" s="41" t="n">
        <f aca="false">C2181/D2181-1</f>
        <v>-0.360283584643356</v>
      </c>
      <c r="F2181" s="42" t="n">
        <f aca="false">YEAR(A2181)</f>
        <v>2022</v>
      </c>
    </row>
    <row r="2182" customFormat="false" ht="15" hidden="false" customHeight="false" outlineLevel="0" collapsed="false">
      <c r="A2182" s="38" t="n">
        <v>44630</v>
      </c>
      <c r="B2182" s="39" t="n">
        <v>3057</v>
      </c>
      <c r="C2182" s="40" t="n">
        <v>33113102.51</v>
      </c>
      <c r="D2182" s="40" t="n">
        <f aca="false">MAX(D2181,C2182)</f>
        <v>52853610.91</v>
      </c>
      <c r="E2182" s="41" t="n">
        <f aca="false">C2182/D2182-1</f>
        <v>-0.373494034941425</v>
      </c>
      <c r="F2182" s="42" t="n">
        <f aca="false">YEAR(A2182)</f>
        <v>2022</v>
      </c>
    </row>
    <row r="2183" customFormat="false" ht="15" hidden="false" customHeight="false" outlineLevel="0" collapsed="false">
      <c r="A2183" s="38" t="n">
        <v>44631</v>
      </c>
      <c r="B2183" s="39" t="n">
        <v>3013.5</v>
      </c>
      <c r="C2183" s="40" t="n">
        <v>31988192.51</v>
      </c>
      <c r="D2183" s="40" t="n">
        <f aca="false">MAX(D2182,C2183)</f>
        <v>52853610.91</v>
      </c>
      <c r="E2183" s="41" t="n">
        <f aca="false">C2183/D2183-1</f>
        <v>-0.394777538199424</v>
      </c>
      <c r="F2183" s="42" t="n">
        <f aca="false">YEAR(A2183)</f>
        <v>2022</v>
      </c>
    </row>
    <row r="2184" customFormat="false" ht="15" hidden="false" customHeight="false" outlineLevel="0" collapsed="false">
      <c r="A2184" s="38" t="n">
        <v>44634</v>
      </c>
      <c r="B2184" s="39" t="n">
        <v>2775</v>
      </c>
      <c r="C2184" s="40" t="n">
        <v>25820582.51</v>
      </c>
      <c r="D2184" s="40" t="n">
        <f aca="false">MAX(D2183,C2184)</f>
        <v>52853610.91</v>
      </c>
      <c r="E2184" s="41" t="n">
        <f aca="false">C2184/D2184-1</f>
        <v>-0.511469849165694</v>
      </c>
      <c r="F2184" s="42" t="n">
        <f aca="false">YEAR(A2184)</f>
        <v>2022</v>
      </c>
    </row>
    <row r="2185" customFormat="false" ht="15" hidden="false" customHeight="false" outlineLevel="0" collapsed="false">
      <c r="A2185" s="38" t="n">
        <v>44635</v>
      </c>
      <c r="B2185" s="39" t="n">
        <v>2756.5</v>
      </c>
      <c r="C2185" s="40" t="n">
        <v>25342172.51</v>
      </c>
      <c r="D2185" s="40" t="n">
        <f aca="false">MAX(D2184,C2185)</f>
        <v>52853610.91</v>
      </c>
      <c r="E2185" s="41" t="n">
        <f aca="false">C2185/D2185-1</f>
        <v>-0.520521453999556</v>
      </c>
      <c r="F2185" s="42" t="n">
        <f aca="false">YEAR(A2185)</f>
        <v>2022</v>
      </c>
    </row>
    <row r="2186" customFormat="false" ht="15" hidden="false" customHeight="false" outlineLevel="0" collapsed="false">
      <c r="A2186" s="38" t="n">
        <v>44636</v>
      </c>
      <c r="B2186" s="39" t="n">
        <v>2892</v>
      </c>
      <c r="C2186" s="40" t="n">
        <v>28846202.51</v>
      </c>
      <c r="D2186" s="40" t="n">
        <f aca="false">MAX(D2185,C2186)</f>
        <v>52853610.91</v>
      </c>
      <c r="E2186" s="41" t="n">
        <f aca="false">C2186/D2186-1</f>
        <v>-0.454224564540731</v>
      </c>
      <c r="F2186" s="42" t="n">
        <f aca="false">YEAR(A2186)</f>
        <v>2022</v>
      </c>
    </row>
    <row r="2187" customFormat="false" ht="15" hidden="false" customHeight="false" outlineLevel="0" collapsed="false">
      <c r="A2187" s="38" t="n">
        <v>44637</v>
      </c>
      <c r="B2187" s="39" t="n">
        <v>2874</v>
      </c>
      <c r="C2187" s="40" t="n">
        <v>28380722.51</v>
      </c>
      <c r="D2187" s="40" t="n">
        <f aca="false">MAX(D2186,C2187)</f>
        <v>52853610.91</v>
      </c>
      <c r="E2187" s="41" t="n">
        <f aca="false">C2187/D2187-1</f>
        <v>-0.46303153140611</v>
      </c>
      <c r="F2187" s="42" t="n">
        <f aca="false">YEAR(A2187)</f>
        <v>2022</v>
      </c>
    </row>
    <row r="2188" customFormat="false" ht="15" hidden="false" customHeight="false" outlineLevel="0" collapsed="false">
      <c r="A2188" s="38" t="n">
        <v>44638</v>
      </c>
      <c r="B2188" s="39" t="n">
        <v>3027.5</v>
      </c>
      <c r="C2188" s="40" t="n">
        <v>32350232.51</v>
      </c>
      <c r="D2188" s="40" t="n">
        <f aca="false">MAX(D2187,C2188)</f>
        <v>52853610.91</v>
      </c>
      <c r="E2188" s="41" t="n">
        <f aca="false">C2188/D2188-1</f>
        <v>-0.387927675081907</v>
      </c>
      <c r="F2188" s="42" t="n">
        <f aca="false">YEAR(A2188)</f>
        <v>2022</v>
      </c>
    </row>
    <row r="2189" customFormat="false" ht="15" hidden="false" customHeight="false" outlineLevel="0" collapsed="false">
      <c r="A2189" s="38" t="n">
        <v>44641</v>
      </c>
      <c r="B2189" s="39" t="n">
        <v>2997.5</v>
      </c>
      <c r="C2189" s="40" t="n">
        <v>31574432.51</v>
      </c>
      <c r="D2189" s="40" t="n">
        <f aca="false">MAX(D2188,C2189)</f>
        <v>52853610.91</v>
      </c>
      <c r="E2189" s="41" t="n">
        <f aca="false">C2189/D2189-1</f>
        <v>-0.402605953190872</v>
      </c>
      <c r="F2189" s="42" t="n">
        <f aca="false">YEAR(A2189)</f>
        <v>2022</v>
      </c>
    </row>
    <row r="2190" customFormat="false" ht="15" hidden="false" customHeight="false" outlineLevel="0" collapsed="false">
      <c r="A2190" s="38" t="n">
        <v>44642</v>
      </c>
      <c r="B2190" s="39" t="n">
        <v>2908.5</v>
      </c>
      <c r="C2190" s="40" t="n">
        <v>29272892.51</v>
      </c>
      <c r="D2190" s="40" t="n">
        <f aca="false">MAX(D2189,C2190)</f>
        <v>52853610.91</v>
      </c>
      <c r="E2190" s="41" t="n">
        <f aca="false">C2190/D2190-1</f>
        <v>-0.446151511580801</v>
      </c>
      <c r="F2190" s="42" t="n">
        <f aca="false">YEAR(A2190)</f>
        <v>2022</v>
      </c>
    </row>
    <row r="2191" customFormat="false" ht="15" hidden="false" customHeight="false" outlineLevel="0" collapsed="false">
      <c r="A2191" s="38" t="n">
        <v>44643</v>
      </c>
      <c r="B2191" s="39" t="n">
        <v>2925.5</v>
      </c>
      <c r="C2191" s="40" t="n">
        <v>29712512.51</v>
      </c>
      <c r="D2191" s="40" t="n">
        <f aca="false">MAX(D2190,C2191)</f>
        <v>52853610.91</v>
      </c>
      <c r="E2191" s="41" t="n">
        <f aca="false">C2191/D2191-1</f>
        <v>-0.437833820652387</v>
      </c>
      <c r="F2191" s="42" t="n">
        <f aca="false">YEAR(A2191)</f>
        <v>2022</v>
      </c>
    </row>
    <row r="2192" customFormat="false" ht="15" hidden="false" customHeight="false" outlineLevel="0" collapsed="false">
      <c r="A2192" s="38" t="n">
        <v>44644</v>
      </c>
      <c r="B2192" s="39" t="n">
        <v>2978</v>
      </c>
      <c r="C2192" s="40" t="n">
        <v>31070162.51</v>
      </c>
      <c r="D2192" s="40" t="n">
        <f aca="false">MAX(D2191,C2192)</f>
        <v>52853610.91</v>
      </c>
      <c r="E2192" s="41" t="n">
        <f aca="false">C2192/D2192-1</f>
        <v>-0.412146833961699</v>
      </c>
      <c r="F2192" s="42" t="n">
        <f aca="false">YEAR(A2192)</f>
        <v>2022</v>
      </c>
    </row>
    <row r="2193" customFormat="false" ht="15" hidden="false" customHeight="false" outlineLevel="0" collapsed="false">
      <c r="A2193" s="38" t="n">
        <v>44645</v>
      </c>
      <c r="B2193" s="39" t="n">
        <v>3087.5</v>
      </c>
      <c r="C2193" s="40" t="n">
        <v>33901832.51</v>
      </c>
      <c r="D2193" s="40" t="n">
        <f aca="false">MAX(D2192,C2193)</f>
        <v>52853610.91</v>
      </c>
      <c r="E2193" s="41" t="n">
        <f aca="false">C2193/D2193-1</f>
        <v>-0.358571118863977</v>
      </c>
      <c r="F2193" s="42" t="n">
        <f aca="false">YEAR(A2193)</f>
        <v>2022</v>
      </c>
    </row>
    <row r="2194" customFormat="false" ht="15" hidden="false" customHeight="false" outlineLevel="0" collapsed="false">
      <c r="A2194" s="38" t="n">
        <v>44648</v>
      </c>
      <c r="B2194" s="39" t="n">
        <v>3089</v>
      </c>
      <c r="C2194" s="40" t="n">
        <v>33940622.51</v>
      </c>
      <c r="D2194" s="40" t="n">
        <f aca="false">MAX(D2193,C2194)</f>
        <v>52853610.91</v>
      </c>
      <c r="E2194" s="41" t="n">
        <f aca="false">C2194/D2194-1</f>
        <v>-0.357837204958529</v>
      </c>
      <c r="F2194" s="42" t="n">
        <f aca="false">YEAR(A2194)</f>
        <v>2022</v>
      </c>
    </row>
    <row r="2195" customFormat="false" ht="15" hidden="false" customHeight="false" outlineLevel="0" collapsed="false">
      <c r="A2195" s="38" t="n">
        <v>44649</v>
      </c>
      <c r="B2195" s="39" t="n">
        <v>3164</v>
      </c>
      <c r="C2195" s="40" t="n">
        <v>35880122.51</v>
      </c>
      <c r="D2195" s="40" t="n">
        <f aca="false">MAX(D2194,C2195)</f>
        <v>52853610.91</v>
      </c>
      <c r="E2195" s="41" t="n">
        <f aca="false">C2195/D2195-1</f>
        <v>-0.321141509686117</v>
      </c>
      <c r="F2195" s="42" t="n">
        <f aca="false">YEAR(A2195)</f>
        <v>2022</v>
      </c>
    </row>
    <row r="2196" customFormat="false" ht="15" hidden="false" customHeight="false" outlineLevel="0" collapsed="false">
      <c r="A2196" s="38" t="n">
        <v>44650</v>
      </c>
      <c r="B2196" s="39" t="n">
        <v>3136</v>
      </c>
      <c r="C2196" s="40" t="n">
        <v>35156042.51</v>
      </c>
      <c r="D2196" s="40" t="n">
        <f aca="false">MAX(D2195,C2196)</f>
        <v>52853610.91</v>
      </c>
      <c r="E2196" s="41" t="n">
        <f aca="false">C2196/D2196-1</f>
        <v>-0.33484123592115</v>
      </c>
      <c r="F2196" s="42" t="n">
        <f aca="false">YEAR(A2196)</f>
        <v>2022</v>
      </c>
    </row>
    <row r="2197" customFormat="false" ht="15" hidden="false" customHeight="false" outlineLevel="0" collapsed="false">
      <c r="A2197" s="38" t="n">
        <v>44651</v>
      </c>
      <c r="B2197" s="39" t="n">
        <v>3145.5</v>
      </c>
      <c r="C2197" s="40" t="n">
        <v>35401712.51</v>
      </c>
      <c r="D2197" s="40" t="n">
        <f aca="false">MAX(D2196,C2197)</f>
        <v>52853610.91</v>
      </c>
      <c r="E2197" s="41" t="n">
        <f aca="false">C2197/D2197-1</f>
        <v>-0.330193114519978</v>
      </c>
      <c r="F2197" s="42" t="n">
        <f aca="false">YEAR(A2197)</f>
        <v>2022</v>
      </c>
    </row>
    <row r="2198" customFormat="false" ht="15" hidden="false" customHeight="false" outlineLevel="0" collapsed="false">
      <c r="A2198" s="38" t="n">
        <v>44652</v>
      </c>
      <c r="B2198" s="39" t="n">
        <v>3194</v>
      </c>
      <c r="C2198" s="40" t="n">
        <v>36655922.51</v>
      </c>
      <c r="D2198" s="40" t="n">
        <f aca="false">MAX(D2197,C2198)</f>
        <v>52853610.91</v>
      </c>
      <c r="E2198" s="41" t="n">
        <f aca="false">C2198/D2198-1</f>
        <v>-0.306463231577152</v>
      </c>
      <c r="F2198" s="42" t="n">
        <f aca="false">YEAR(A2198)</f>
        <v>2022</v>
      </c>
    </row>
    <row r="2199" customFormat="false" ht="15" hidden="false" customHeight="false" outlineLevel="0" collapsed="false">
      <c r="A2199" s="38" t="n">
        <v>44657</v>
      </c>
      <c r="B2199" s="39" t="n">
        <v>3169</v>
      </c>
      <c r="C2199" s="40" t="n">
        <v>36009422.51</v>
      </c>
      <c r="D2199" s="40" t="n">
        <f aca="false">MAX(D2198,C2199)</f>
        <v>52853610.91</v>
      </c>
      <c r="E2199" s="41" t="n">
        <f aca="false">C2199/D2199-1</f>
        <v>-0.318695130001289</v>
      </c>
      <c r="F2199" s="42" t="n">
        <f aca="false">YEAR(A2199)</f>
        <v>2022</v>
      </c>
    </row>
    <row r="2200" customFormat="false" ht="15" hidden="false" customHeight="false" outlineLevel="0" collapsed="false">
      <c r="A2200" s="38" t="n">
        <v>44658</v>
      </c>
      <c r="B2200" s="39" t="n">
        <v>3113</v>
      </c>
      <c r="C2200" s="40" t="n">
        <v>34561262.51</v>
      </c>
      <c r="D2200" s="40" t="n">
        <f aca="false">MAX(D2199,C2200)</f>
        <v>52853610.91</v>
      </c>
      <c r="E2200" s="41" t="n">
        <f aca="false">C2200/D2200-1</f>
        <v>-0.346094582471357</v>
      </c>
      <c r="F2200" s="42" t="n">
        <f aca="false">YEAR(A2200)</f>
        <v>2022</v>
      </c>
    </row>
    <row r="2201" customFormat="false" ht="15" hidden="false" customHeight="false" outlineLevel="0" collapsed="false">
      <c r="A2201" s="38" t="n">
        <v>44659</v>
      </c>
      <c r="B2201" s="39" t="n">
        <v>3121</v>
      </c>
      <c r="C2201" s="40" t="n">
        <v>34768142.51</v>
      </c>
      <c r="D2201" s="40" t="n">
        <f aca="false">MAX(D2200,C2201)</f>
        <v>52853610.91</v>
      </c>
      <c r="E2201" s="41" t="n">
        <f aca="false">C2201/D2201-1</f>
        <v>-0.342180374975633</v>
      </c>
      <c r="F2201" s="42" t="n">
        <f aca="false">YEAR(A2201)</f>
        <v>2022</v>
      </c>
    </row>
    <row r="2202" customFormat="false" ht="15" hidden="false" customHeight="false" outlineLevel="0" collapsed="false">
      <c r="A2202" s="38" t="n">
        <v>44662</v>
      </c>
      <c r="B2202" s="39" t="n">
        <v>3021</v>
      </c>
      <c r="C2202" s="40" t="n">
        <v>32182142.51</v>
      </c>
      <c r="D2202" s="40" t="n">
        <f aca="false">MAX(D2201,C2202)</f>
        <v>52853610.91</v>
      </c>
      <c r="E2202" s="41" t="n">
        <f aca="false">C2202/D2202-1</f>
        <v>-0.391107968672182</v>
      </c>
      <c r="F2202" s="42" t="n">
        <f aca="false">YEAR(A2202)</f>
        <v>2022</v>
      </c>
    </row>
    <row r="2203" customFormat="false" ht="15" hidden="false" customHeight="false" outlineLevel="0" collapsed="false">
      <c r="A2203" s="38" t="n">
        <v>44663</v>
      </c>
      <c r="B2203" s="39" t="n">
        <v>3163.5</v>
      </c>
      <c r="C2203" s="40" t="n">
        <v>35867192.51</v>
      </c>
      <c r="D2203" s="40" t="n">
        <f aca="false">MAX(D2202,C2203)</f>
        <v>52853610.91</v>
      </c>
      <c r="E2203" s="41" t="n">
        <f aca="false">C2203/D2203-1</f>
        <v>-0.321386147654599</v>
      </c>
      <c r="F2203" s="42" t="n">
        <f aca="false">YEAR(A2203)</f>
        <v>2022</v>
      </c>
    </row>
    <row r="2204" customFormat="false" ht="15" hidden="false" customHeight="false" outlineLevel="0" collapsed="false">
      <c r="A2204" s="38" t="n">
        <v>44664</v>
      </c>
      <c r="B2204" s="39" t="n">
        <v>3123</v>
      </c>
      <c r="C2204" s="40" t="n">
        <v>34819862.51</v>
      </c>
      <c r="D2204" s="40" t="n">
        <f aca="false">MAX(D2203,C2204)</f>
        <v>52853610.91</v>
      </c>
      <c r="E2204" s="41" t="n">
        <f aca="false">C2204/D2204-1</f>
        <v>-0.341201823101702</v>
      </c>
      <c r="F2204" s="42" t="n">
        <f aca="false">YEAR(A2204)</f>
        <v>2022</v>
      </c>
    </row>
    <row r="2205" customFormat="false" ht="15" hidden="false" customHeight="false" outlineLevel="0" collapsed="false">
      <c r="A2205" s="38" t="n">
        <v>44665</v>
      </c>
      <c r="B2205" s="39" t="n">
        <v>3184</v>
      </c>
      <c r="C2205" s="40" t="n">
        <v>36397322.51</v>
      </c>
      <c r="D2205" s="40" t="n">
        <f aca="false">MAX(D2204,C2205)</f>
        <v>52853610.91</v>
      </c>
      <c r="E2205" s="41" t="n">
        <f aca="false">C2205/D2205-1</f>
        <v>-0.311355990946807</v>
      </c>
      <c r="F2205" s="42" t="n">
        <f aca="false">YEAR(A2205)</f>
        <v>2022</v>
      </c>
    </row>
    <row r="2206" customFormat="false" ht="15" hidden="false" customHeight="false" outlineLevel="0" collapsed="false">
      <c r="A2206" s="38" t="n">
        <v>44666</v>
      </c>
      <c r="B2206" s="39" t="n">
        <v>3196.5</v>
      </c>
      <c r="C2206" s="40" t="n">
        <v>36720572.51</v>
      </c>
      <c r="D2206" s="40" t="n">
        <f aca="false">MAX(D2205,C2206)</f>
        <v>52853610.91</v>
      </c>
      <c r="E2206" s="41" t="n">
        <f aca="false">C2206/D2206-1</f>
        <v>-0.305240041734738</v>
      </c>
      <c r="F2206" s="42" t="n">
        <f aca="false">YEAR(A2206)</f>
        <v>2022</v>
      </c>
    </row>
    <row r="2207" customFormat="false" ht="15" hidden="false" customHeight="false" outlineLevel="0" collapsed="false">
      <c r="A2207" s="38" t="n">
        <v>44669</v>
      </c>
      <c r="B2207" s="39" t="n">
        <v>3161.5</v>
      </c>
      <c r="C2207" s="40" t="n">
        <v>35815472.51</v>
      </c>
      <c r="D2207" s="40" t="n">
        <f aca="false">MAX(D2206,C2207)</f>
        <v>52853610.91</v>
      </c>
      <c r="E2207" s="41" t="n">
        <f aca="false">C2207/D2207-1</f>
        <v>-0.32236469952853</v>
      </c>
      <c r="F2207" s="42" t="n">
        <f aca="false">YEAR(A2207)</f>
        <v>2022</v>
      </c>
    </row>
    <row r="2208" customFormat="false" ht="15" hidden="false" customHeight="false" outlineLevel="0" collapsed="false">
      <c r="A2208" s="38" t="n">
        <v>44670</v>
      </c>
      <c r="B2208" s="39" t="n">
        <v>3033</v>
      </c>
      <c r="C2208" s="40" t="n">
        <v>32492462.51</v>
      </c>
      <c r="D2208" s="40" t="n">
        <f aca="false">MAX(D2207,C2208)</f>
        <v>52853610.91</v>
      </c>
      <c r="E2208" s="41" t="n">
        <f aca="false">C2208/D2208-1</f>
        <v>-0.385236657428596</v>
      </c>
      <c r="F2208" s="42" t="n">
        <f aca="false">YEAR(A2208)</f>
        <v>2022</v>
      </c>
    </row>
    <row r="2209" customFormat="false" ht="15" hidden="false" customHeight="false" outlineLevel="0" collapsed="false">
      <c r="A2209" s="38" t="n">
        <v>44671</v>
      </c>
      <c r="B2209" s="39" t="n">
        <v>3025</v>
      </c>
      <c r="C2209" s="40" t="n">
        <v>34104769.63</v>
      </c>
      <c r="D2209" s="40" t="n">
        <f aca="false">MAX(D2208,C2209)</f>
        <v>52853610.91</v>
      </c>
      <c r="E2209" s="41" t="n">
        <f aca="false">C2209/D2209-1</f>
        <v>-0.354731511380099</v>
      </c>
      <c r="F2209" s="42" t="n">
        <f aca="false">YEAR(A2209)</f>
        <v>2022</v>
      </c>
    </row>
    <row r="2210" customFormat="false" ht="15" hidden="false" customHeight="false" outlineLevel="0" collapsed="false">
      <c r="A2210" s="38" t="n">
        <v>44672</v>
      </c>
      <c r="B2210" s="39" t="n">
        <v>3074.5</v>
      </c>
      <c r="C2210" s="40" t="n">
        <v>31880239.63</v>
      </c>
      <c r="D2210" s="40" t="n">
        <f aca="false">MAX(D2209,C2210)</f>
        <v>52853610.91</v>
      </c>
      <c r="E2210" s="41" t="n">
        <f aca="false">C2210/D2210-1</f>
        <v>-0.396820026463543</v>
      </c>
      <c r="F2210" s="42" t="n">
        <f aca="false">YEAR(A2210)</f>
        <v>2022</v>
      </c>
    </row>
    <row r="2211" customFormat="false" ht="15" hidden="false" customHeight="false" outlineLevel="0" collapsed="false">
      <c r="A2211" s="38" t="n">
        <v>44673</v>
      </c>
      <c r="B2211" s="39" t="n">
        <v>3018</v>
      </c>
      <c r="C2211" s="40" t="n">
        <v>34419349.63</v>
      </c>
      <c r="D2211" s="40" t="n">
        <f aca="false">MAX(D2210,C2211)</f>
        <v>52853610.91</v>
      </c>
      <c r="E2211" s="41" t="n">
        <f aca="false">C2211/D2211-1</f>
        <v>-0.348779600156178</v>
      </c>
      <c r="F2211" s="42" t="n">
        <f aca="false">YEAR(A2211)</f>
        <v>2022</v>
      </c>
    </row>
    <row r="2212" customFormat="false" ht="15" hidden="false" customHeight="false" outlineLevel="0" collapsed="false">
      <c r="A2212" s="38" t="n">
        <v>44676</v>
      </c>
      <c r="B2212" s="39" t="n">
        <v>2895.5</v>
      </c>
      <c r="C2212" s="40" t="n">
        <v>39924499.63</v>
      </c>
      <c r="D2212" s="40" t="n">
        <f aca="false">MAX(D2211,C2212)</f>
        <v>52853610.91</v>
      </c>
      <c r="E2212" s="41" t="n">
        <f aca="false">C2212/D2212-1</f>
        <v>-0.244621153737554</v>
      </c>
      <c r="F2212" s="42" t="n">
        <f aca="false">YEAR(A2212)</f>
        <v>2022</v>
      </c>
    </row>
    <row r="2213" customFormat="false" ht="15" hidden="false" customHeight="false" outlineLevel="0" collapsed="false">
      <c r="A2213" s="38" t="n">
        <v>44677</v>
      </c>
      <c r="B2213" s="39" t="n">
        <v>2934</v>
      </c>
      <c r="C2213" s="40" t="n">
        <v>38194309.63</v>
      </c>
      <c r="D2213" s="40" t="n">
        <f aca="false">MAX(D2212,C2213)</f>
        <v>52853610.91</v>
      </c>
      <c r="E2213" s="41" t="n">
        <f aca="false">C2213/D2213-1</f>
        <v>-0.277356665469122</v>
      </c>
      <c r="F2213" s="42" t="n">
        <f aca="false">YEAR(A2213)</f>
        <v>2022</v>
      </c>
    </row>
    <row r="2214" customFormat="false" ht="15" hidden="false" customHeight="false" outlineLevel="0" collapsed="false">
      <c r="A2214" s="38" t="n">
        <v>44678</v>
      </c>
      <c r="B2214" s="39" t="n">
        <v>2861.5</v>
      </c>
      <c r="C2214" s="40" t="n">
        <v>41452459.63</v>
      </c>
      <c r="D2214" s="40" t="n">
        <f aca="false">MAX(D2213,C2214)</f>
        <v>52853610.91</v>
      </c>
      <c r="E2214" s="41" t="n">
        <f aca="false">C2214/D2214-1</f>
        <v>-0.215711870649937</v>
      </c>
      <c r="F2214" s="42" t="n">
        <f aca="false">YEAR(A2214)</f>
        <v>2022</v>
      </c>
    </row>
    <row r="2215" customFormat="false" ht="15" hidden="false" customHeight="false" outlineLevel="0" collapsed="false">
      <c r="A2215" s="38" t="n">
        <v>44679</v>
      </c>
      <c r="B2215" s="39" t="n">
        <v>2851</v>
      </c>
      <c r="C2215" s="40" t="n">
        <v>41924329.63</v>
      </c>
      <c r="D2215" s="40" t="n">
        <f aca="false">MAX(D2214,C2215)</f>
        <v>52853610.91</v>
      </c>
      <c r="E2215" s="41" t="n">
        <f aca="false">C2215/D2215-1</f>
        <v>-0.206784003814054</v>
      </c>
      <c r="F2215" s="42" t="n">
        <f aca="false">YEAR(A2215)</f>
        <v>2022</v>
      </c>
    </row>
    <row r="2216" customFormat="false" ht="15" hidden="false" customHeight="false" outlineLevel="0" collapsed="false">
      <c r="A2216" s="38" t="n">
        <v>44680</v>
      </c>
      <c r="B2216" s="39" t="n">
        <v>2862.5</v>
      </c>
      <c r="C2216" s="40" t="n">
        <v>41407519.63</v>
      </c>
      <c r="D2216" s="40" t="n">
        <f aca="false">MAX(D2215,C2216)</f>
        <v>52853610.91</v>
      </c>
      <c r="E2216" s="41" t="n">
        <f aca="false">C2216/D2216-1</f>
        <v>-0.216562143681925</v>
      </c>
      <c r="F2216" s="42" t="n">
        <f aca="false">YEAR(A2216)</f>
        <v>2022</v>
      </c>
    </row>
    <row r="2217" customFormat="false" ht="15" hidden="false" customHeight="false" outlineLevel="0" collapsed="false">
      <c r="A2217" s="38" t="n">
        <v>44686</v>
      </c>
      <c r="B2217" s="39" t="n">
        <v>2790.5</v>
      </c>
      <c r="C2217" s="40" t="n">
        <v>44643199.63</v>
      </c>
      <c r="D2217" s="40" t="n">
        <f aca="false">MAX(D2216,C2217)</f>
        <v>52853610.91</v>
      </c>
      <c r="E2217" s="41" t="n">
        <f aca="false">C2217/D2217-1</f>
        <v>-0.155342485378734</v>
      </c>
      <c r="F2217" s="42" t="n">
        <f aca="false">YEAR(A2217)</f>
        <v>2022</v>
      </c>
    </row>
    <row r="2218" customFormat="false" ht="15" hidden="false" customHeight="false" outlineLevel="0" collapsed="false">
      <c r="A2218" s="38" t="n">
        <v>44687</v>
      </c>
      <c r="B2218" s="39" t="n">
        <v>2737</v>
      </c>
      <c r="C2218" s="40" t="n">
        <v>47047489.63</v>
      </c>
      <c r="D2218" s="40" t="n">
        <f aca="false">MAX(D2217,C2218)</f>
        <v>52853610.91</v>
      </c>
      <c r="E2218" s="41" t="n">
        <f aca="false">C2218/D2218-1</f>
        <v>-0.109852878167336</v>
      </c>
      <c r="F2218" s="42" t="n">
        <f aca="false">YEAR(A2218)</f>
        <v>2022</v>
      </c>
    </row>
    <row r="2219" customFormat="false" ht="15" hidden="false" customHeight="false" outlineLevel="0" collapsed="false">
      <c r="A2219" s="38" t="n">
        <v>44690</v>
      </c>
      <c r="B2219" s="39" t="n">
        <v>2665.5</v>
      </c>
      <c r="C2219" s="40" t="n">
        <v>50260699.63</v>
      </c>
      <c r="D2219" s="40" t="n">
        <f aca="false">MAX(D2218,C2219)</f>
        <v>52853610.91</v>
      </c>
      <c r="E2219" s="41" t="n">
        <f aca="false">C2219/D2219-1</f>
        <v>-0.0490583563801392</v>
      </c>
      <c r="F2219" s="42" t="n">
        <f aca="false">YEAR(A2219)</f>
        <v>2022</v>
      </c>
    </row>
    <row r="2220" customFormat="false" ht="15" hidden="false" customHeight="false" outlineLevel="0" collapsed="false">
      <c r="A2220" s="38" t="n">
        <v>44691</v>
      </c>
      <c r="B2220" s="39" t="n">
        <v>2626</v>
      </c>
      <c r="C2220" s="40" t="n">
        <v>52035829.63</v>
      </c>
      <c r="D2220" s="40" t="n">
        <f aca="false">MAX(D2219,C2220)</f>
        <v>52853610.91</v>
      </c>
      <c r="E2220" s="41" t="n">
        <f aca="false">C2220/D2220-1</f>
        <v>-0.0154725716165831</v>
      </c>
      <c r="F2220" s="42" t="n">
        <f aca="false">YEAR(A2220)</f>
        <v>2022</v>
      </c>
    </row>
    <row r="2221" customFormat="false" ht="15" hidden="false" customHeight="false" outlineLevel="0" collapsed="false">
      <c r="A2221" s="38" t="n">
        <v>44692</v>
      </c>
      <c r="B2221" s="39" t="n">
        <v>2664.5</v>
      </c>
      <c r="C2221" s="40" t="n">
        <v>50305639.63</v>
      </c>
      <c r="D2221" s="40" t="n">
        <f aca="false">MAX(D2220,C2221)</f>
        <v>52853610.91</v>
      </c>
      <c r="E2221" s="41" t="n">
        <f aca="false">C2221/D2221-1</f>
        <v>-0.0482080833481504</v>
      </c>
      <c r="F2221" s="42" t="n">
        <f aca="false">YEAR(A2221)</f>
        <v>2022</v>
      </c>
    </row>
    <row r="2222" customFormat="false" ht="15" hidden="false" customHeight="false" outlineLevel="0" collapsed="false">
      <c r="A2222" s="38" t="n">
        <v>44693</v>
      </c>
      <c r="B2222" s="39" t="n">
        <v>2547</v>
      </c>
      <c r="C2222" s="40" t="n">
        <v>55586089.63</v>
      </c>
      <c r="D2222" s="40" t="n">
        <f aca="false">MAX(D2221,C2222)</f>
        <v>55586089.63</v>
      </c>
      <c r="E2222" s="41" t="n">
        <f aca="false">C2222/D2222-1</f>
        <v>0</v>
      </c>
      <c r="F2222" s="42" t="n">
        <f aca="false">YEAR(A2222)</f>
        <v>2022</v>
      </c>
    </row>
    <row r="2223" customFormat="false" ht="15" hidden="false" customHeight="false" outlineLevel="0" collapsed="false">
      <c r="A2223" s="38" t="n">
        <v>44694</v>
      </c>
      <c r="B2223" s="39" t="n">
        <v>2577</v>
      </c>
      <c r="C2223" s="40" t="n">
        <v>54237889.63</v>
      </c>
      <c r="D2223" s="40" t="n">
        <f aca="false">MAX(D2222,C2223)</f>
        <v>55586089.63</v>
      </c>
      <c r="E2223" s="41" t="n">
        <f aca="false">C2223/D2223-1</f>
        <v>-0.0242542695299144</v>
      </c>
      <c r="F2223" s="42" t="n">
        <f aca="false">YEAR(A2223)</f>
        <v>2022</v>
      </c>
    </row>
    <row r="2224" customFormat="false" ht="15" hidden="false" customHeight="false" outlineLevel="0" collapsed="false">
      <c r="A2224" s="38" t="n">
        <v>44697</v>
      </c>
      <c r="B2224" s="39" t="n">
        <v>2698.5</v>
      </c>
      <c r="C2224" s="40" t="n">
        <v>48777679.63</v>
      </c>
      <c r="D2224" s="40" t="n">
        <f aca="false">MAX(D2223,C2224)</f>
        <v>55586089.63</v>
      </c>
      <c r="E2224" s="41" t="n">
        <f aca="false">C2224/D2224-1</f>
        <v>-0.122484061126068</v>
      </c>
      <c r="F2224" s="42" t="n">
        <f aca="false">YEAR(A2224)</f>
        <v>2022</v>
      </c>
    </row>
    <row r="2225" customFormat="false" ht="15" hidden="false" customHeight="false" outlineLevel="0" collapsed="false">
      <c r="A2225" s="38" t="n">
        <v>44698</v>
      </c>
      <c r="B2225" s="39" t="n">
        <v>2710.5</v>
      </c>
      <c r="C2225" s="40" t="n">
        <v>48238399.63</v>
      </c>
      <c r="D2225" s="40" t="n">
        <f aca="false">MAX(D2224,C2225)</f>
        <v>55586089.63</v>
      </c>
      <c r="E2225" s="41" t="n">
        <f aca="false">C2225/D2225-1</f>
        <v>-0.132185768938033</v>
      </c>
      <c r="F2225" s="42" t="n">
        <f aca="false">YEAR(A2225)</f>
        <v>2022</v>
      </c>
    </row>
    <row r="2226" customFormat="false" ht="15" hidden="false" customHeight="false" outlineLevel="0" collapsed="false">
      <c r="A2226" s="38" t="n">
        <v>44699</v>
      </c>
      <c r="B2226" s="39" t="n">
        <v>2584.5</v>
      </c>
      <c r="C2226" s="40" t="n">
        <v>53900839.63</v>
      </c>
      <c r="D2226" s="40" t="n">
        <f aca="false">MAX(D2225,C2226)</f>
        <v>55586089.63</v>
      </c>
      <c r="E2226" s="41" t="n">
        <f aca="false">C2226/D2226-1</f>
        <v>-0.030317836912393</v>
      </c>
      <c r="F2226" s="42" t="n">
        <f aca="false">YEAR(A2226)</f>
        <v>2022</v>
      </c>
    </row>
    <row r="2227" customFormat="false" ht="15" hidden="false" customHeight="false" outlineLevel="0" collapsed="false">
      <c r="A2227" s="38" t="n">
        <v>44700</v>
      </c>
      <c r="B2227" s="39" t="n">
        <v>2614</v>
      </c>
      <c r="C2227" s="40" t="n">
        <v>52575109.63</v>
      </c>
      <c r="D2227" s="40" t="n">
        <f aca="false">MAX(D2226,C2227)</f>
        <v>55586089.63</v>
      </c>
      <c r="E2227" s="41" t="n">
        <f aca="false">C2227/D2227-1</f>
        <v>-0.0541678686168088</v>
      </c>
      <c r="F2227" s="42" t="n">
        <f aca="false">YEAR(A2227)</f>
        <v>2022</v>
      </c>
    </row>
    <row r="2228" customFormat="false" ht="15" hidden="false" customHeight="false" outlineLevel="0" collapsed="false">
      <c r="A2228" s="38" t="n">
        <v>44701</v>
      </c>
      <c r="B2228" s="39" t="n">
        <v>2667.5</v>
      </c>
      <c r="C2228" s="40" t="n">
        <v>50170819.63</v>
      </c>
      <c r="D2228" s="40" t="n">
        <f aca="false">MAX(D2227,C2228)</f>
        <v>55586089.63</v>
      </c>
      <c r="E2228" s="41" t="n">
        <f aca="false">C2228/D2228-1</f>
        <v>-0.0974213159451561</v>
      </c>
      <c r="F2228" s="42" t="n">
        <f aca="false">YEAR(A2228)</f>
        <v>2022</v>
      </c>
    </row>
    <row r="2229" customFormat="false" ht="15" hidden="false" customHeight="false" outlineLevel="0" collapsed="false">
      <c r="A2229" s="38" t="n">
        <v>44704</v>
      </c>
      <c r="B2229" s="39" t="n">
        <v>2564</v>
      </c>
      <c r="C2229" s="40" t="n">
        <v>54822109.63</v>
      </c>
      <c r="D2229" s="40" t="n">
        <f aca="false">MAX(D2228,C2229)</f>
        <v>55586089.63</v>
      </c>
      <c r="E2229" s="41" t="n">
        <f aca="false">C2229/D2229-1</f>
        <v>-0.0137440860669515</v>
      </c>
      <c r="F2229" s="42" t="n">
        <f aca="false">YEAR(A2229)</f>
        <v>2022</v>
      </c>
    </row>
    <row r="2230" customFormat="false" ht="15" hidden="false" customHeight="false" outlineLevel="0" collapsed="false">
      <c r="A2230" s="38" t="n">
        <v>44705</v>
      </c>
      <c r="B2230" s="39" t="n">
        <v>2476</v>
      </c>
      <c r="C2230" s="40" t="n">
        <v>58776829.63</v>
      </c>
      <c r="D2230" s="40" t="n">
        <f aca="false">MAX(D2229,C2230)</f>
        <v>58776829.63</v>
      </c>
      <c r="E2230" s="41" t="n">
        <f aca="false">C2230/D2230-1</f>
        <v>0</v>
      </c>
      <c r="F2230" s="42" t="n">
        <f aca="false">YEAR(A2230)</f>
        <v>2022</v>
      </c>
    </row>
    <row r="2231" customFormat="false" ht="15" hidden="false" customHeight="false" outlineLevel="0" collapsed="false">
      <c r="A2231" s="38" t="n">
        <v>44706</v>
      </c>
      <c r="B2231" s="39" t="n">
        <v>2489.5</v>
      </c>
      <c r="C2231" s="40" t="n">
        <v>58170139.63</v>
      </c>
      <c r="D2231" s="40" t="n">
        <f aca="false">MAX(D2230,C2231)</f>
        <v>58776829.63</v>
      </c>
      <c r="E2231" s="41" t="n">
        <f aca="false">C2231/D2231-1</f>
        <v>-0.0103219245375961</v>
      </c>
      <c r="F2231" s="42" t="n">
        <f aca="false">YEAR(A2231)</f>
        <v>2022</v>
      </c>
    </row>
    <row r="2232" customFormat="false" ht="15" hidden="false" customHeight="false" outlineLevel="0" collapsed="false">
      <c r="A2232" s="38" t="n">
        <v>44707</v>
      </c>
      <c r="B2232" s="39" t="n">
        <v>2469.5</v>
      </c>
      <c r="C2232" s="40" t="n">
        <v>59068939.63</v>
      </c>
      <c r="D2232" s="40" t="n">
        <f aca="false">MAX(D2231,C2232)</f>
        <v>59068939.63</v>
      </c>
      <c r="E2232" s="41" t="n">
        <f aca="false">C2232/D2232-1</f>
        <v>0</v>
      </c>
      <c r="F2232" s="42" t="n">
        <f aca="false">YEAR(A2232)</f>
        <v>2022</v>
      </c>
    </row>
    <row r="2233" customFormat="false" ht="15" hidden="false" customHeight="false" outlineLevel="0" collapsed="false">
      <c r="A2233" s="38" t="n">
        <v>44708</v>
      </c>
      <c r="B2233" s="39" t="n">
        <v>2555.5</v>
      </c>
      <c r="C2233" s="40" t="n">
        <v>55204099.63</v>
      </c>
      <c r="D2233" s="40" t="n">
        <f aca="false">MAX(D2232,C2233)</f>
        <v>59068939.63</v>
      </c>
      <c r="E2233" s="41" t="n">
        <f aca="false">C2233/D2233-1</f>
        <v>-0.0654293106361625</v>
      </c>
      <c r="F2233" s="42" t="n">
        <f aca="false">YEAR(A2233)</f>
        <v>2022</v>
      </c>
    </row>
    <row r="2234" customFormat="false" ht="15" hidden="false" customHeight="false" outlineLevel="0" collapsed="false">
      <c r="A2234" s="38" t="n">
        <v>44711</v>
      </c>
      <c r="B2234" s="39" t="n">
        <v>2641</v>
      </c>
      <c r="C2234" s="40" t="n">
        <v>51361729.63</v>
      </c>
      <c r="D2234" s="40" t="n">
        <f aca="false">MAX(D2233,C2234)</f>
        <v>59068939.63</v>
      </c>
      <c r="E2234" s="41" t="n">
        <f aca="false">C2234/D2234-1</f>
        <v>-0.13047821830351</v>
      </c>
      <c r="F2234" s="42" t="n">
        <f aca="false">YEAR(A2234)</f>
        <v>2022</v>
      </c>
    </row>
    <row r="2235" customFormat="false" ht="15" hidden="false" customHeight="false" outlineLevel="0" collapsed="false">
      <c r="A2235" s="38" t="n">
        <v>44712</v>
      </c>
      <c r="B2235" s="39" t="n">
        <v>2691</v>
      </c>
      <c r="C2235" s="40" t="n">
        <v>49114729.63</v>
      </c>
      <c r="D2235" s="40" t="n">
        <f aca="false">MAX(D2234,C2235)</f>
        <v>59068939.63</v>
      </c>
      <c r="E2235" s="41" t="n">
        <f aca="false">C2235/D2235-1</f>
        <v>-0.168518515185</v>
      </c>
      <c r="F2235" s="42" t="n">
        <f aca="false">YEAR(A2235)</f>
        <v>2022</v>
      </c>
    </row>
    <row r="2236" customFormat="false" ht="15" hidden="false" customHeight="false" outlineLevel="0" collapsed="false">
      <c r="A2236" s="38" t="n">
        <v>44713</v>
      </c>
      <c r="B2236" s="39" t="n">
        <v>2776.5</v>
      </c>
      <c r="C2236" s="40" t="n">
        <v>45272359.63</v>
      </c>
      <c r="D2236" s="40" t="n">
        <f aca="false">MAX(D2235,C2236)</f>
        <v>59068939.63</v>
      </c>
      <c r="E2236" s="41" t="n">
        <f aca="false">C2236/D2236-1</f>
        <v>-0.233567422852348</v>
      </c>
      <c r="F2236" s="42" t="n">
        <f aca="false">YEAR(A2236)</f>
        <v>2022</v>
      </c>
    </row>
    <row r="2237" customFormat="false" ht="15" hidden="false" customHeight="false" outlineLevel="0" collapsed="false">
      <c r="A2237" s="38" t="n">
        <v>44714</v>
      </c>
      <c r="B2237" s="39" t="n">
        <v>2809</v>
      </c>
      <c r="C2237" s="40" t="n">
        <v>45754263.99</v>
      </c>
      <c r="D2237" s="40" t="n">
        <f aca="false">MAX(D2236,C2237)</f>
        <v>59068939.63</v>
      </c>
      <c r="E2237" s="41" t="n">
        <f aca="false">C2237/D2237-1</f>
        <v>-0.225409085102955</v>
      </c>
      <c r="F2237" s="42" t="n">
        <f aca="false">YEAR(A2237)</f>
        <v>2022</v>
      </c>
    </row>
    <row r="2238" customFormat="false" ht="15" hidden="false" customHeight="false" outlineLevel="0" collapsed="false">
      <c r="A2238" s="38" t="n">
        <v>44718</v>
      </c>
      <c r="B2238" s="39" t="n">
        <v>2871.5</v>
      </c>
      <c r="C2238" s="40" t="n">
        <v>45754263.99</v>
      </c>
      <c r="D2238" s="40" t="n">
        <f aca="false">MAX(D2237,C2238)</f>
        <v>59068939.63</v>
      </c>
      <c r="E2238" s="41" t="n">
        <f aca="false">C2238/D2238-1</f>
        <v>-0.225409085102955</v>
      </c>
      <c r="F2238" s="42" t="n">
        <f aca="false">YEAR(A2238)</f>
        <v>2022</v>
      </c>
    </row>
    <row r="2239" customFormat="false" ht="15" hidden="false" customHeight="false" outlineLevel="0" collapsed="false">
      <c r="A2239" s="38" t="n">
        <v>44719</v>
      </c>
      <c r="B2239" s="39" t="n">
        <v>2852</v>
      </c>
      <c r="C2239" s="40" t="n">
        <v>45754263.99</v>
      </c>
      <c r="D2239" s="40" t="n">
        <f aca="false">MAX(D2238,C2239)</f>
        <v>59068939.63</v>
      </c>
      <c r="E2239" s="41" t="n">
        <f aca="false">C2239/D2239-1</f>
        <v>-0.225409085102955</v>
      </c>
      <c r="F2239" s="42" t="n">
        <f aca="false">YEAR(A2239)</f>
        <v>2022</v>
      </c>
    </row>
    <row r="2240" customFormat="false" ht="15" hidden="false" customHeight="false" outlineLevel="0" collapsed="false">
      <c r="A2240" s="38" t="n">
        <v>44720</v>
      </c>
      <c r="B2240" s="39" t="n">
        <v>2939</v>
      </c>
      <c r="C2240" s="40" t="n">
        <v>45754263.99</v>
      </c>
      <c r="D2240" s="40" t="n">
        <f aca="false">MAX(D2239,C2240)</f>
        <v>59068939.63</v>
      </c>
      <c r="E2240" s="41" t="n">
        <f aca="false">C2240/D2240-1</f>
        <v>-0.225409085102955</v>
      </c>
      <c r="F2240" s="42" t="n">
        <f aca="false">YEAR(A2240)</f>
        <v>2022</v>
      </c>
    </row>
    <row r="2241" customFormat="false" ht="15" hidden="false" customHeight="false" outlineLevel="0" collapsed="false">
      <c r="A2241" s="38" t="n">
        <v>44721</v>
      </c>
      <c r="B2241" s="39" t="n">
        <v>2867.5</v>
      </c>
      <c r="C2241" s="40" t="n">
        <v>45754263.99</v>
      </c>
      <c r="D2241" s="40" t="n">
        <f aca="false">MAX(D2240,C2241)</f>
        <v>59068939.63</v>
      </c>
      <c r="E2241" s="41" t="n">
        <f aca="false">C2241/D2241-1</f>
        <v>-0.225409085102955</v>
      </c>
      <c r="F2241" s="42" t="n">
        <f aca="false">YEAR(A2241)</f>
        <v>2022</v>
      </c>
    </row>
    <row r="2242" customFormat="false" ht="15" hidden="false" customHeight="false" outlineLevel="0" collapsed="false">
      <c r="A2242" s="38" t="n">
        <v>44722</v>
      </c>
      <c r="B2242" s="39" t="n">
        <v>2858</v>
      </c>
      <c r="C2242" s="40" t="n">
        <v>45754263.99</v>
      </c>
      <c r="D2242" s="40" t="n">
        <f aca="false">MAX(D2241,C2242)</f>
        <v>59068939.63</v>
      </c>
      <c r="E2242" s="41" t="n">
        <f aca="false">C2242/D2242-1</f>
        <v>-0.225409085102955</v>
      </c>
      <c r="F2242" s="42" t="n">
        <f aca="false">YEAR(A2242)</f>
        <v>2022</v>
      </c>
    </row>
    <row r="2243" customFormat="false" ht="15" hidden="false" customHeight="false" outlineLevel="0" collapsed="false">
      <c r="A2243" s="38" t="n">
        <v>44725</v>
      </c>
      <c r="B2243" s="39" t="n">
        <v>2863</v>
      </c>
      <c r="C2243" s="40" t="n">
        <v>45754263.99</v>
      </c>
      <c r="D2243" s="40" t="n">
        <f aca="false">MAX(D2242,C2243)</f>
        <v>59068939.63</v>
      </c>
      <c r="E2243" s="41" t="n">
        <f aca="false">C2243/D2243-1</f>
        <v>-0.225409085102955</v>
      </c>
      <c r="F2243" s="42" t="n">
        <f aca="false">YEAR(A2243)</f>
        <v>2022</v>
      </c>
    </row>
    <row r="2244" customFormat="false" ht="15" hidden="false" customHeight="false" outlineLevel="0" collapsed="false">
      <c r="A2244" s="38" t="n">
        <v>44726</v>
      </c>
      <c r="B2244" s="39" t="n">
        <v>2837</v>
      </c>
      <c r="C2244" s="40" t="n">
        <v>45754263.99</v>
      </c>
      <c r="D2244" s="40" t="n">
        <f aca="false">MAX(D2243,C2244)</f>
        <v>59068939.63</v>
      </c>
      <c r="E2244" s="41" t="n">
        <f aca="false">C2244/D2244-1</f>
        <v>-0.225409085102955</v>
      </c>
      <c r="F2244" s="42" t="n">
        <f aca="false">YEAR(A2244)</f>
        <v>2022</v>
      </c>
    </row>
    <row r="2245" customFormat="false" ht="15" hidden="false" customHeight="false" outlineLevel="0" collapsed="false">
      <c r="A2245" s="38" t="n">
        <v>44727</v>
      </c>
      <c r="B2245" s="39" t="n">
        <v>2665.5</v>
      </c>
      <c r="C2245" s="40" t="n">
        <v>45754263.99</v>
      </c>
      <c r="D2245" s="40" t="n">
        <f aca="false">MAX(D2244,C2245)</f>
        <v>59068939.63</v>
      </c>
      <c r="E2245" s="41" t="n">
        <f aca="false">C2245/D2245-1</f>
        <v>-0.225409085102955</v>
      </c>
      <c r="F2245" s="42" t="n">
        <f aca="false">YEAR(A2245)</f>
        <v>2022</v>
      </c>
    </row>
    <row r="2246" customFormat="false" ht="15" hidden="false" customHeight="false" outlineLevel="0" collapsed="false">
      <c r="A2246" s="38" t="n">
        <v>44728</v>
      </c>
      <c r="B2246" s="39" t="n">
        <v>2602.5</v>
      </c>
      <c r="C2246" s="40" t="n">
        <v>45754263.99</v>
      </c>
      <c r="D2246" s="40" t="n">
        <f aca="false">MAX(D2245,C2246)</f>
        <v>59068939.63</v>
      </c>
      <c r="E2246" s="41" t="n">
        <f aca="false">C2246/D2246-1</f>
        <v>-0.225409085102955</v>
      </c>
      <c r="F2246" s="42" t="n">
        <f aca="false">YEAR(A2246)</f>
        <v>2022</v>
      </c>
    </row>
    <row r="2247" customFormat="false" ht="15" hidden="false" customHeight="false" outlineLevel="0" collapsed="false">
      <c r="A2247" s="38" t="n">
        <v>44729</v>
      </c>
      <c r="B2247" s="39" t="n">
        <v>2569.5</v>
      </c>
      <c r="C2247" s="40" t="n">
        <v>45754263.99</v>
      </c>
      <c r="D2247" s="40" t="n">
        <f aca="false">MAX(D2246,C2247)</f>
        <v>59068939.63</v>
      </c>
      <c r="E2247" s="41" t="n">
        <f aca="false">C2247/D2247-1</f>
        <v>-0.225409085102955</v>
      </c>
      <c r="F2247" s="42" t="n">
        <f aca="false">YEAR(A2247)</f>
        <v>2022</v>
      </c>
    </row>
    <row r="2248" customFormat="false" ht="15" hidden="false" customHeight="false" outlineLevel="0" collapsed="false">
      <c r="A2248" s="38" t="n">
        <v>44732</v>
      </c>
      <c r="B2248" s="39" t="n">
        <v>2315.5</v>
      </c>
      <c r="C2248" s="40" t="n">
        <v>45754263.99</v>
      </c>
      <c r="D2248" s="40" t="n">
        <f aca="false">MAX(D2247,C2248)</f>
        <v>59068939.63</v>
      </c>
      <c r="E2248" s="41" t="n">
        <f aca="false">C2248/D2248-1</f>
        <v>-0.225409085102955</v>
      </c>
      <c r="F2248" s="42" t="n">
        <f aca="false">YEAR(A2248)</f>
        <v>2022</v>
      </c>
    </row>
    <row r="2249" customFormat="false" ht="15" hidden="false" customHeight="false" outlineLevel="0" collapsed="false">
      <c r="A2249" s="38" t="n">
        <v>44733</v>
      </c>
      <c r="B2249" s="39" t="n">
        <v>2330</v>
      </c>
      <c r="C2249" s="40" t="n">
        <v>45754263.99</v>
      </c>
      <c r="D2249" s="40" t="n">
        <f aca="false">MAX(D2248,C2249)</f>
        <v>59068939.63</v>
      </c>
      <c r="E2249" s="41" t="n">
        <f aca="false">C2249/D2249-1</f>
        <v>-0.225409085102955</v>
      </c>
      <c r="F2249" s="42" t="n">
        <f aca="false">YEAR(A2249)</f>
        <v>2022</v>
      </c>
    </row>
    <row r="2250" customFormat="false" ht="15" hidden="false" customHeight="false" outlineLevel="0" collapsed="false">
      <c r="A2250" s="38" t="n">
        <v>44734</v>
      </c>
      <c r="B2250" s="39" t="n">
        <v>2284</v>
      </c>
      <c r="C2250" s="40" t="n">
        <v>45754263.99</v>
      </c>
      <c r="D2250" s="40" t="n">
        <f aca="false">MAX(D2249,C2250)</f>
        <v>59068939.63</v>
      </c>
      <c r="E2250" s="41" t="n">
        <f aca="false">C2250/D2250-1</f>
        <v>-0.225409085102955</v>
      </c>
      <c r="F2250" s="42" t="n">
        <f aca="false">YEAR(A2250)</f>
        <v>2022</v>
      </c>
    </row>
    <row r="2251" customFormat="false" ht="15" hidden="false" customHeight="false" outlineLevel="0" collapsed="false">
      <c r="A2251" s="38" t="n">
        <v>44735</v>
      </c>
      <c r="B2251" s="39" t="n">
        <v>2380.5</v>
      </c>
      <c r="C2251" s="40" t="n">
        <v>45754263.99</v>
      </c>
      <c r="D2251" s="40" t="n">
        <f aca="false">MAX(D2250,C2251)</f>
        <v>59068939.63</v>
      </c>
      <c r="E2251" s="41" t="n">
        <f aca="false">C2251/D2251-1</f>
        <v>-0.225409085102955</v>
      </c>
      <c r="F2251" s="42" t="n">
        <f aca="false">YEAR(A2251)</f>
        <v>2022</v>
      </c>
    </row>
    <row r="2252" customFormat="false" ht="15" hidden="false" customHeight="false" outlineLevel="0" collapsed="false">
      <c r="A2252" s="38" t="n">
        <v>44736</v>
      </c>
      <c r="B2252" s="39" t="n">
        <v>2280.5</v>
      </c>
      <c r="C2252" s="40" t="n">
        <v>45754263.99</v>
      </c>
      <c r="D2252" s="40" t="n">
        <f aca="false">MAX(D2251,C2252)</f>
        <v>59068939.63</v>
      </c>
      <c r="E2252" s="41" t="n">
        <f aca="false">C2252/D2252-1</f>
        <v>-0.225409085102955</v>
      </c>
      <c r="F2252" s="42" t="n">
        <f aca="false">YEAR(A2252)</f>
        <v>2022</v>
      </c>
    </row>
    <row r="2253" customFormat="false" ht="15" hidden="false" customHeight="false" outlineLevel="0" collapsed="false">
      <c r="A2253" s="38" t="n">
        <v>44739</v>
      </c>
      <c r="B2253" s="39" t="n">
        <v>2382.5</v>
      </c>
      <c r="C2253" s="40" t="n">
        <v>45754263.99</v>
      </c>
      <c r="D2253" s="40" t="n">
        <f aca="false">MAX(D2252,C2253)</f>
        <v>59068939.63</v>
      </c>
      <c r="E2253" s="41" t="n">
        <f aca="false">C2253/D2253-1</f>
        <v>-0.225409085102955</v>
      </c>
      <c r="F2253" s="42" t="n">
        <f aca="false">YEAR(A2253)</f>
        <v>2022</v>
      </c>
    </row>
    <row r="2254" customFormat="false" ht="15" hidden="false" customHeight="false" outlineLevel="0" collapsed="false">
      <c r="A2254" s="38" t="n">
        <v>44740</v>
      </c>
      <c r="B2254" s="39" t="n">
        <v>2505</v>
      </c>
      <c r="C2254" s="40" t="n">
        <v>45754263.99</v>
      </c>
      <c r="D2254" s="40" t="n">
        <f aca="false">MAX(D2253,C2254)</f>
        <v>59068939.63</v>
      </c>
      <c r="E2254" s="41" t="n">
        <f aca="false">C2254/D2254-1</f>
        <v>-0.225409085102955</v>
      </c>
      <c r="F2254" s="42" t="n">
        <f aca="false">YEAR(A2254)</f>
        <v>2022</v>
      </c>
    </row>
    <row r="2255" customFormat="false" ht="15" hidden="false" customHeight="false" outlineLevel="0" collapsed="false">
      <c r="A2255" s="38" t="n">
        <v>44741</v>
      </c>
      <c r="B2255" s="39" t="n">
        <v>2479.5</v>
      </c>
      <c r="C2255" s="40" t="n">
        <v>45754263.99</v>
      </c>
      <c r="D2255" s="40" t="n">
        <f aca="false">MAX(D2254,C2255)</f>
        <v>59068939.63</v>
      </c>
      <c r="E2255" s="41" t="n">
        <f aca="false">C2255/D2255-1</f>
        <v>-0.225409085102955</v>
      </c>
      <c r="F2255" s="42" t="n">
        <f aca="false">YEAR(A2255)</f>
        <v>2022</v>
      </c>
    </row>
    <row r="2256" customFormat="false" ht="15" hidden="false" customHeight="false" outlineLevel="0" collapsed="false">
      <c r="A2256" s="38" t="n">
        <v>44742</v>
      </c>
      <c r="B2256" s="39" t="n">
        <v>2335</v>
      </c>
      <c r="C2256" s="40" t="n">
        <v>45754263.99</v>
      </c>
      <c r="D2256" s="40" t="n">
        <f aca="false">MAX(D2255,C2256)</f>
        <v>59068939.63</v>
      </c>
      <c r="E2256" s="41" t="n">
        <f aca="false">C2256/D2256-1</f>
        <v>-0.225409085102955</v>
      </c>
      <c r="F2256" s="42" t="n">
        <f aca="false">YEAR(A2256)</f>
        <v>2022</v>
      </c>
    </row>
    <row r="2257" customFormat="false" ht="15" hidden="false" customHeight="false" outlineLevel="0" collapsed="false">
      <c r="A2257" s="38" t="n">
        <v>44743</v>
      </c>
      <c r="B2257" s="39" t="n">
        <v>2270</v>
      </c>
      <c r="C2257" s="40" t="n">
        <v>45754263.99</v>
      </c>
      <c r="D2257" s="40" t="n">
        <f aca="false">MAX(D2256,C2257)</f>
        <v>59068939.63</v>
      </c>
      <c r="E2257" s="41" t="n">
        <f aca="false">C2257/D2257-1</f>
        <v>-0.225409085102955</v>
      </c>
      <c r="F2257" s="42" t="n">
        <f aca="false">YEAR(A2257)</f>
        <v>2022</v>
      </c>
    </row>
    <row r="2258" customFormat="false" ht="15" hidden="false" customHeight="false" outlineLevel="0" collapsed="false">
      <c r="A2258" s="38" t="n">
        <v>44746</v>
      </c>
      <c r="B2258" s="39" t="n">
        <v>2196.5</v>
      </c>
      <c r="C2258" s="40" t="n">
        <v>54311202.38</v>
      </c>
      <c r="D2258" s="40" t="n">
        <f aca="false">MAX(D2257,C2258)</f>
        <v>59068939.63</v>
      </c>
      <c r="E2258" s="41" t="n">
        <f aca="false">C2258/D2258-1</f>
        <v>-0.0805454995434459</v>
      </c>
      <c r="F2258" s="42" t="n">
        <f aca="false">YEAR(A2258)</f>
        <v>2022</v>
      </c>
    </row>
    <row r="2259" customFormat="false" ht="15" hidden="false" customHeight="false" outlineLevel="0" collapsed="false">
      <c r="A2259" s="38" t="n">
        <v>44747</v>
      </c>
      <c r="B2259" s="39" t="n">
        <v>2249</v>
      </c>
      <c r="C2259" s="40" t="n">
        <v>49961052.38</v>
      </c>
      <c r="D2259" s="40" t="n">
        <f aca="false">MAX(D2258,C2259)</f>
        <v>59068939.63</v>
      </c>
      <c r="E2259" s="41" t="n">
        <f aca="false">C2259/D2259-1</f>
        <v>-0.154190803272424</v>
      </c>
      <c r="F2259" s="42" t="n">
        <f aca="false">YEAR(A2259)</f>
        <v>2022</v>
      </c>
    </row>
    <row r="2260" customFormat="false" ht="15" hidden="false" customHeight="false" outlineLevel="0" collapsed="false">
      <c r="A2260" s="38" t="n">
        <v>44748</v>
      </c>
      <c r="B2260" s="39" t="n">
        <v>2260.5</v>
      </c>
      <c r="C2260" s="40" t="n">
        <v>49008162.38</v>
      </c>
      <c r="D2260" s="40" t="n">
        <f aca="false">MAX(D2259,C2260)</f>
        <v>59068939.63</v>
      </c>
      <c r="E2260" s="41" t="n">
        <f aca="false">C2260/D2260-1</f>
        <v>-0.170322631708295</v>
      </c>
      <c r="F2260" s="42" t="n">
        <f aca="false">YEAR(A2260)</f>
        <v>2022</v>
      </c>
    </row>
    <row r="2261" customFormat="false" ht="15" hidden="false" customHeight="false" outlineLevel="0" collapsed="false">
      <c r="A2261" s="38" t="n">
        <v>44749</v>
      </c>
      <c r="B2261" s="39" t="n">
        <v>2257.5</v>
      </c>
      <c r="C2261" s="40" t="n">
        <v>49256742.38</v>
      </c>
      <c r="D2261" s="40" t="n">
        <f aca="false">MAX(D2260,C2261)</f>
        <v>59068939.63</v>
      </c>
      <c r="E2261" s="41" t="n">
        <f aca="false">C2261/D2261-1</f>
        <v>-0.166114328638068</v>
      </c>
      <c r="F2261" s="42" t="n">
        <f aca="false">YEAR(A2261)</f>
        <v>2022</v>
      </c>
    </row>
    <row r="2262" customFormat="false" ht="15" hidden="false" customHeight="false" outlineLevel="0" collapsed="false">
      <c r="A2262" s="38" t="n">
        <v>44750</v>
      </c>
      <c r="B2262" s="39" t="n">
        <v>2182</v>
      </c>
      <c r="C2262" s="40" t="n">
        <v>55512672.38</v>
      </c>
      <c r="D2262" s="40" t="n">
        <f aca="false">MAX(D2261,C2262)</f>
        <v>59068939.63</v>
      </c>
      <c r="E2262" s="41" t="n">
        <f aca="false">C2262/D2262-1</f>
        <v>-0.0602053680373473</v>
      </c>
      <c r="F2262" s="42" t="n">
        <f aca="false">YEAR(A2262)</f>
        <v>2022</v>
      </c>
    </row>
    <row r="2263" customFormat="false" ht="15" hidden="false" customHeight="false" outlineLevel="0" collapsed="false">
      <c r="A2263" s="38" t="n">
        <v>44753</v>
      </c>
      <c r="B2263" s="39" t="n">
        <v>2169</v>
      </c>
      <c r="C2263" s="40" t="n">
        <v>56589852.38</v>
      </c>
      <c r="D2263" s="40" t="n">
        <f aca="false">MAX(D2262,C2263)</f>
        <v>59068939.63</v>
      </c>
      <c r="E2263" s="41" t="n">
        <f aca="false">C2263/D2263-1</f>
        <v>-0.0419693880663623</v>
      </c>
      <c r="F2263" s="42" t="n">
        <f aca="false">YEAR(A2263)</f>
        <v>2022</v>
      </c>
    </row>
    <row r="2264" customFormat="false" ht="15" hidden="false" customHeight="false" outlineLevel="0" collapsed="false">
      <c r="A2264" s="38" t="n">
        <v>44754</v>
      </c>
      <c r="B2264" s="39" t="n">
        <v>2081</v>
      </c>
      <c r="C2264" s="40" t="n">
        <v>63881532.38</v>
      </c>
      <c r="D2264" s="40" t="n">
        <f aca="false">MAX(D2263,C2264)</f>
        <v>63881532.38</v>
      </c>
      <c r="E2264" s="41" t="n">
        <f aca="false">C2264/D2264-1</f>
        <v>0</v>
      </c>
      <c r="F2264" s="42" t="n">
        <f aca="false">YEAR(A2264)</f>
        <v>2022</v>
      </c>
    </row>
    <row r="2265" customFormat="false" ht="15" hidden="false" customHeight="false" outlineLevel="0" collapsed="false">
      <c r="A2265" s="38" t="n">
        <v>44755</v>
      </c>
      <c r="B2265" s="39" t="n">
        <v>2091</v>
      </c>
      <c r="C2265" s="40" t="n">
        <v>63052932.38</v>
      </c>
      <c r="D2265" s="40" t="n">
        <f aca="false">MAX(D2264,C2265)</f>
        <v>63881532.38</v>
      </c>
      <c r="E2265" s="41" t="n">
        <f aca="false">C2265/D2265-1</f>
        <v>-0.0129708848415073</v>
      </c>
      <c r="F2265" s="42" t="n">
        <f aca="false">YEAR(A2265)</f>
        <v>2022</v>
      </c>
    </row>
    <row r="2266" customFormat="false" ht="15" hidden="false" customHeight="false" outlineLevel="0" collapsed="false">
      <c r="A2266" s="38" t="n">
        <v>44756</v>
      </c>
      <c r="B2266" s="39" t="n">
        <v>2054.5</v>
      </c>
      <c r="C2266" s="40" t="n">
        <v>66077322.38</v>
      </c>
      <c r="D2266" s="40" t="n">
        <f aca="false">MAX(D2265,C2266)</f>
        <v>66077322.38</v>
      </c>
      <c r="E2266" s="41" t="n">
        <f aca="false">C2266/D2266-1</f>
        <v>0</v>
      </c>
      <c r="F2266" s="42" t="n">
        <f aca="false">YEAR(A2266)</f>
        <v>2022</v>
      </c>
    </row>
    <row r="2267" customFormat="false" ht="15" hidden="false" customHeight="false" outlineLevel="0" collapsed="false">
      <c r="A2267" s="38" t="n">
        <v>44757</v>
      </c>
      <c r="B2267" s="39" t="n">
        <v>1928.5</v>
      </c>
      <c r="C2267" s="40" t="n">
        <v>76517682.38</v>
      </c>
      <c r="D2267" s="40" t="n">
        <f aca="false">MAX(D2266,C2267)</f>
        <v>76517682.38</v>
      </c>
      <c r="E2267" s="41" t="n">
        <f aca="false">C2267/D2267-1</f>
        <v>0</v>
      </c>
      <c r="F2267" s="42" t="n">
        <f aca="false">YEAR(A2267)</f>
        <v>2022</v>
      </c>
    </row>
    <row r="2268" customFormat="false" ht="15" hidden="false" customHeight="false" outlineLevel="0" collapsed="false">
      <c r="A2268" s="38" t="n">
        <v>44760</v>
      </c>
      <c r="B2268" s="39" t="n">
        <v>2051</v>
      </c>
      <c r="C2268" s="40" t="n">
        <v>66367332.38</v>
      </c>
      <c r="D2268" s="40" t="n">
        <f aca="false">MAX(D2267,C2268)</f>
        <v>76517682.38</v>
      </c>
      <c r="E2268" s="41" t="n">
        <f aca="false">C2268/D2268-1</f>
        <v>-0.132653651865612</v>
      </c>
      <c r="F2268" s="42" t="n">
        <f aca="false">YEAR(A2268)</f>
        <v>2022</v>
      </c>
    </row>
    <row r="2269" customFormat="false" ht="15" hidden="false" customHeight="false" outlineLevel="0" collapsed="false">
      <c r="A2269" s="38" t="n">
        <v>44761</v>
      </c>
      <c r="B2269" s="39" t="n">
        <v>1934.5</v>
      </c>
      <c r="C2269" s="40" t="n">
        <v>76020522.38</v>
      </c>
      <c r="D2269" s="40" t="n">
        <f aca="false">MAX(D2268,C2269)</f>
        <v>76517682.38</v>
      </c>
      <c r="E2269" s="41" t="n">
        <f aca="false">C2269/D2269-1</f>
        <v>-0.00649732172402995</v>
      </c>
      <c r="F2269" s="42" t="n">
        <f aca="false">YEAR(A2269)</f>
        <v>2022</v>
      </c>
    </row>
    <row r="2270" customFormat="false" ht="15" hidden="false" customHeight="false" outlineLevel="0" collapsed="false">
      <c r="A2270" s="38" t="n">
        <v>44762</v>
      </c>
      <c r="B2270" s="39" t="n">
        <v>1888.5</v>
      </c>
      <c r="C2270" s="40" t="n">
        <v>79832082.38</v>
      </c>
      <c r="D2270" s="40" t="n">
        <f aca="false">MAX(D2269,C2270)</f>
        <v>79832082.38</v>
      </c>
      <c r="E2270" s="41" t="n">
        <f aca="false">C2270/D2270-1</f>
        <v>0</v>
      </c>
      <c r="F2270" s="42" t="n">
        <f aca="false">YEAR(A2270)</f>
        <v>2022</v>
      </c>
    </row>
    <row r="2271" customFormat="false" ht="15" hidden="false" customHeight="false" outlineLevel="0" collapsed="false">
      <c r="A2271" s="38" t="n">
        <v>44763</v>
      </c>
      <c r="B2271" s="39" t="n">
        <v>1832</v>
      </c>
      <c r="C2271" s="40" t="n">
        <v>84513672.38</v>
      </c>
      <c r="D2271" s="40" t="n">
        <f aca="false">MAX(D2270,C2271)</f>
        <v>84513672.38</v>
      </c>
      <c r="E2271" s="41" t="n">
        <f aca="false">C2271/D2271-1</f>
        <v>0</v>
      </c>
      <c r="F2271" s="42" t="n">
        <f aca="false">YEAR(A2271)</f>
        <v>2022</v>
      </c>
    </row>
    <row r="2272" customFormat="false" ht="15" hidden="false" customHeight="false" outlineLevel="0" collapsed="false">
      <c r="A2272" s="38" t="n">
        <v>44764</v>
      </c>
      <c r="B2272" s="39" t="n">
        <v>1882.5</v>
      </c>
      <c r="C2272" s="40" t="n">
        <v>80329242.38</v>
      </c>
      <c r="D2272" s="40" t="n">
        <f aca="false">MAX(D2271,C2272)</f>
        <v>84513672.38</v>
      </c>
      <c r="E2272" s="41" t="n">
        <f aca="false">C2272/D2272-1</f>
        <v>-0.0495118704720994</v>
      </c>
      <c r="F2272" s="42" t="n">
        <f aca="false">YEAR(A2272)</f>
        <v>2022</v>
      </c>
    </row>
    <row r="2273" customFormat="false" ht="15" hidden="false" customHeight="false" outlineLevel="0" collapsed="false">
      <c r="A2273" s="38" t="n">
        <v>44767</v>
      </c>
      <c r="B2273" s="39" t="n">
        <v>1909</v>
      </c>
      <c r="C2273" s="40" t="n">
        <v>78133452.38</v>
      </c>
      <c r="D2273" s="40" t="n">
        <f aca="false">MAX(D2272,C2273)</f>
        <v>84513672.38</v>
      </c>
      <c r="E2273" s="41" t="n">
        <f aca="false">C2273/D2273-1</f>
        <v>-0.0754933470564683</v>
      </c>
      <c r="F2273" s="42" t="n">
        <f aca="false">YEAR(A2273)</f>
        <v>2022</v>
      </c>
    </row>
    <row r="2274" customFormat="false" ht="15" hidden="false" customHeight="false" outlineLevel="0" collapsed="false">
      <c r="A2274" s="38" t="n">
        <v>44768</v>
      </c>
      <c r="B2274" s="39" t="n">
        <v>1924.5</v>
      </c>
      <c r="C2274" s="40" t="n">
        <v>76849122.38</v>
      </c>
      <c r="D2274" s="40" t="n">
        <f aca="false">MAX(D2273,C2274)</f>
        <v>84513672.38</v>
      </c>
      <c r="E2274" s="41" t="n">
        <f aca="false">C2274/D2274-1</f>
        <v>-0.0906900597756275</v>
      </c>
      <c r="F2274" s="42" t="n">
        <f aca="false">YEAR(A2274)</f>
        <v>2022</v>
      </c>
    </row>
    <row r="2275" customFormat="false" ht="15" hidden="false" customHeight="false" outlineLevel="0" collapsed="false">
      <c r="A2275" s="38" t="n">
        <v>44769</v>
      </c>
      <c r="B2275" s="39" t="n">
        <v>1933.5</v>
      </c>
      <c r="C2275" s="40" t="n">
        <v>76103382.38</v>
      </c>
      <c r="D2275" s="40" t="n">
        <f aca="false">MAX(D2274,C2275)</f>
        <v>84513672.38</v>
      </c>
      <c r="E2275" s="41" t="n">
        <f aca="false">C2275/D2275-1</f>
        <v>-0.0995139574835264</v>
      </c>
      <c r="F2275" s="42" t="n">
        <f aca="false">YEAR(A2275)</f>
        <v>2022</v>
      </c>
    </row>
    <row r="2276" customFormat="false" ht="15" hidden="false" customHeight="false" outlineLevel="0" collapsed="false">
      <c r="A2276" s="38" t="n">
        <v>44770</v>
      </c>
      <c r="B2276" s="39" t="n">
        <v>2120.5</v>
      </c>
      <c r="C2276" s="40" t="n">
        <v>60608562.38</v>
      </c>
      <c r="D2276" s="40" t="n">
        <f aca="false">MAX(D2275,C2276)</f>
        <v>84513672.38</v>
      </c>
      <c r="E2276" s="41" t="n">
        <f aca="false">C2276/D2276-1</f>
        <v>-0.282854943192092</v>
      </c>
      <c r="F2276" s="42" t="n">
        <f aca="false">YEAR(A2276)</f>
        <v>2022</v>
      </c>
    </row>
    <row r="2277" customFormat="false" ht="15" hidden="false" customHeight="false" outlineLevel="0" collapsed="false">
      <c r="A2277" s="38" t="n">
        <v>44771</v>
      </c>
      <c r="B2277" s="39" t="n">
        <v>2082.5</v>
      </c>
      <c r="C2277" s="40" t="n">
        <v>63757242.38</v>
      </c>
      <c r="D2277" s="40" t="n">
        <f aca="false">MAX(D2276,C2277)</f>
        <v>84513672.38</v>
      </c>
      <c r="E2277" s="41" t="n">
        <f aca="false">C2277/D2277-1</f>
        <v>-0.245598486203186</v>
      </c>
      <c r="F2277" s="42" t="n">
        <f aca="false">YEAR(A2277)</f>
        <v>2022</v>
      </c>
    </row>
    <row r="2278" customFormat="false" ht="15" hidden="false" customHeight="false" outlineLevel="0" collapsed="false">
      <c r="A2278" s="38" t="n">
        <v>44774</v>
      </c>
      <c r="B2278" s="39" t="n">
        <v>2075</v>
      </c>
      <c r="C2278" s="40" t="n">
        <v>64378692.38</v>
      </c>
      <c r="D2278" s="40" t="n">
        <f aca="false">MAX(D2277,C2278)</f>
        <v>84513672.38</v>
      </c>
      <c r="E2278" s="41" t="n">
        <f aca="false">C2278/D2278-1</f>
        <v>-0.23824523811327</v>
      </c>
      <c r="F2278" s="42" t="n">
        <f aca="false">YEAR(A2278)</f>
        <v>2022</v>
      </c>
    </row>
    <row r="2279" customFormat="false" ht="15" hidden="false" customHeight="false" outlineLevel="0" collapsed="false">
      <c r="A2279" s="38" t="n">
        <v>44775</v>
      </c>
      <c r="B2279" s="39" t="n">
        <v>2167.5</v>
      </c>
      <c r="C2279" s="40" t="n">
        <v>56714142.38</v>
      </c>
      <c r="D2279" s="40" t="n">
        <f aca="false">MAX(D2278,C2279)</f>
        <v>84513672.38</v>
      </c>
      <c r="E2279" s="41" t="n">
        <f aca="false">C2279/D2279-1</f>
        <v>-0.328935297888898</v>
      </c>
      <c r="F2279" s="42" t="n">
        <f aca="false">YEAR(A2279)</f>
        <v>2022</v>
      </c>
    </row>
    <row r="2280" customFormat="false" ht="15" hidden="false" customHeight="false" outlineLevel="0" collapsed="false">
      <c r="A2280" s="38" t="n">
        <v>44776</v>
      </c>
      <c r="B2280" s="39" t="n">
        <v>2116</v>
      </c>
      <c r="C2280" s="40" t="n">
        <v>60981432.38</v>
      </c>
      <c r="D2280" s="40" t="n">
        <f aca="false">MAX(D2279,C2280)</f>
        <v>84513672.38</v>
      </c>
      <c r="E2280" s="41" t="n">
        <f aca="false">C2280/D2280-1</f>
        <v>-0.278442994338143</v>
      </c>
      <c r="F2280" s="42" t="n">
        <f aca="false">YEAR(A2280)</f>
        <v>2022</v>
      </c>
    </row>
    <row r="2281" customFormat="false" ht="15" hidden="false" customHeight="false" outlineLevel="0" collapsed="false">
      <c r="A2281" s="38" t="n">
        <v>44777</v>
      </c>
      <c r="B2281" s="39" t="n">
        <v>2022.5</v>
      </c>
      <c r="C2281" s="40" t="n">
        <v>68728842.38</v>
      </c>
      <c r="D2281" s="40" t="n">
        <f aca="false">MAX(D2280,C2281)</f>
        <v>84513672.38</v>
      </c>
      <c r="E2281" s="41" t="n">
        <f aca="false">C2281/D2281-1</f>
        <v>-0.18677250148386</v>
      </c>
      <c r="F2281" s="42" t="n">
        <f aca="false">YEAR(A2281)</f>
        <v>2022</v>
      </c>
    </row>
    <row r="2282" customFormat="false" ht="15" hidden="false" customHeight="false" outlineLevel="0" collapsed="false">
      <c r="A2282" s="38" t="n">
        <v>44778</v>
      </c>
      <c r="B2282" s="39" t="n">
        <v>1990.5</v>
      </c>
      <c r="C2282" s="40" t="n">
        <v>71380362.38</v>
      </c>
      <c r="D2282" s="40" t="n">
        <f aca="false">MAX(D2281,C2282)</f>
        <v>84513672.38</v>
      </c>
      <c r="E2282" s="41" t="n">
        <f aca="false">C2282/D2282-1</f>
        <v>-0.155398642966886</v>
      </c>
      <c r="F2282" s="42" t="n">
        <f aca="false">YEAR(A2282)</f>
        <v>2022</v>
      </c>
    </row>
    <row r="2283" customFormat="false" ht="15" hidden="false" customHeight="false" outlineLevel="0" collapsed="false">
      <c r="A2283" s="38" t="n">
        <v>44781</v>
      </c>
      <c r="B2283" s="39" t="n">
        <v>2073</v>
      </c>
      <c r="C2283" s="40" t="n">
        <v>64544412.38</v>
      </c>
      <c r="D2283" s="40" t="n">
        <f aca="false">MAX(D2282,C2283)</f>
        <v>84513672.38</v>
      </c>
      <c r="E2283" s="41" t="n">
        <f aca="false">C2283/D2283-1</f>
        <v>-0.236284371955959</v>
      </c>
      <c r="F2283" s="42" t="n">
        <f aca="false">YEAR(A2283)</f>
        <v>2022</v>
      </c>
    </row>
    <row r="2284" customFormat="false" ht="15" hidden="false" customHeight="false" outlineLevel="0" collapsed="false">
      <c r="A2284" s="38" t="n">
        <v>44782</v>
      </c>
      <c r="B2284" s="39" t="n">
        <v>2083</v>
      </c>
      <c r="C2284" s="40" t="n">
        <v>63715812.38</v>
      </c>
      <c r="D2284" s="40" t="n">
        <f aca="false">MAX(D2283,C2284)</f>
        <v>84513672.38</v>
      </c>
      <c r="E2284" s="41" t="n">
        <f aca="false">C2284/D2284-1</f>
        <v>-0.246088702742514</v>
      </c>
      <c r="F2284" s="42" t="n">
        <f aca="false">YEAR(A2284)</f>
        <v>2022</v>
      </c>
    </row>
    <row r="2285" customFormat="false" ht="15" hidden="false" customHeight="false" outlineLevel="0" collapsed="false">
      <c r="A2285" s="38" t="n">
        <v>44783</v>
      </c>
      <c r="B2285" s="39" t="n">
        <v>2025.5</v>
      </c>
      <c r="C2285" s="40" t="n">
        <v>68480262.38</v>
      </c>
      <c r="D2285" s="40" t="n">
        <f aca="false">MAX(D2284,C2285)</f>
        <v>84513672.38</v>
      </c>
      <c r="E2285" s="41" t="n">
        <f aca="false">C2285/D2285-1</f>
        <v>-0.189713800719826</v>
      </c>
      <c r="F2285" s="42" t="n">
        <f aca="false">YEAR(A2285)</f>
        <v>2022</v>
      </c>
    </row>
    <row r="2286" customFormat="false" ht="15" hidden="false" customHeight="false" outlineLevel="0" collapsed="false">
      <c r="A2286" s="38" t="n">
        <v>44784</v>
      </c>
      <c r="B2286" s="39" t="n">
        <v>2039</v>
      </c>
      <c r="C2286" s="40" t="n">
        <v>67361652.38</v>
      </c>
      <c r="D2286" s="40" t="n">
        <f aca="false">MAX(D2285,C2286)</f>
        <v>84513672.38</v>
      </c>
      <c r="E2286" s="41" t="n">
        <f aca="false">C2286/D2286-1</f>
        <v>-0.202949647281675</v>
      </c>
      <c r="F2286" s="42" t="n">
        <f aca="false">YEAR(A2286)</f>
        <v>2022</v>
      </c>
    </row>
    <row r="2287" customFormat="false" ht="15" hidden="false" customHeight="false" outlineLevel="0" collapsed="false">
      <c r="A2287" s="38" t="n">
        <v>44785</v>
      </c>
      <c r="B2287" s="39" t="n">
        <v>2084</v>
      </c>
      <c r="C2287" s="40" t="n">
        <v>63632952.38</v>
      </c>
      <c r="D2287" s="40" t="n">
        <f aca="false">MAX(D2286,C2287)</f>
        <v>84513672.38</v>
      </c>
      <c r="E2287" s="41" t="n">
        <f aca="false">C2287/D2287-1</f>
        <v>-0.247069135821169</v>
      </c>
      <c r="F2287" s="42" t="n">
        <f aca="false">YEAR(A2287)</f>
        <v>2022</v>
      </c>
    </row>
    <row r="2288" customFormat="false" ht="15" hidden="false" customHeight="false" outlineLevel="0" collapsed="false">
      <c r="A2288" s="38" t="n">
        <v>44788</v>
      </c>
      <c r="B2288" s="39" t="n">
        <v>2040.5</v>
      </c>
      <c r="C2288" s="40" t="n">
        <v>67237362.38</v>
      </c>
      <c r="D2288" s="40" t="n">
        <f aca="false">MAX(D2287,C2288)</f>
        <v>84513672.38</v>
      </c>
      <c r="E2288" s="41" t="n">
        <f aca="false">C2288/D2288-1</f>
        <v>-0.204420296899658</v>
      </c>
      <c r="F2288" s="42" t="n">
        <f aca="false">YEAR(A2288)</f>
        <v>2022</v>
      </c>
    </row>
    <row r="2289" customFormat="false" ht="15" hidden="false" customHeight="false" outlineLevel="0" collapsed="false">
      <c r="A2289" s="38" t="n">
        <v>44789</v>
      </c>
      <c r="B2289" s="39" t="n">
        <v>2074</v>
      </c>
      <c r="C2289" s="40" t="n">
        <v>64461552.38</v>
      </c>
      <c r="D2289" s="40" t="n">
        <f aca="false">MAX(D2288,C2289)</f>
        <v>84513672.38</v>
      </c>
      <c r="E2289" s="41" t="n">
        <f aca="false">C2289/D2289-1</f>
        <v>-0.237264805034615</v>
      </c>
      <c r="F2289" s="42" t="n">
        <f aca="false">YEAR(A2289)</f>
        <v>2022</v>
      </c>
    </row>
    <row r="2290" customFormat="false" ht="15" hidden="false" customHeight="false" outlineLevel="0" collapsed="false">
      <c r="A2290" s="38" t="n">
        <v>44790</v>
      </c>
      <c r="B2290" s="39" t="n">
        <v>2001.5</v>
      </c>
      <c r="C2290" s="40" t="n">
        <v>70468902.38</v>
      </c>
      <c r="D2290" s="40" t="n">
        <f aca="false">MAX(D2289,C2290)</f>
        <v>84513672.38</v>
      </c>
      <c r="E2290" s="41" t="n">
        <f aca="false">C2290/D2290-1</f>
        <v>-0.166183406832096</v>
      </c>
      <c r="F2290" s="42" t="n">
        <f aca="false">YEAR(A2290)</f>
        <v>2022</v>
      </c>
    </row>
    <row r="2291" customFormat="false" ht="15" hidden="false" customHeight="false" outlineLevel="0" collapsed="false">
      <c r="A2291" s="38" t="n">
        <v>44791</v>
      </c>
      <c r="B2291" s="39" t="n">
        <v>1968.5</v>
      </c>
      <c r="C2291" s="40" t="n">
        <v>71032382.14</v>
      </c>
      <c r="D2291" s="40" t="n">
        <f aca="false">MAX(D2290,C2291)</f>
        <v>84513672.38</v>
      </c>
      <c r="E2291" s="41" t="n">
        <f aca="false">C2291/D2291-1</f>
        <v>-0.159516086100056</v>
      </c>
      <c r="F2291" s="42" t="n">
        <f aca="false">YEAR(A2291)</f>
        <v>2022</v>
      </c>
    </row>
    <row r="2292" customFormat="false" ht="15" hidden="false" customHeight="false" outlineLevel="0" collapsed="false">
      <c r="A2292" s="38" t="n">
        <v>44792</v>
      </c>
      <c r="B2292" s="39" t="n">
        <v>1920</v>
      </c>
      <c r="C2292" s="40" t="n">
        <v>71032382.14</v>
      </c>
      <c r="D2292" s="40" t="n">
        <f aca="false">MAX(D2291,C2292)</f>
        <v>84513672.38</v>
      </c>
      <c r="E2292" s="41" t="n">
        <f aca="false">C2292/D2292-1</f>
        <v>-0.159516086100056</v>
      </c>
      <c r="F2292" s="42" t="n">
        <f aca="false">YEAR(A2292)</f>
        <v>2022</v>
      </c>
    </row>
    <row r="2293" customFormat="false" ht="15" hidden="false" customHeight="false" outlineLevel="0" collapsed="false">
      <c r="A2293" s="38" t="n">
        <v>44795</v>
      </c>
      <c r="B2293" s="39" t="n">
        <v>1984</v>
      </c>
      <c r="C2293" s="40" t="n">
        <v>71032382.14</v>
      </c>
      <c r="D2293" s="40" t="n">
        <f aca="false">MAX(D2292,C2293)</f>
        <v>84513672.38</v>
      </c>
      <c r="E2293" s="41" t="n">
        <f aca="false">C2293/D2293-1</f>
        <v>-0.159516086100056</v>
      </c>
      <c r="F2293" s="42" t="n">
        <f aca="false">YEAR(A2293)</f>
        <v>2022</v>
      </c>
    </row>
    <row r="2294" customFormat="false" ht="15" hidden="false" customHeight="false" outlineLevel="0" collapsed="false">
      <c r="A2294" s="38" t="n">
        <v>44796</v>
      </c>
      <c r="B2294" s="39" t="n">
        <v>1978</v>
      </c>
      <c r="C2294" s="40" t="n">
        <v>71032382.14</v>
      </c>
      <c r="D2294" s="40" t="n">
        <f aca="false">MAX(D2293,C2294)</f>
        <v>84513672.38</v>
      </c>
      <c r="E2294" s="41" t="n">
        <f aca="false">C2294/D2294-1</f>
        <v>-0.159516086100056</v>
      </c>
      <c r="F2294" s="42" t="n">
        <f aca="false">YEAR(A2294)</f>
        <v>2022</v>
      </c>
    </row>
    <row r="2295" customFormat="false" ht="15" hidden="false" customHeight="false" outlineLevel="0" collapsed="false">
      <c r="A2295" s="38" t="n">
        <v>44797</v>
      </c>
      <c r="B2295" s="39" t="n">
        <v>1963.5</v>
      </c>
      <c r="C2295" s="40" t="n">
        <v>71032382.14</v>
      </c>
      <c r="D2295" s="40" t="n">
        <f aca="false">MAX(D2294,C2295)</f>
        <v>84513672.38</v>
      </c>
      <c r="E2295" s="41" t="n">
        <f aca="false">C2295/D2295-1</f>
        <v>-0.159516086100056</v>
      </c>
      <c r="F2295" s="42" t="n">
        <f aca="false">YEAR(A2295)</f>
        <v>2022</v>
      </c>
    </row>
    <row r="2296" customFormat="false" ht="15" hidden="false" customHeight="false" outlineLevel="0" collapsed="false">
      <c r="A2296" s="38" t="n">
        <v>44798</v>
      </c>
      <c r="B2296" s="39" t="n">
        <v>1965</v>
      </c>
      <c r="C2296" s="40" t="n">
        <v>71032382.14</v>
      </c>
      <c r="D2296" s="40" t="n">
        <f aca="false">MAX(D2295,C2296)</f>
        <v>84513672.38</v>
      </c>
      <c r="E2296" s="41" t="n">
        <f aca="false">C2296/D2296-1</f>
        <v>-0.159516086100056</v>
      </c>
      <c r="F2296" s="42" t="n">
        <f aca="false">YEAR(A2296)</f>
        <v>2022</v>
      </c>
    </row>
    <row r="2297" customFormat="false" ht="15" hidden="false" customHeight="false" outlineLevel="0" collapsed="false">
      <c r="A2297" s="38" t="n">
        <v>44799</v>
      </c>
      <c r="B2297" s="39" t="n">
        <v>2042</v>
      </c>
      <c r="C2297" s="40" t="n">
        <v>71032382.14</v>
      </c>
      <c r="D2297" s="40" t="n">
        <f aca="false">MAX(D2296,C2297)</f>
        <v>84513672.38</v>
      </c>
      <c r="E2297" s="41" t="n">
        <f aca="false">C2297/D2297-1</f>
        <v>-0.159516086100056</v>
      </c>
      <c r="F2297" s="42" t="n">
        <f aca="false">YEAR(A2297)</f>
        <v>2022</v>
      </c>
    </row>
    <row r="2298" customFormat="false" ht="15" hidden="false" customHeight="false" outlineLevel="0" collapsed="false">
      <c r="A2298" s="38" t="n">
        <v>44802</v>
      </c>
      <c r="B2298" s="39" t="n">
        <v>1957.5</v>
      </c>
      <c r="C2298" s="40" t="n">
        <v>71032382.14</v>
      </c>
      <c r="D2298" s="40" t="n">
        <f aca="false">MAX(D2297,C2298)</f>
        <v>84513672.38</v>
      </c>
      <c r="E2298" s="41" t="n">
        <f aca="false">C2298/D2298-1</f>
        <v>-0.159516086100056</v>
      </c>
      <c r="F2298" s="42" t="n">
        <f aca="false">YEAR(A2298)</f>
        <v>2022</v>
      </c>
    </row>
    <row r="2299" customFormat="false" ht="15" hidden="false" customHeight="false" outlineLevel="0" collapsed="false">
      <c r="A2299" s="38" t="n">
        <v>44803</v>
      </c>
      <c r="B2299" s="39" t="n">
        <v>1861</v>
      </c>
      <c r="C2299" s="40" t="n">
        <v>71032382.14</v>
      </c>
      <c r="D2299" s="40" t="n">
        <f aca="false">MAX(D2298,C2299)</f>
        <v>84513672.38</v>
      </c>
      <c r="E2299" s="41" t="n">
        <f aca="false">C2299/D2299-1</f>
        <v>-0.159516086100056</v>
      </c>
      <c r="F2299" s="42" t="n">
        <f aca="false">YEAR(A2299)</f>
        <v>2022</v>
      </c>
    </row>
    <row r="2300" customFormat="false" ht="15" hidden="false" customHeight="false" outlineLevel="0" collapsed="false">
      <c r="A2300" s="38" t="n">
        <v>44804</v>
      </c>
      <c r="B2300" s="39" t="n">
        <v>1854.5</v>
      </c>
      <c r="C2300" s="40" t="n">
        <v>70523241.12</v>
      </c>
      <c r="D2300" s="40" t="n">
        <f aca="false">MAX(D2299,C2300)</f>
        <v>84513672.38</v>
      </c>
      <c r="E2300" s="41" t="n">
        <f aca="false">C2300/D2300-1</f>
        <v>-0.165540448852993</v>
      </c>
      <c r="F2300" s="42" t="n">
        <f aca="false">YEAR(A2300)</f>
        <v>2022</v>
      </c>
    </row>
    <row r="2301" customFormat="false" ht="15" hidden="false" customHeight="false" outlineLevel="0" collapsed="false">
      <c r="A2301" s="38" t="n">
        <v>44805</v>
      </c>
      <c r="B2301" s="39" t="n">
        <v>1802.5</v>
      </c>
      <c r="C2301" s="40" t="n">
        <v>78834921.12</v>
      </c>
      <c r="D2301" s="40" t="n">
        <f aca="false">MAX(D2300,C2301)</f>
        <v>84513672.38</v>
      </c>
      <c r="E2301" s="41" t="n">
        <f aca="false">C2301/D2301-1</f>
        <v>-0.0671932848269395</v>
      </c>
      <c r="F2301" s="42" t="n">
        <f aca="false">YEAR(A2301)</f>
        <v>2022</v>
      </c>
    </row>
    <row r="2302" customFormat="false" ht="15" hidden="false" customHeight="false" outlineLevel="0" collapsed="false">
      <c r="A2302" s="38" t="n">
        <v>44806</v>
      </c>
      <c r="B2302" s="39" t="n">
        <v>1831</v>
      </c>
      <c r="C2302" s="40" t="n">
        <v>74279481.12</v>
      </c>
      <c r="D2302" s="40" t="n">
        <f aca="false">MAX(D2301,C2302)</f>
        <v>84513672.38</v>
      </c>
      <c r="E2302" s="41" t="n">
        <f aca="false">C2302/D2302-1</f>
        <v>-0.12109509587968</v>
      </c>
      <c r="F2302" s="42" t="n">
        <f aca="false">YEAR(A2302)</f>
        <v>2022</v>
      </c>
    </row>
    <row r="2303" customFormat="false" ht="15" hidden="false" customHeight="false" outlineLevel="0" collapsed="false">
      <c r="A2303" s="38" t="n">
        <v>44809</v>
      </c>
      <c r="B2303" s="39" t="n">
        <v>1849.5</v>
      </c>
      <c r="C2303" s="40" t="n">
        <v>71322441.12</v>
      </c>
      <c r="D2303" s="40" t="n">
        <f aca="false">MAX(D2302,C2303)</f>
        <v>84513672.38</v>
      </c>
      <c r="E2303" s="41" t="n">
        <f aca="false">C2303/D2303-1</f>
        <v>-0.156083990773565</v>
      </c>
      <c r="F2303" s="42" t="n">
        <f aca="false">YEAR(A2303)</f>
        <v>2022</v>
      </c>
    </row>
    <row r="2304" customFormat="false" ht="15" hidden="false" customHeight="false" outlineLevel="0" collapsed="false">
      <c r="A2304" s="38" t="n">
        <v>44810</v>
      </c>
      <c r="B2304" s="39" t="n">
        <v>1832.5</v>
      </c>
      <c r="C2304" s="40" t="n">
        <v>74039721.12</v>
      </c>
      <c r="D2304" s="40" t="n">
        <f aca="false">MAX(D2303,C2304)</f>
        <v>84513672.38</v>
      </c>
      <c r="E2304" s="41" t="n">
        <f aca="false">C2304/D2304-1</f>
        <v>-0.123932033303509</v>
      </c>
      <c r="F2304" s="42" t="n">
        <f aca="false">YEAR(A2304)</f>
        <v>2022</v>
      </c>
    </row>
    <row r="2305" customFormat="false" ht="15" hidden="false" customHeight="false" outlineLevel="0" collapsed="false">
      <c r="A2305" s="38" t="n">
        <v>44811</v>
      </c>
      <c r="B2305" s="39" t="n">
        <v>1798</v>
      </c>
      <c r="C2305" s="40" t="n">
        <v>79554201.12</v>
      </c>
      <c r="D2305" s="40" t="n">
        <f aca="false">MAX(D2304,C2305)</f>
        <v>84513672.38</v>
      </c>
      <c r="E2305" s="41" t="n">
        <f aca="false">C2305/D2305-1</f>
        <v>-0.0586824725554541</v>
      </c>
      <c r="F2305" s="42" t="n">
        <f aca="false">YEAR(A2305)</f>
        <v>2022</v>
      </c>
    </row>
    <row r="2306" customFormat="false" ht="15" hidden="false" customHeight="false" outlineLevel="0" collapsed="false">
      <c r="A2306" s="38" t="n">
        <v>44812</v>
      </c>
      <c r="B2306" s="39" t="n">
        <v>1837</v>
      </c>
      <c r="C2306" s="40" t="n">
        <v>73320441.12</v>
      </c>
      <c r="D2306" s="40" t="n">
        <f aca="false">MAX(D2305,C2306)</f>
        <v>84513672.38</v>
      </c>
      <c r="E2306" s="41" t="n">
        <f aca="false">C2306/D2306-1</f>
        <v>-0.132442845574994</v>
      </c>
      <c r="F2306" s="42" t="n">
        <f aca="false">YEAR(A2306)</f>
        <v>2022</v>
      </c>
    </row>
    <row r="2307" customFormat="false" ht="15" hidden="false" customHeight="false" outlineLevel="0" collapsed="false">
      <c r="A2307" s="38" t="n">
        <v>44813</v>
      </c>
      <c r="B2307" s="39" t="n">
        <v>1871.5</v>
      </c>
      <c r="C2307" s="40" t="n">
        <v>67805961.12</v>
      </c>
      <c r="D2307" s="40" t="n">
        <f aca="false">MAX(D2306,C2307)</f>
        <v>84513672.38</v>
      </c>
      <c r="E2307" s="41" t="n">
        <f aca="false">C2307/D2307-1</f>
        <v>-0.197692406323049</v>
      </c>
      <c r="F2307" s="42" t="n">
        <f aca="false">YEAR(A2307)</f>
        <v>2022</v>
      </c>
    </row>
    <row r="2308" customFormat="false" ht="15" hidden="false" customHeight="false" outlineLevel="0" collapsed="false">
      <c r="A2308" s="38" t="n">
        <v>44817</v>
      </c>
      <c r="B2308" s="39" t="n">
        <v>1934.5</v>
      </c>
      <c r="C2308" s="40" t="n">
        <v>57736041.12</v>
      </c>
      <c r="D2308" s="40" t="n">
        <f aca="false">MAX(D2307,C2308)</f>
        <v>84513672.38</v>
      </c>
      <c r="E2308" s="41" t="n">
        <f aca="false">C2308/D2308-1</f>
        <v>-0.316843778123844</v>
      </c>
      <c r="F2308" s="42" t="n">
        <f aca="false">YEAR(A2308)</f>
        <v>2022</v>
      </c>
    </row>
    <row r="2309" customFormat="false" ht="15" hidden="false" customHeight="false" outlineLevel="0" collapsed="false">
      <c r="A2309" s="38" t="n">
        <v>44818</v>
      </c>
      <c r="B2309" s="39" t="n">
        <v>1919</v>
      </c>
      <c r="C2309" s="40" t="n">
        <v>60213561.12</v>
      </c>
      <c r="D2309" s="40" t="n">
        <f aca="false">MAX(D2308,C2309)</f>
        <v>84513672.38</v>
      </c>
      <c r="E2309" s="41" t="n">
        <f aca="false">C2309/D2309-1</f>
        <v>-0.287528758077617</v>
      </c>
      <c r="F2309" s="42" t="n">
        <f aca="false">YEAR(A2309)</f>
        <v>2022</v>
      </c>
    </row>
    <row r="2310" customFormat="false" ht="15" hidden="false" customHeight="false" outlineLevel="0" collapsed="false">
      <c r="A2310" s="38" t="n">
        <v>44819</v>
      </c>
      <c r="B2310" s="39" t="n">
        <v>1973</v>
      </c>
      <c r="C2310" s="40" t="n">
        <v>51582201.12</v>
      </c>
      <c r="D2310" s="40" t="n">
        <f aca="false">MAX(D2309,C2310)</f>
        <v>84513672.38</v>
      </c>
      <c r="E2310" s="41" t="n">
        <f aca="false">C2310/D2310-1</f>
        <v>-0.389658505335442</v>
      </c>
      <c r="F2310" s="42" t="n">
        <f aca="false">YEAR(A2310)</f>
        <v>2022</v>
      </c>
    </row>
    <row r="2311" customFormat="false" ht="15" hidden="false" customHeight="false" outlineLevel="0" collapsed="false">
      <c r="A2311" s="38" t="n">
        <v>44820</v>
      </c>
      <c r="B2311" s="39" t="n">
        <v>1972</v>
      </c>
      <c r="C2311" s="40" t="n">
        <v>51742041.12</v>
      </c>
      <c r="D2311" s="40" t="n">
        <f aca="false">MAX(D2310,C2311)</f>
        <v>84513672.38</v>
      </c>
      <c r="E2311" s="41" t="n">
        <f aca="false">C2311/D2311-1</f>
        <v>-0.387767213719556</v>
      </c>
      <c r="F2311" s="42" t="n">
        <f aca="false">YEAR(A2311)</f>
        <v>2022</v>
      </c>
    </row>
    <row r="2312" customFormat="false" ht="15" hidden="false" customHeight="false" outlineLevel="0" collapsed="false">
      <c r="A2312" s="38" t="n">
        <v>44823</v>
      </c>
      <c r="B2312" s="39" t="n">
        <v>1995</v>
      </c>
      <c r="C2312" s="40" t="n">
        <v>48065721.12</v>
      </c>
      <c r="D2312" s="40" t="n">
        <f aca="false">MAX(D2311,C2312)</f>
        <v>84513672.38</v>
      </c>
      <c r="E2312" s="41" t="n">
        <f aca="false">C2312/D2312-1</f>
        <v>-0.431266920884926</v>
      </c>
      <c r="F2312" s="42" t="n">
        <f aca="false">YEAR(A2312)</f>
        <v>2022</v>
      </c>
    </row>
    <row r="2313" customFormat="false" ht="15" hidden="false" customHeight="false" outlineLevel="0" collapsed="false">
      <c r="A2313" s="38" t="n">
        <v>44824</v>
      </c>
      <c r="B2313" s="39" t="n">
        <v>1974</v>
      </c>
      <c r="C2313" s="40" t="n">
        <v>42390319.26</v>
      </c>
      <c r="D2313" s="40" t="n">
        <f aca="false">MAX(D2312,C2313)</f>
        <v>84513672.38</v>
      </c>
      <c r="E2313" s="41" t="n">
        <f aca="false">C2313/D2313-1</f>
        <v>-0.498420574254544</v>
      </c>
      <c r="F2313" s="42" t="n">
        <f aca="false">YEAR(A2313)</f>
        <v>2022</v>
      </c>
    </row>
    <row r="2314" customFormat="false" ht="15" hidden="false" customHeight="false" outlineLevel="0" collapsed="false">
      <c r="A2314" s="38" t="n">
        <v>44825</v>
      </c>
      <c r="B2314" s="39" t="n">
        <v>2016</v>
      </c>
      <c r="C2314" s="40" t="n">
        <v>42390319.26</v>
      </c>
      <c r="D2314" s="40" t="n">
        <f aca="false">MAX(D2313,C2314)</f>
        <v>84513672.38</v>
      </c>
      <c r="E2314" s="41" t="n">
        <f aca="false">C2314/D2314-1</f>
        <v>-0.498420574254544</v>
      </c>
      <c r="F2314" s="42" t="n">
        <f aca="false">YEAR(A2314)</f>
        <v>2022</v>
      </c>
    </row>
    <row r="2315" customFormat="false" ht="15" hidden="false" customHeight="false" outlineLevel="0" collapsed="false">
      <c r="A2315" s="38" t="n">
        <v>44826</v>
      </c>
      <c r="B2315" s="39" t="n">
        <v>2041.5</v>
      </c>
      <c r="C2315" s="40" t="n">
        <v>42390319.26</v>
      </c>
      <c r="D2315" s="40" t="n">
        <f aca="false">MAX(D2314,C2315)</f>
        <v>84513672.38</v>
      </c>
      <c r="E2315" s="41" t="n">
        <f aca="false">C2315/D2315-1</f>
        <v>-0.498420574254544</v>
      </c>
      <c r="F2315" s="42" t="n">
        <f aca="false">YEAR(A2315)</f>
        <v>2022</v>
      </c>
    </row>
    <row r="2316" customFormat="false" ht="15" hidden="false" customHeight="false" outlineLevel="0" collapsed="false">
      <c r="A2316" s="38" t="n">
        <v>44827</v>
      </c>
      <c r="B2316" s="39" t="n">
        <v>2040.5</v>
      </c>
      <c r="C2316" s="40" t="n">
        <v>42390319.26</v>
      </c>
      <c r="D2316" s="40" t="n">
        <f aca="false">MAX(D2315,C2316)</f>
        <v>84513672.38</v>
      </c>
      <c r="E2316" s="41" t="n">
        <f aca="false">C2316/D2316-1</f>
        <v>-0.498420574254544</v>
      </c>
      <c r="F2316" s="42" t="n">
        <f aca="false">YEAR(A2316)</f>
        <v>2022</v>
      </c>
    </row>
    <row r="2317" customFormat="false" ht="15" hidden="false" customHeight="false" outlineLevel="0" collapsed="false">
      <c r="A2317" s="38" t="n">
        <v>44830</v>
      </c>
      <c r="B2317" s="39" t="n">
        <v>2035.5</v>
      </c>
      <c r="C2317" s="40" t="n">
        <v>42390319.26</v>
      </c>
      <c r="D2317" s="40" t="n">
        <f aca="false">MAX(D2316,C2317)</f>
        <v>84513672.38</v>
      </c>
      <c r="E2317" s="41" t="n">
        <f aca="false">C2317/D2317-1</f>
        <v>-0.498420574254544</v>
      </c>
      <c r="F2317" s="42" t="n">
        <f aca="false">YEAR(A2317)</f>
        <v>2022</v>
      </c>
    </row>
    <row r="2318" customFormat="false" ht="15" hidden="false" customHeight="false" outlineLevel="0" collapsed="false">
      <c r="A2318" s="38" t="n">
        <v>44831</v>
      </c>
      <c r="B2318" s="39" t="n">
        <v>2091</v>
      </c>
      <c r="C2318" s="40" t="n">
        <v>42390319.26</v>
      </c>
      <c r="D2318" s="40" t="n">
        <f aca="false">MAX(D2317,C2318)</f>
        <v>84513672.38</v>
      </c>
      <c r="E2318" s="41" t="n">
        <f aca="false">C2318/D2318-1</f>
        <v>-0.498420574254544</v>
      </c>
      <c r="F2318" s="42" t="n">
        <f aca="false">YEAR(A2318)</f>
        <v>2022</v>
      </c>
    </row>
    <row r="2319" customFormat="false" ht="15" hidden="false" customHeight="false" outlineLevel="0" collapsed="false">
      <c r="A2319" s="38" t="n">
        <v>44832</v>
      </c>
      <c r="B2319" s="39" t="n">
        <v>2057.5</v>
      </c>
      <c r="C2319" s="40" t="n">
        <v>42390319.26</v>
      </c>
      <c r="D2319" s="40" t="n">
        <f aca="false">MAX(D2318,C2319)</f>
        <v>84513672.38</v>
      </c>
      <c r="E2319" s="41" t="n">
        <f aca="false">C2319/D2319-1</f>
        <v>-0.498420574254544</v>
      </c>
      <c r="F2319" s="42" t="n">
        <f aca="false">YEAR(A2319)</f>
        <v>2022</v>
      </c>
    </row>
    <row r="2320" customFormat="false" ht="15" hidden="false" customHeight="false" outlineLevel="0" collapsed="false">
      <c r="A2320" s="38" t="n">
        <v>44833</v>
      </c>
      <c r="B2320" s="39" t="n">
        <v>2066</v>
      </c>
      <c r="C2320" s="40" t="n">
        <v>42390319.26</v>
      </c>
      <c r="D2320" s="40" t="n">
        <f aca="false">MAX(D2319,C2320)</f>
        <v>84513672.38</v>
      </c>
      <c r="E2320" s="41" t="n">
        <f aca="false">C2320/D2320-1</f>
        <v>-0.498420574254544</v>
      </c>
      <c r="F2320" s="42" t="n">
        <f aca="false">YEAR(A2320)</f>
        <v>2022</v>
      </c>
    </row>
    <row r="2321" customFormat="false" ht="15" hidden="false" customHeight="false" outlineLevel="0" collapsed="false">
      <c r="A2321" s="38" t="n">
        <v>44834</v>
      </c>
      <c r="B2321" s="39" t="n">
        <v>2064</v>
      </c>
      <c r="C2321" s="40" t="n">
        <v>42390319.26</v>
      </c>
      <c r="D2321" s="40" t="n">
        <f aca="false">MAX(D2320,C2321)</f>
        <v>84513672.38</v>
      </c>
      <c r="E2321" s="41" t="n">
        <f aca="false">C2321/D2321-1</f>
        <v>-0.498420574254544</v>
      </c>
      <c r="F2321" s="42" t="n">
        <f aca="false">YEAR(A2321)</f>
        <v>2022</v>
      </c>
    </row>
    <row r="2322" customFormat="false" ht="15" hidden="false" customHeight="false" outlineLevel="0" collapsed="false">
      <c r="A2322" s="38" t="n">
        <v>44844</v>
      </c>
      <c r="B2322" s="39" t="n">
        <v>2172</v>
      </c>
      <c r="C2322" s="40" t="n">
        <v>42390319.26</v>
      </c>
      <c r="D2322" s="40" t="n">
        <f aca="false">MAX(D2321,C2322)</f>
        <v>84513672.38</v>
      </c>
      <c r="E2322" s="41" t="n">
        <f aca="false">C2322/D2322-1</f>
        <v>-0.498420574254544</v>
      </c>
      <c r="F2322" s="42" t="n">
        <f aca="false">YEAR(A2322)</f>
        <v>2022</v>
      </c>
    </row>
    <row r="2323" customFormat="false" ht="15" hidden="false" customHeight="false" outlineLevel="0" collapsed="false">
      <c r="A2323" s="38" t="n">
        <v>44845</v>
      </c>
      <c r="B2323" s="39" t="n">
        <v>2126</v>
      </c>
      <c r="C2323" s="40" t="n">
        <v>42390319.26</v>
      </c>
      <c r="D2323" s="40" t="n">
        <f aca="false">MAX(D2322,C2323)</f>
        <v>84513672.38</v>
      </c>
      <c r="E2323" s="41" t="n">
        <f aca="false">C2323/D2323-1</f>
        <v>-0.498420574254544</v>
      </c>
      <c r="F2323" s="42" t="n">
        <f aca="false">YEAR(A2323)</f>
        <v>2022</v>
      </c>
    </row>
    <row r="2324" customFormat="false" ht="15" hidden="false" customHeight="false" outlineLevel="0" collapsed="false">
      <c r="A2324" s="38" t="n">
        <v>44846</v>
      </c>
      <c r="B2324" s="39" t="n">
        <v>2089</v>
      </c>
      <c r="C2324" s="40" t="n">
        <v>42390319.26</v>
      </c>
      <c r="D2324" s="40" t="n">
        <f aca="false">MAX(D2323,C2324)</f>
        <v>84513672.38</v>
      </c>
      <c r="E2324" s="41" t="n">
        <f aca="false">C2324/D2324-1</f>
        <v>-0.498420574254544</v>
      </c>
      <c r="F2324" s="42" t="n">
        <f aca="false">YEAR(A2324)</f>
        <v>2022</v>
      </c>
    </row>
    <row r="2325" customFormat="false" ht="15" hidden="false" customHeight="false" outlineLevel="0" collapsed="false">
      <c r="A2325" s="38" t="n">
        <v>44847</v>
      </c>
      <c r="B2325" s="39" t="n">
        <v>2059.5</v>
      </c>
      <c r="C2325" s="40" t="n">
        <v>42390319.26</v>
      </c>
      <c r="D2325" s="40" t="n">
        <f aca="false">MAX(D2324,C2325)</f>
        <v>84513672.38</v>
      </c>
      <c r="E2325" s="41" t="n">
        <f aca="false">C2325/D2325-1</f>
        <v>-0.498420574254544</v>
      </c>
      <c r="F2325" s="42" t="n">
        <f aca="false">YEAR(A2325)</f>
        <v>2022</v>
      </c>
    </row>
    <row r="2326" customFormat="false" ht="15" hidden="false" customHeight="false" outlineLevel="0" collapsed="false">
      <c r="A2326" s="38" t="n">
        <v>44848</v>
      </c>
      <c r="B2326" s="39" t="n">
        <v>2106</v>
      </c>
      <c r="C2326" s="40" t="n">
        <v>42390319.26</v>
      </c>
      <c r="D2326" s="40" t="n">
        <f aca="false">MAX(D2325,C2326)</f>
        <v>84513672.38</v>
      </c>
      <c r="E2326" s="41" t="n">
        <f aca="false">C2326/D2326-1</f>
        <v>-0.498420574254544</v>
      </c>
      <c r="F2326" s="42" t="n">
        <f aca="false">YEAR(A2326)</f>
        <v>2022</v>
      </c>
    </row>
    <row r="2327" customFormat="false" ht="15" hidden="false" customHeight="false" outlineLevel="0" collapsed="false">
      <c r="A2327" s="38" t="n">
        <v>44851</v>
      </c>
      <c r="B2327" s="39" t="n">
        <v>2001</v>
      </c>
      <c r="C2327" s="40" t="n">
        <v>42390319.26</v>
      </c>
      <c r="D2327" s="40" t="n">
        <f aca="false">MAX(D2326,C2327)</f>
        <v>84513672.38</v>
      </c>
      <c r="E2327" s="41" t="n">
        <f aca="false">C2327/D2327-1</f>
        <v>-0.498420574254544</v>
      </c>
      <c r="F2327" s="42" t="n">
        <f aca="false">YEAR(A2327)</f>
        <v>2022</v>
      </c>
    </row>
    <row r="2328" customFormat="false" ht="15" hidden="false" customHeight="false" outlineLevel="0" collapsed="false">
      <c r="A2328" s="38" t="n">
        <v>44852</v>
      </c>
      <c r="B2328" s="39" t="n">
        <v>1975.5</v>
      </c>
      <c r="C2328" s="40" t="n">
        <v>42390319.26</v>
      </c>
      <c r="D2328" s="40" t="n">
        <f aca="false">MAX(D2327,C2328)</f>
        <v>84513672.38</v>
      </c>
      <c r="E2328" s="41" t="n">
        <f aca="false">C2328/D2328-1</f>
        <v>-0.498420574254544</v>
      </c>
      <c r="F2328" s="42" t="n">
        <f aca="false">YEAR(A2328)</f>
        <v>2022</v>
      </c>
    </row>
    <row r="2329" customFormat="false" ht="15" hidden="false" customHeight="false" outlineLevel="0" collapsed="false">
      <c r="A2329" s="38" t="n">
        <v>44853</v>
      </c>
      <c r="B2329" s="39" t="n">
        <v>1977</v>
      </c>
      <c r="C2329" s="40" t="n">
        <v>42390319.26</v>
      </c>
      <c r="D2329" s="40" t="n">
        <f aca="false">MAX(D2328,C2329)</f>
        <v>84513672.38</v>
      </c>
      <c r="E2329" s="41" t="n">
        <f aca="false">C2329/D2329-1</f>
        <v>-0.498420574254544</v>
      </c>
      <c r="F2329" s="42" t="n">
        <f aca="false">YEAR(A2329)</f>
        <v>2022</v>
      </c>
    </row>
    <row r="2330" customFormat="false" ht="15" hidden="false" customHeight="false" outlineLevel="0" collapsed="false">
      <c r="A2330" s="38" t="n">
        <v>44854</v>
      </c>
      <c r="B2330" s="39" t="n">
        <v>1939.5</v>
      </c>
      <c r="C2330" s="40" t="n">
        <v>42390319.26</v>
      </c>
      <c r="D2330" s="40" t="n">
        <f aca="false">MAX(D2329,C2330)</f>
        <v>84513672.38</v>
      </c>
      <c r="E2330" s="41" t="n">
        <f aca="false">C2330/D2330-1</f>
        <v>-0.498420574254544</v>
      </c>
      <c r="F2330" s="42" t="n">
        <f aca="false">YEAR(A2330)</f>
        <v>2022</v>
      </c>
    </row>
    <row r="2331" customFormat="false" ht="15" hidden="false" customHeight="false" outlineLevel="0" collapsed="false">
      <c r="A2331" s="38" t="n">
        <v>44855</v>
      </c>
      <c r="B2331" s="39" t="n">
        <v>1960.5</v>
      </c>
      <c r="C2331" s="40" t="n">
        <v>42390319.26</v>
      </c>
      <c r="D2331" s="40" t="n">
        <f aca="false">MAX(D2330,C2331)</f>
        <v>84513672.38</v>
      </c>
      <c r="E2331" s="41" t="n">
        <f aca="false">C2331/D2331-1</f>
        <v>-0.498420574254544</v>
      </c>
      <c r="F2331" s="42" t="n">
        <f aca="false">YEAR(A2331)</f>
        <v>2022</v>
      </c>
    </row>
    <row r="2332" customFormat="false" ht="15" hidden="false" customHeight="false" outlineLevel="0" collapsed="false">
      <c r="A2332" s="38" t="n">
        <v>44858</v>
      </c>
      <c r="B2332" s="39" t="n">
        <v>1977</v>
      </c>
      <c r="C2332" s="40" t="n">
        <v>42390319.26</v>
      </c>
      <c r="D2332" s="40" t="n">
        <f aca="false">MAX(D2331,C2332)</f>
        <v>84513672.38</v>
      </c>
      <c r="E2332" s="41" t="n">
        <f aca="false">C2332/D2332-1</f>
        <v>-0.498420574254544</v>
      </c>
      <c r="F2332" s="42" t="n">
        <f aca="false">YEAR(A2332)</f>
        <v>2022</v>
      </c>
    </row>
    <row r="2333" customFormat="false" ht="15" hidden="false" customHeight="false" outlineLevel="0" collapsed="false">
      <c r="A2333" s="38" t="n">
        <v>44859</v>
      </c>
      <c r="B2333" s="39" t="n">
        <v>1892.5</v>
      </c>
      <c r="C2333" s="40" t="n">
        <v>42390319.26</v>
      </c>
      <c r="D2333" s="40" t="n">
        <f aca="false">MAX(D2332,C2333)</f>
        <v>84513672.38</v>
      </c>
      <c r="E2333" s="41" t="n">
        <f aca="false">C2333/D2333-1</f>
        <v>-0.498420574254544</v>
      </c>
      <c r="F2333" s="42" t="n">
        <f aca="false">YEAR(A2333)</f>
        <v>2022</v>
      </c>
    </row>
    <row r="2334" customFormat="false" ht="15" hidden="false" customHeight="false" outlineLevel="0" collapsed="false">
      <c r="A2334" s="38" t="n">
        <v>44860</v>
      </c>
      <c r="B2334" s="39" t="n">
        <v>1879</v>
      </c>
      <c r="C2334" s="40" t="n">
        <v>42390319.26</v>
      </c>
      <c r="D2334" s="40" t="n">
        <f aca="false">MAX(D2333,C2334)</f>
        <v>84513672.38</v>
      </c>
      <c r="E2334" s="41" t="n">
        <f aca="false">C2334/D2334-1</f>
        <v>-0.498420574254544</v>
      </c>
      <c r="F2334" s="42" t="n">
        <f aca="false">YEAR(A2334)</f>
        <v>2022</v>
      </c>
    </row>
    <row r="2335" customFormat="false" ht="15" hidden="false" customHeight="false" outlineLevel="0" collapsed="false">
      <c r="A2335" s="38" t="n">
        <v>44861</v>
      </c>
      <c r="B2335" s="39" t="n">
        <v>1861.5</v>
      </c>
      <c r="C2335" s="40" t="n">
        <v>42390319.26</v>
      </c>
      <c r="D2335" s="40" t="n">
        <f aca="false">MAX(D2334,C2335)</f>
        <v>84513672.38</v>
      </c>
      <c r="E2335" s="41" t="n">
        <f aca="false">C2335/D2335-1</f>
        <v>-0.498420574254544</v>
      </c>
      <c r="F2335" s="42" t="n">
        <f aca="false">YEAR(A2335)</f>
        <v>2022</v>
      </c>
    </row>
    <row r="2336" customFormat="false" ht="15" hidden="false" customHeight="false" outlineLevel="0" collapsed="false">
      <c r="A2336" s="38" t="n">
        <v>44862</v>
      </c>
      <c r="B2336" s="39" t="n">
        <v>1838</v>
      </c>
      <c r="C2336" s="40" t="n">
        <v>42390319.26</v>
      </c>
      <c r="D2336" s="40" t="n">
        <f aca="false">MAX(D2335,C2336)</f>
        <v>84513672.38</v>
      </c>
      <c r="E2336" s="41" t="n">
        <f aca="false">C2336/D2336-1</f>
        <v>-0.498420574254544</v>
      </c>
      <c r="F2336" s="42" t="n">
        <f aca="false">YEAR(A2336)</f>
        <v>2022</v>
      </c>
    </row>
    <row r="2337" customFormat="false" ht="15" hidden="false" customHeight="false" outlineLevel="0" collapsed="false">
      <c r="A2337" s="38" t="n">
        <v>44865</v>
      </c>
      <c r="B2337" s="39" t="n">
        <v>1777</v>
      </c>
      <c r="C2337" s="40" t="n">
        <v>42390319.26</v>
      </c>
      <c r="D2337" s="40" t="n">
        <f aca="false">MAX(D2336,C2337)</f>
        <v>84513672.38</v>
      </c>
      <c r="E2337" s="41" t="n">
        <f aca="false">C2337/D2337-1</f>
        <v>-0.498420574254544</v>
      </c>
      <c r="F2337" s="42" t="n">
        <f aca="false">YEAR(A2337)</f>
        <v>2022</v>
      </c>
    </row>
    <row r="2338" customFormat="false" ht="15" hidden="false" customHeight="false" outlineLevel="0" collapsed="false">
      <c r="A2338" s="38" t="n">
        <v>44866</v>
      </c>
      <c r="B2338" s="39" t="n">
        <v>1841</v>
      </c>
      <c r="C2338" s="40" t="n">
        <v>42390319.26</v>
      </c>
      <c r="D2338" s="40" t="n">
        <f aca="false">MAX(D2337,C2338)</f>
        <v>84513672.38</v>
      </c>
      <c r="E2338" s="41" t="n">
        <f aca="false">C2338/D2338-1</f>
        <v>-0.498420574254544</v>
      </c>
      <c r="F2338" s="42" t="n">
        <f aca="false">YEAR(A2338)</f>
        <v>2022</v>
      </c>
    </row>
    <row r="2339" customFormat="false" ht="15" hidden="false" customHeight="false" outlineLevel="0" collapsed="false">
      <c r="A2339" s="38" t="n">
        <v>44867</v>
      </c>
      <c r="B2339" s="39" t="n">
        <v>1862.5</v>
      </c>
      <c r="C2339" s="40" t="n">
        <v>42390319.26</v>
      </c>
      <c r="D2339" s="40" t="n">
        <f aca="false">MAX(D2338,C2339)</f>
        <v>84513672.38</v>
      </c>
      <c r="E2339" s="41" t="n">
        <f aca="false">C2339/D2339-1</f>
        <v>-0.498420574254544</v>
      </c>
      <c r="F2339" s="42" t="n">
        <f aca="false">YEAR(A2339)</f>
        <v>2022</v>
      </c>
    </row>
    <row r="2340" customFormat="false" ht="15" hidden="false" customHeight="false" outlineLevel="0" collapsed="false">
      <c r="A2340" s="38" t="n">
        <v>44868</v>
      </c>
      <c r="B2340" s="39" t="n">
        <v>1872.5</v>
      </c>
      <c r="C2340" s="40" t="n">
        <v>42390319.26</v>
      </c>
      <c r="D2340" s="40" t="n">
        <f aca="false">MAX(D2339,C2340)</f>
        <v>84513672.38</v>
      </c>
      <c r="E2340" s="41" t="n">
        <f aca="false">C2340/D2340-1</f>
        <v>-0.498420574254544</v>
      </c>
      <c r="F2340" s="42" t="n">
        <f aca="false">YEAR(A2340)</f>
        <v>2022</v>
      </c>
    </row>
    <row r="2341" customFormat="false" ht="15" hidden="false" customHeight="false" outlineLevel="0" collapsed="false">
      <c r="A2341" s="38" t="n">
        <v>44869</v>
      </c>
      <c r="B2341" s="39" t="n">
        <v>1957.5</v>
      </c>
      <c r="C2341" s="40" t="n">
        <v>42390319.26</v>
      </c>
      <c r="D2341" s="40" t="n">
        <f aca="false">MAX(D2340,C2341)</f>
        <v>84513672.38</v>
      </c>
      <c r="E2341" s="41" t="n">
        <f aca="false">C2341/D2341-1</f>
        <v>-0.498420574254544</v>
      </c>
      <c r="F2341" s="42" t="n">
        <f aca="false">YEAR(A2341)</f>
        <v>2022</v>
      </c>
    </row>
    <row r="2342" customFormat="false" ht="15" hidden="false" customHeight="false" outlineLevel="0" collapsed="false">
      <c r="A2342" s="38" t="n">
        <v>44872</v>
      </c>
      <c r="B2342" s="39" t="n">
        <v>1954.5</v>
      </c>
      <c r="C2342" s="40" t="n">
        <v>42390319.26</v>
      </c>
      <c r="D2342" s="40" t="n">
        <f aca="false">MAX(D2341,C2342)</f>
        <v>84513672.38</v>
      </c>
      <c r="E2342" s="41" t="n">
        <f aca="false">C2342/D2342-1</f>
        <v>-0.498420574254544</v>
      </c>
      <c r="F2342" s="42" t="n">
        <f aca="false">YEAR(A2342)</f>
        <v>2022</v>
      </c>
    </row>
    <row r="2343" customFormat="false" ht="15" hidden="false" customHeight="false" outlineLevel="0" collapsed="false">
      <c r="A2343" s="38" t="n">
        <v>44873</v>
      </c>
      <c r="B2343" s="39" t="n">
        <v>1970.5</v>
      </c>
      <c r="C2343" s="40" t="n">
        <v>42390319.26</v>
      </c>
      <c r="D2343" s="40" t="n">
        <f aca="false">MAX(D2342,C2343)</f>
        <v>84513672.38</v>
      </c>
      <c r="E2343" s="41" t="n">
        <f aca="false">C2343/D2343-1</f>
        <v>-0.498420574254544</v>
      </c>
      <c r="F2343" s="42" t="n">
        <f aca="false">YEAR(A2343)</f>
        <v>2022</v>
      </c>
    </row>
    <row r="2344" customFormat="false" ht="15" hidden="false" customHeight="false" outlineLevel="0" collapsed="false">
      <c r="A2344" s="38" t="n">
        <v>44874</v>
      </c>
      <c r="B2344" s="39" t="n">
        <v>1965</v>
      </c>
      <c r="C2344" s="40" t="n">
        <v>42390319.26</v>
      </c>
      <c r="D2344" s="40" t="n">
        <f aca="false">MAX(D2343,C2344)</f>
        <v>84513672.38</v>
      </c>
      <c r="E2344" s="41" t="n">
        <f aca="false">C2344/D2344-1</f>
        <v>-0.498420574254544</v>
      </c>
      <c r="F2344" s="42" t="n">
        <f aca="false">YEAR(A2344)</f>
        <v>2022</v>
      </c>
    </row>
    <row r="2345" customFormat="false" ht="15" hidden="false" customHeight="false" outlineLevel="0" collapsed="false">
      <c r="A2345" s="38" t="n">
        <v>44875</v>
      </c>
      <c r="B2345" s="39" t="n">
        <v>1903.5</v>
      </c>
      <c r="C2345" s="40" t="n">
        <v>42390319.26</v>
      </c>
      <c r="D2345" s="40" t="n">
        <f aca="false">MAX(D2344,C2345)</f>
        <v>84513672.38</v>
      </c>
      <c r="E2345" s="41" t="n">
        <f aca="false">C2345/D2345-1</f>
        <v>-0.498420574254544</v>
      </c>
      <c r="F2345" s="42" t="n">
        <f aca="false">YEAR(A2345)</f>
        <v>2022</v>
      </c>
    </row>
    <row r="2346" customFormat="false" ht="15" hidden="false" customHeight="false" outlineLevel="0" collapsed="false">
      <c r="A2346" s="38" t="n">
        <v>44876</v>
      </c>
      <c r="B2346" s="39" t="n">
        <v>1993</v>
      </c>
      <c r="C2346" s="40" t="n">
        <v>42390319.26</v>
      </c>
      <c r="D2346" s="40" t="n">
        <f aca="false">MAX(D2345,C2346)</f>
        <v>84513672.38</v>
      </c>
      <c r="E2346" s="41" t="n">
        <f aca="false">C2346/D2346-1</f>
        <v>-0.498420574254544</v>
      </c>
      <c r="F2346" s="42" t="n">
        <f aca="false">YEAR(A2346)</f>
        <v>2022</v>
      </c>
    </row>
    <row r="2347" customFormat="false" ht="15" hidden="false" customHeight="false" outlineLevel="0" collapsed="false">
      <c r="A2347" s="38" t="n">
        <v>44879</v>
      </c>
      <c r="B2347" s="39" t="n">
        <v>1995.5</v>
      </c>
      <c r="C2347" s="40" t="n">
        <v>42390319.26</v>
      </c>
      <c r="D2347" s="40" t="n">
        <f aca="false">MAX(D2346,C2347)</f>
        <v>84513672.38</v>
      </c>
      <c r="E2347" s="41" t="n">
        <f aca="false">C2347/D2347-1</f>
        <v>-0.498420574254544</v>
      </c>
      <c r="F2347" s="42" t="n">
        <f aca="false">YEAR(A2347)</f>
        <v>2022</v>
      </c>
    </row>
    <row r="2348" customFormat="false" ht="15" hidden="false" customHeight="false" outlineLevel="0" collapsed="false">
      <c r="A2348" s="38" t="n">
        <v>44880</v>
      </c>
      <c r="B2348" s="39" t="n">
        <v>2028.5</v>
      </c>
      <c r="C2348" s="40" t="n">
        <v>42390319.26</v>
      </c>
      <c r="D2348" s="40" t="n">
        <f aca="false">MAX(D2347,C2348)</f>
        <v>84513672.38</v>
      </c>
      <c r="E2348" s="41" t="n">
        <f aca="false">C2348/D2348-1</f>
        <v>-0.498420574254544</v>
      </c>
      <c r="F2348" s="42" t="n">
        <f aca="false">YEAR(A2348)</f>
        <v>2022</v>
      </c>
    </row>
    <row r="2349" customFormat="false" ht="15" hidden="false" customHeight="false" outlineLevel="0" collapsed="false">
      <c r="A2349" s="38" t="n">
        <v>44881</v>
      </c>
      <c r="B2349" s="39" t="n">
        <v>2020.5</v>
      </c>
      <c r="C2349" s="40" t="n">
        <v>42390319.26</v>
      </c>
      <c r="D2349" s="40" t="n">
        <f aca="false">MAX(D2348,C2349)</f>
        <v>84513672.38</v>
      </c>
      <c r="E2349" s="41" t="n">
        <f aca="false">C2349/D2349-1</f>
        <v>-0.498420574254544</v>
      </c>
      <c r="F2349" s="42" t="n">
        <f aca="false">YEAR(A2349)</f>
        <v>2022</v>
      </c>
    </row>
    <row r="2350" customFormat="false" ht="15" hidden="false" customHeight="false" outlineLevel="0" collapsed="false">
      <c r="A2350" s="38" t="n">
        <v>44882</v>
      </c>
      <c r="B2350" s="39" t="n">
        <v>2011.5</v>
      </c>
      <c r="C2350" s="40" t="n">
        <v>42390319.26</v>
      </c>
      <c r="D2350" s="40" t="n">
        <f aca="false">MAX(D2349,C2350)</f>
        <v>84513672.38</v>
      </c>
      <c r="E2350" s="41" t="n">
        <f aca="false">C2350/D2350-1</f>
        <v>-0.498420574254544</v>
      </c>
      <c r="F2350" s="42" t="n">
        <f aca="false">YEAR(A2350)</f>
        <v>2022</v>
      </c>
    </row>
    <row r="2351" customFormat="false" ht="15" hidden="false" customHeight="false" outlineLevel="0" collapsed="false">
      <c r="A2351" s="38" t="n">
        <v>44883</v>
      </c>
      <c r="B2351" s="39" t="n">
        <v>2024</v>
      </c>
      <c r="C2351" s="40" t="n">
        <v>42390319.26</v>
      </c>
      <c r="D2351" s="40" t="n">
        <f aca="false">MAX(D2350,C2351)</f>
        <v>84513672.38</v>
      </c>
      <c r="E2351" s="41" t="n">
        <f aca="false">C2351/D2351-1</f>
        <v>-0.498420574254544</v>
      </c>
      <c r="F2351" s="42" t="n">
        <f aca="false">YEAR(A2351)</f>
        <v>2022</v>
      </c>
    </row>
    <row r="2352" customFormat="false" ht="15" hidden="false" customHeight="false" outlineLevel="0" collapsed="false">
      <c r="A2352" s="38" t="n">
        <v>44886</v>
      </c>
      <c r="B2352" s="39" t="n">
        <v>1951</v>
      </c>
      <c r="C2352" s="40" t="n">
        <v>42390319.26</v>
      </c>
      <c r="D2352" s="40" t="n">
        <f aca="false">MAX(D2351,C2352)</f>
        <v>84513672.38</v>
      </c>
      <c r="E2352" s="41" t="n">
        <f aca="false">C2352/D2352-1</f>
        <v>-0.498420574254544</v>
      </c>
      <c r="F2352" s="42" t="n">
        <f aca="false">YEAR(A2352)</f>
        <v>2022</v>
      </c>
    </row>
    <row r="2353" customFormat="false" ht="15" hidden="false" customHeight="false" outlineLevel="0" collapsed="false">
      <c r="A2353" s="38" t="n">
        <v>44887</v>
      </c>
      <c r="B2353" s="39" t="n">
        <v>1901.5</v>
      </c>
      <c r="C2353" s="40" t="n">
        <v>42390319.26</v>
      </c>
      <c r="D2353" s="40" t="n">
        <f aca="false">MAX(D2352,C2353)</f>
        <v>84513672.38</v>
      </c>
      <c r="E2353" s="41" t="n">
        <f aca="false">C2353/D2353-1</f>
        <v>-0.498420574254544</v>
      </c>
      <c r="F2353" s="42" t="n">
        <f aca="false">YEAR(A2353)</f>
        <v>2022</v>
      </c>
    </row>
    <row r="2354" customFormat="false" ht="15" hidden="false" customHeight="false" outlineLevel="0" collapsed="false">
      <c r="A2354" s="38" t="n">
        <v>44888</v>
      </c>
      <c r="B2354" s="39" t="n">
        <v>1940.5</v>
      </c>
      <c r="C2354" s="40" t="n">
        <v>42390319.26</v>
      </c>
      <c r="D2354" s="40" t="n">
        <f aca="false">MAX(D2353,C2354)</f>
        <v>84513672.38</v>
      </c>
      <c r="E2354" s="41" t="n">
        <f aca="false">C2354/D2354-1</f>
        <v>-0.498420574254544</v>
      </c>
      <c r="F2354" s="42" t="n">
        <f aca="false">YEAR(A2354)</f>
        <v>2022</v>
      </c>
    </row>
    <row r="2355" customFormat="false" ht="15" hidden="false" customHeight="false" outlineLevel="0" collapsed="false">
      <c r="A2355" s="38" t="n">
        <v>44889</v>
      </c>
      <c r="B2355" s="39" t="n">
        <v>1956</v>
      </c>
      <c r="C2355" s="40" t="n">
        <v>42390319.26</v>
      </c>
      <c r="D2355" s="40" t="n">
        <f aca="false">MAX(D2354,C2355)</f>
        <v>84513672.38</v>
      </c>
      <c r="E2355" s="41" t="n">
        <f aca="false">C2355/D2355-1</f>
        <v>-0.498420574254544</v>
      </c>
      <c r="F2355" s="42" t="n">
        <f aca="false">YEAR(A2355)</f>
        <v>2022</v>
      </c>
    </row>
    <row r="2356" customFormat="false" ht="15" hidden="false" customHeight="false" outlineLevel="0" collapsed="false">
      <c r="A2356" s="38" t="n">
        <v>44890</v>
      </c>
      <c r="B2356" s="39" t="n">
        <v>2006</v>
      </c>
      <c r="C2356" s="40" t="n">
        <v>42390319.26</v>
      </c>
      <c r="D2356" s="40" t="n">
        <f aca="false">MAX(D2355,C2356)</f>
        <v>84513672.38</v>
      </c>
      <c r="E2356" s="41" t="n">
        <f aca="false">C2356/D2356-1</f>
        <v>-0.498420574254544</v>
      </c>
      <c r="F2356" s="42" t="n">
        <f aca="false">YEAR(A2356)</f>
        <v>2022</v>
      </c>
    </row>
    <row r="2357" customFormat="false" ht="15" hidden="false" customHeight="false" outlineLevel="0" collapsed="false">
      <c r="A2357" s="38" t="n">
        <v>44893</v>
      </c>
      <c r="B2357" s="39" t="n">
        <v>1994</v>
      </c>
      <c r="C2357" s="40" t="n">
        <v>42390319.26</v>
      </c>
      <c r="D2357" s="40" t="n">
        <f aca="false">MAX(D2356,C2357)</f>
        <v>84513672.38</v>
      </c>
      <c r="E2357" s="41" t="n">
        <f aca="false">C2357/D2357-1</f>
        <v>-0.498420574254544</v>
      </c>
      <c r="F2357" s="42" t="n">
        <f aca="false">YEAR(A2357)</f>
        <v>2022</v>
      </c>
    </row>
    <row r="2358" customFormat="false" ht="15" hidden="false" customHeight="false" outlineLevel="0" collapsed="false">
      <c r="A2358" s="38" t="n">
        <v>44894</v>
      </c>
      <c r="B2358" s="39" t="n">
        <v>2049.5</v>
      </c>
      <c r="C2358" s="40" t="n">
        <v>46157503.37</v>
      </c>
      <c r="D2358" s="40" t="n">
        <f aca="false">MAX(D2357,C2358)</f>
        <v>84513672.38</v>
      </c>
      <c r="E2358" s="41" t="n">
        <f aca="false">C2358/D2358-1</f>
        <v>-0.4538457261393</v>
      </c>
      <c r="F2358" s="42" t="n">
        <f aca="false">YEAR(A2358)</f>
        <v>2022</v>
      </c>
    </row>
    <row r="2359" customFormat="false" ht="15" hidden="false" customHeight="false" outlineLevel="0" collapsed="false">
      <c r="A2359" s="38" t="n">
        <v>44895</v>
      </c>
      <c r="B2359" s="39" t="n">
        <v>2036</v>
      </c>
      <c r="C2359" s="40" t="n">
        <v>44969233.37</v>
      </c>
      <c r="D2359" s="40" t="n">
        <f aca="false">MAX(D2358,C2359)</f>
        <v>84513672.38</v>
      </c>
      <c r="E2359" s="41" t="n">
        <f aca="false">C2359/D2359-1</f>
        <v>-0.467905818033747</v>
      </c>
      <c r="F2359" s="42" t="n">
        <f aca="false">YEAR(A2359)</f>
        <v>2022</v>
      </c>
    </row>
    <row r="2360" customFormat="false" ht="15" hidden="false" customHeight="false" outlineLevel="0" collapsed="false">
      <c r="A2360" s="38" t="n">
        <v>44896</v>
      </c>
      <c r="B2360" s="39" t="n">
        <v>1970.5</v>
      </c>
      <c r="C2360" s="40" t="n">
        <v>39203923.37</v>
      </c>
      <c r="D2360" s="40" t="n">
        <f aca="false">MAX(D2359,C2360)</f>
        <v>84513672.38</v>
      </c>
      <c r="E2360" s="41" t="n">
        <f aca="false">C2360/D2360-1</f>
        <v>-0.536123300929028</v>
      </c>
      <c r="F2360" s="42" t="n">
        <f aca="false">YEAR(A2360)</f>
        <v>2022</v>
      </c>
    </row>
    <row r="2361" customFormat="false" ht="15" hidden="false" customHeight="false" outlineLevel="0" collapsed="false">
      <c r="A2361" s="38" t="n">
        <v>44897</v>
      </c>
      <c r="B2361" s="39" t="n">
        <v>1989.5</v>
      </c>
      <c r="C2361" s="40" t="n">
        <v>40876303.37</v>
      </c>
      <c r="D2361" s="40" t="n">
        <f aca="false">MAX(D2360,C2361)</f>
        <v>84513672.38</v>
      </c>
      <c r="E2361" s="41" t="n">
        <f aca="false">C2361/D2361-1</f>
        <v>-0.516335023447954</v>
      </c>
      <c r="F2361" s="42" t="n">
        <f aca="false">YEAR(A2361)</f>
        <v>2022</v>
      </c>
    </row>
    <row r="2362" customFormat="false" ht="15" hidden="false" customHeight="false" outlineLevel="0" collapsed="false">
      <c r="A2362" s="38" t="n">
        <v>44900</v>
      </c>
      <c r="B2362" s="39" t="n">
        <v>2001</v>
      </c>
      <c r="C2362" s="40" t="n">
        <v>41888533.37</v>
      </c>
      <c r="D2362" s="40" t="n">
        <f aca="false">MAX(D2361,C2362)</f>
        <v>84513672.38</v>
      </c>
      <c r="E2362" s="41" t="n">
        <f aca="false">C2362/D2362-1</f>
        <v>-0.504357908130462</v>
      </c>
      <c r="F2362" s="42" t="n">
        <f aca="false">YEAR(A2362)</f>
        <v>2022</v>
      </c>
    </row>
    <row r="2363" customFormat="false" ht="15" hidden="false" customHeight="false" outlineLevel="0" collapsed="false">
      <c r="A2363" s="38" t="n">
        <v>44901</v>
      </c>
      <c r="B2363" s="39" t="n">
        <v>1941</v>
      </c>
      <c r="C2363" s="40" t="n">
        <v>36607333.37</v>
      </c>
      <c r="D2363" s="40" t="n">
        <f aca="false">MAX(D2362,C2363)</f>
        <v>84513672.38</v>
      </c>
      <c r="E2363" s="41" t="n">
        <f aca="false">C2363/D2363-1</f>
        <v>-0.566847205439116</v>
      </c>
      <c r="F2363" s="42" t="n">
        <f aca="false">YEAR(A2363)</f>
        <v>2022</v>
      </c>
    </row>
    <row r="2364" customFormat="false" ht="15" hidden="false" customHeight="false" outlineLevel="0" collapsed="false">
      <c r="A2364" s="38" t="n">
        <v>44902</v>
      </c>
      <c r="B2364" s="39" t="n">
        <v>1889.5</v>
      </c>
      <c r="C2364" s="40" t="n">
        <v>32074303.37</v>
      </c>
      <c r="D2364" s="40" t="n">
        <f aca="false">MAX(D2363,C2364)</f>
        <v>84513672.38</v>
      </c>
      <c r="E2364" s="41" t="n">
        <f aca="false">C2364/D2364-1</f>
        <v>-0.620483852295711</v>
      </c>
      <c r="F2364" s="42" t="n">
        <f aca="false">YEAR(A2364)</f>
        <v>2022</v>
      </c>
    </row>
    <row r="2365" customFormat="false" ht="15" hidden="false" customHeight="false" outlineLevel="0" collapsed="false">
      <c r="A2365" s="38" t="n">
        <v>44903</v>
      </c>
      <c r="B2365" s="39" t="n">
        <v>1923.5</v>
      </c>
      <c r="C2365" s="40" t="n">
        <v>35066983.37</v>
      </c>
      <c r="D2365" s="40" t="n">
        <f aca="false">MAX(D2364,C2365)</f>
        <v>84513672.38</v>
      </c>
      <c r="E2365" s="41" t="n">
        <f aca="false">C2365/D2365-1</f>
        <v>-0.585073250487473</v>
      </c>
      <c r="F2365" s="42" t="n">
        <f aca="false">YEAR(A2365)</f>
        <v>2022</v>
      </c>
    </row>
    <row r="2366" customFormat="false" ht="15" hidden="false" customHeight="false" outlineLevel="0" collapsed="false">
      <c r="A2366" s="38" t="n">
        <v>44904</v>
      </c>
      <c r="B2366" s="39" t="n">
        <v>1967</v>
      </c>
      <c r="C2366" s="40" t="n">
        <v>38895853.37</v>
      </c>
      <c r="D2366" s="40" t="n">
        <f aca="false">MAX(D2365,C2366)</f>
        <v>84513672.38</v>
      </c>
      <c r="E2366" s="41" t="n">
        <f aca="false">C2366/D2366-1</f>
        <v>-0.539768509938699</v>
      </c>
      <c r="F2366" s="42" t="n">
        <f aca="false">YEAR(A2366)</f>
        <v>2022</v>
      </c>
    </row>
    <row r="2367" customFormat="false" ht="15" hidden="false" customHeight="false" outlineLevel="0" collapsed="false">
      <c r="A2367" s="38" t="n">
        <v>44907</v>
      </c>
      <c r="B2367" s="39" t="n">
        <v>2017</v>
      </c>
      <c r="C2367" s="40" t="n">
        <v>43296853.37</v>
      </c>
      <c r="D2367" s="40" t="n">
        <f aca="false">MAX(D2366,C2367)</f>
        <v>84513672.38</v>
      </c>
      <c r="E2367" s="41" t="n">
        <f aca="false">C2367/D2367-1</f>
        <v>-0.487694095514821</v>
      </c>
      <c r="F2367" s="42" t="n">
        <f aca="false">YEAR(A2367)</f>
        <v>2022</v>
      </c>
    </row>
    <row r="2368" customFormat="false" ht="15" hidden="false" customHeight="false" outlineLevel="0" collapsed="false">
      <c r="A2368" s="38" t="n">
        <v>44908</v>
      </c>
      <c r="B2368" s="39" t="n">
        <v>2017.5</v>
      </c>
      <c r="C2368" s="40" t="n">
        <v>43340863.37</v>
      </c>
      <c r="D2368" s="40" t="n">
        <f aca="false">MAX(D2367,C2368)</f>
        <v>84513672.38</v>
      </c>
      <c r="E2368" s="41" t="n">
        <f aca="false">C2368/D2368-1</f>
        <v>-0.487173351370582</v>
      </c>
      <c r="F2368" s="42" t="n">
        <f aca="false">YEAR(A2368)</f>
        <v>2022</v>
      </c>
    </row>
    <row r="2369" customFormat="false" ht="15" hidden="false" customHeight="false" outlineLevel="0" collapsed="false">
      <c r="A2369" s="38" t="n">
        <v>44909</v>
      </c>
      <c r="B2369" s="39" t="n">
        <v>2057.5</v>
      </c>
      <c r="C2369" s="40" t="n">
        <v>46861663.37</v>
      </c>
      <c r="D2369" s="40" t="n">
        <f aca="false">MAX(D2368,C2369)</f>
        <v>84513672.38</v>
      </c>
      <c r="E2369" s="41" t="n">
        <f aca="false">C2369/D2369-1</f>
        <v>-0.445513819831479</v>
      </c>
      <c r="F2369" s="42" t="n">
        <f aca="false">YEAR(A2369)</f>
        <v>2022</v>
      </c>
    </row>
    <row r="2370" customFormat="false" ht="15" hidden="false" customHeight="false" outlineLevel="0" collapsed="false">
      <c r="A2370" s="38" t="n">
        <v>44910</v>
      </c>
      <c r="B2370" s="39" t="n">
        <v>2069.5</v>
      </c>
      <c r="C2370" s="40" t="n">
        <v>47917903.37</v>
      </c>
      <c r="D2370" s="40" t="n">
        <f aca="false">MAX(D2369,C2370)</f>
        <v>84513672.38</v>
      </c>
      <c r="E2370" s="41" t="n">
        <f aca="false">C2370/D2370-1</f>
        <v>-0.433015960369749</v>
      </c>
      <c r="F2370" s="42" t="n">
        <f aca="false">YEAR(A2370)</f>
        <v>2022</v>
      </c>
    </row>
    <row r="2371" customFormat="false" ht="15" hidden="false" customHeight="false" outlineLevel="0" collapsed="false">
      <c r="A2371" s="38" t="n">
        <v>44911</v>
      </c>
      <c r="B2371" s="39" t="n">
        <v>2035.5</v>
      </c>
      <c r="C2371" s="40" t="n">
        <v>44925223.37</v>
      </c>
      <c r="D2371" s="40" t="n">
        <f aca="false">MAX(D2370,C2371)</f>
        <v>84513672.38</v>
      </c>
      <c r="E2371" s="41" t="n">
        <f aca="false">C2371/D2371-1</f>
        <v>-0.468426562177986</v>
      </c>
      <c r="F2371" s="42" t="n">
        <f aca="false">YEAR(A2371)</f>
        <v>2022</v>
      </c>
    </row>
    <row r="2372" customFormat="false" ht="15" hidden="false" customHeight="false" outlineLevel="0" collapsed="false">
      <c r="A2372" s="38" t="n">
        <v>44914</v>
      </c>
      <c r="B2372" s="39" t="n">
        <v>1922.5</v>
      </c>
      <c r="C2372" s="40" t="n">
        <v>34978963.37</v>
      </c>
      <c r="D2372" s="40" t="n">
        <f aca="false">MAX(D2371,C2372)</f>
        <v>84513672.38</v>
      </c>
      <c r="E2372" s="41" t="n">
        <f aca="false">C2372/D2372-1</f>
        <v>-0.586114738775951</v>
      </c>
      <c r="F2372" s="42" t="n">
        <f aca="false">YEAR(A2372)</f>
        <v>2022</v>
      </c>
    </row>
    <row r="2373" customFormat="false" ht="15" hidden="false" customHeight="false" outlineLevel="0" collapsed="false">
      <c r="A2373" s="38" t="n">
        <v>44915</v>
      </c>
      <c r="B2373" s="39" t="n">
        <v>1906.5</v>
      </c>
      <c r="C2373" s="40" t="n">
        <v>33570643.37</v>
      </c>
      <c r="D2373" s="40" t="n">
        <f aca="false">MAX(D2372,C2373)</f>
        <v>84513672.38</v>
      </c>
      <c r="E2373" s="41" t="n">
        <f aca="false">C2373/D2373-1</f>
        <v>-0.602778551391592</v>
      </c>
      <c r="F2373" s="42" t="n">
        <f aca="false">YEAR(A2373)</f>
        <v>2022</v>
      </c>
    </row>
    <row r="2374" customFormat="false" ht="15" hidden="false" customHeight="false" outlineLevel="0" collapsed="false">
      <c r="A2374" s="38" t="n">
        <v>44916</v>
      </c>
      <c r="B2374" s="39" t="n">
        <v>1966</v>
      </c>
      <c r="C2374" s="40" t="n">
        <v>38807833.37</v>
      </c>
      <c r="D2374" s="40" t="n">
        <f aca="false">MAX(D2373,C2374)</f>
        <v>84513672.38</v>
      </c>
      <c r="E2374" s="41" t="n">
        <f aca="false">C2374/D2374-1</f>
        <v>-0.540809998227177</v>
      </c>
      <c r="F2374" s="42" t="n">
        <f aca="false">YEAR(A2374)</f>
        <v>2022</v>
      </c>
    </row>
    <row r="2375" customFormat="false" ht="15" hidden="false" customHeight="false" outlineLevel="0" collapsed="false">
      <c r="A2375" s="38" t="n">
        <v>44917</v>
      </c>
      <c r="B2375" s="39" t="n">
        <v>1891</v>
      </c>
      <c r="C2375" s="40" t="n">
        <v>32206333.37</v>
      </c>
      <c r="D2375" s="40" t="n">
        <f aca="false">MAX(D2374,C2375)</f>
        <v>84513672.38</v>
      </c>
      <c r="E2375" s="41" t="n">
        <f aca="false">C2375/D2375-1</f>
        <v>-0.618921619862994</v>
      </c>
      <c r="F2375" s="42" t="n">
        <f aca="false">YEAR(A2375)</f>
        <v>2022</v>
      </c>
    </row>
    <row r="2376" customFormat="false" ht="15" hidden="false" customHeight="false" outlineLevel="0" collapsed="false">
      <c r="A2376" s="38" t="n">
        <v>44918</v>
      </c>
      <c r="B2376" s="39" t="n">
        <v>1894</v>
      </c>
      <c r="C2376" s="40" t="n">
        <v>32470393.37</v>
      </c>
      <c r="D2376" s="40" t="n">
        <f aca="false">MAX(D2375,C2376)</f>
        <v>84513672.38</v>
      </c>
      <c r="E2376" s="41" t="n">
        <f aca="false">C2376/D2376-1</f>
        <v>-0.615797154997562</v>
      </c>
      <c r="F2376" s="42" t="n">
        <f aca="false">YEAR(A2376)</f>
        <v>2022</v>
      </c>
    </row>
    <row r="2377" customFormat="false" ht="15" hidden="false" customHeight="false" outlineLevel="0" collapsed="false">
      <c r="A2377" s="38" t="n">
        <v>44921</v>
      </c>
      <c r="B2377" s="39" t="n">
        <v>1945</v>
      </c>
      <c r="C2377" s="40" t="n">
        <v>36959413.37</v>
      </c>
      <c r="D2377" s="40" t="n">
        <f aca="false">MAX(D2376,C2377)</f>
        <v>84513672.38</v>
      </c>
      <c r="E2377" s="41" t="n">
        <f aca="false">C2377/D2377-1</f>
        <v>-0.562681252285206</v>
      </c>
      <c r="F2377" s="42" t="n">
        <f aca="false">YEAR(A2377)</f>
        <v>2022</v>
      </c>
    </row>
    <row r="2378" customFormat="false" ht="15" hidden="false" customHeight="false" outlineLevel="0" collapsed="false">
      <c r="A2378" s="38" t="n">
        <v>44922</v>
      </c>
      <c r="B2378" s="39" t="n">
        <v>1965.5</v>
      </c>
      <c r="C2378" s="40" t="n">
        <v>38763823.37</v>
      </c>
      <c r="D2378" s="40" t="n">
        <f aca="false">MAX(D2377,C2378)</f>
        <v>84513672.38</v>
      </c>
      <c r="E2378" s="41" t="n">
        <f aca="false">C2378/D2378-1</f>
        <v>-0.541330742371416</v>
      </c>
      <c r="F2378" s="42" t="n">
        <f aca="false">YEAR(A2378)</f>
        <v>2022</v>
      </c>
    </row>
    <row r="2379" customFormat="false" ht="15" hidden="false" customHeight="false" outlineLevel="0" collapsed="false">
      <c r="A2379" s="38" t="n">
        <v>44923</v>
      </c>
      <c r="B2379" s="39" t="n">
        <v>1912</v>
      </c>
      <c r="C2379" s="40" t="n">
        <v>34054753.37</v>
      </c>
      <c r="D2379" s="40" t="n">
        <f aca="false">MAX(D2378,C2379)</f>
        <v>84513672.38</v>
      </c>
      <c r="E2379" s="41" t="n">
        <f aca="false">C2379/D2379-1</f>
        <v>-0.597050365804965</v>
      </c>
      <c r="F2379" s="42" t="n">
        <f aca="false">YEAR(A2379)</f>
        <v>2022</v>
      </c>
    </row>
    <row r="2380" customFormat="false" ht="15" hidden="false" customHeight="false" outlineLevel="0" collapsed="false">
      <c r="A2380" s="38" t="n">
        <v>44924</v>
      </c>
      <c r="B2380" s="39" t="n">
        <v>1889.5</v>
      </c>
      <c r="C2380" s="40" t="n">
        <v>32074303.37</v>
      </c>
      <c r="D2380" s="40" t="n">
        <f aca="false">MAX(D2379,C2380)</f>
        <v>84513672.38</v>
      </c>
      <c r="E2380" s="41" t="n">
        <f aca="false">C2380/D2380-1</f>
        <v>-0.620483852295711</v>
      </c>
      <c r="F2380" s="42" t="n">
        <f aca="false">YEAR(A2380)</f>
        <v>2022</v>
      </c>
    </row>
    <row r="2381" customFormat="false" ht="15" hidden="false" customHeight="false" outlineLevel="0" collapsed="false">
      <c r="A2381" s="38" t="n">
        <v>44925</v>
      </c>
      <c r="B2381" s="39" t="n">
        <v>1865.5</v>
      </c>
      <c r="C2381" s="40" t="n">
        <v>29961823.37</v>
      </c>
      <c r="D2381" s="40" t="n">
        <f aca="false">MAX(D2380,C2381)</f>
        <v>84513672.38</v>
      </c>
      <c r="E2381" s="41" t="n">
        <f aca="false">C2381/D2381-1</f>
        <v>-0.645479571219172</v>
      </c>
      <c r="F2381" s="42" t="n">
        <f aca="false">YEAR(A2381)</f>
        <v>2022</v>
      </c>
    </row>
    <row r="2382" customFormat="false" ht="15" hidden="false" customHeight="false" outlineLevel="0" collapsed="false">
      <c r="A2382" s="38" t="n">
        <v>44929</v>
      </c>
      <c r="B2382" s="39" t="n">
        <v>1826.5</v>
      </c>
      <c r="C2382" s="40" t="n">
        <v>28488488.92</v>
      </c>
      <c r="D2382" s="40" t="n">
        <f aca="false">MAX(D2381,C2382)</f>
        <v>84513672.38</v>
      </c>
      <c r="E2382" s="41" t="n">
        <f aca="false">C2382/D2382-1</f>
        <v>-0.662912661138345</v>
      </c>
      <c r="F2382" s="42" t="n">
        <f aca="false">YEAR(A2382)</f>
        <v>2023</v>
      </c>
    </row>
    <row r="2383" customFormat="false" ht="15" hidden="false" customHeight="false" outlineLevel="0" collapsed="false">
      <c r="A2383" s="38" t="n">
        <v>44930</v>
      </c>
      <c r="B2383" s="39" t="n">
        <v>1770.5</v>
      </c>
      <c r="C2383" s="40" t="n">
        <v>28488488.92</v>
      </c>
      <c r="D2383" s="40" t="n">
        <f aca="false">MAX(D2382,C2383)</f>
        <v>84513672.38</v>
      </c>
      <c r="E2383" s="41" t="n">
        <f aca="false">C2383/D2383-1</f>
        <v>-0.662912661138345</v>
      </c>
      <c r="F2383" s="42" t="n">
        <f aca="false">YEAR(A2383)</f>
        <v>2023</v>
      </c>
    </row>
    <row r="2384" customFormat="false" ht="15" hidden="false" customHeight="false" outlineLevel="0" collapsed="false">
      <c r="A2384" s="38" t="n">
        <v>44931</v>
      </c>
      <c r="B2384" s="39" t="n">
        <v>1791</v>
      </c>
      <c r="C2384" s="40" t="n">
        <v>28488488.92</v>
      </c>
      <c r="D2384" s="40" t="n">
        <f aca="false">MAX(D2383,C2384)</f>
        <v>84513672.38</v>
      </c>
      <c r="E2384" s="41" t="n">
        <f aca="false">C2384/D2384-1</f>
        <v>-0.662912661138345</v>
      </c>
      <c r="F2384" s="42" t="n">
        <f aca="false">YEAR(A2384)</f>
        <v>2023</v>
      </c>
    </row>
    <row r="2385" customFormat="false" ht="15" hidden="false" customHeight="false" outlineLevel="0" collapsed="false">
      <c r="A2385" s="38" t="n">
        <v>44932</v>
      </c>
      <c r="B2385" s="39" t="n">
        <v>1822</v>
      </c>
      <c r="C2385" s="40" t="n">
        <v>28488488.92</v>
      </c>
      <c r="D2385" s="40" t="n">
        <f aca="false">MAX(D2384,C2385)</f>
        <v>84513672.38</v>
      </c>
      <c r="E2385" s="41" t="n">
        <f aca="false">C2385/D2385-1</f>
        <v>-0.662912661138345</v>
      </c>
      <c r="F2385" s="42" t="n">
        <f aca="false">YEAR(A2385)</f>
        <v>2023</v>
      </c>
    </row>
    <row r="2386" customFormat="false" ht="15" hidden="false" customHeight="false" outlineLevel="0" collapsed="false">
      <c r="A2386" s="38" t="n">
        <v>44935</v>
      </c>
      <c r="B2386" s="39" t="n">
        <v>1856</v>
      </c>
      <c r="C2386" s="40" t="n">
        <v>28488488.92</v>
      </c>
      <c r="D2386" s="40" t="n">
        <f aca="false">MAX(D2385,C2386)</f>
        <v>84513672.38</v>
      </c>
      <c r="E2386" s="41" t="n">
        <f aca="false">C2386/D2386-1</f>
        <v>-0.662912661138345</v>
      </c>
      <c r="F2386" s="42" t="n">
        <f aca="false">YEAR(A2386)</f>
        <v>2023</v>
      </c>
    </row>
    <row r="2387" customFormat="false" ht="15" hidden="false" customHeight="false" outlineLevel="0" collapsed="false">
      <c r="A2387" s="38" t="n">
        <v>44936</v>
      </c>
      <c r="B2387" s="39" t="n">
        <v>1841.5</v>
      </c>
      <c r="C2387" s="40" t="n">
        <v>28488488.92</v>
      </c>
      <c r="D2387" s="40" t="n">
        <f aca="false">MAX(D2386,C2387)</f>
        <v>84513672.38</v>
      </c>
      <c r="E2387" s="41" t="n">
        <f aca="false">C2387/D2387-1</f>
        <v>-0.662912661138345</v>
      </c>
      <c r="F2387" s="42" t="n">
        <f aca="false">YEAR(A2387)</f>
        <v>2023</v>
      </c>
    </row>
    <row r="2388" customFormat="false" ht="15" hidden="false" customHeight="false" outlineLevel="0" collapsed="false">
      <c r="A2388" s="38" t="n">
        <v>44937</v>
      </c>
      <c r="B2388" s="39" t="n">
        <v>1880.5</v>
      </c>
      <c r="C2388" s="40" t="n">
        <v>28488488.92</v>
      </c>
      <c r="D2388" s="40" t="n">
        <f aca="false">MAX(D2387,C2388)</f>
        <v>84513672.38</v>
      </c>
      <c r="E2388" s="41" t="n">
        <f aca="false">C2388/D2388-1</f>
        <v>-0.662912661138345</v>
      </c>
      <c r="F2388" s="42" t="n">
        <f aca="false">YEAR(A2388)</f>
        <v>2023</v>
      </c>
    </row>
    <row r="2389" customFormat="false" ht="15" hidden="false" customHeight="false" outlineLevel="0" collapsed="false">
      <c r="A2389" s="38" t="n">
        <v>44938</v>
      </c>
      <c r="B2389" s="39" t="n">
        <v>1852.5</v>
      </c>
      <c r="C2389" s="40" t="n">
        <v>28488488.92</v>
      </c>
      <c r="D2389" s="40" t="n">
        <f aca="false">MAX(D2388,C2389)</f>
        <v>84513672.38</v>
      </c>
      <c r="E2389" s="41" t="n">
        <f aca="false">C2389/D2389-1</f>
        <v>-0.662912661138345</v>
      </c>
      <c r="F2389" s="42" t="n">
        <f aca="false">YEAR(A2389)</f>
        <v>2023</v>
      </c>
    </row>
    <row r="2390" customFormat="false" ht="15" hidden="false" customHeight="false" outlineLevel="0" collapsed="false">
      <c r="A2390" s="38" t="n">
        <v>44939</v>
      </c>
      <c r="B2390" s="39" t="n">
        <v>1884</v>
      </c>
      <c r="C2390" s="40" t="n">
        <v>28488488.92</v>
      </c>
      <c r="D2390" s="40" t="n">
        <f aca="false">MAX(D2389,C2390)</f>
        <v>84513672.38</v>
      </c>
      <c r="E2390" s="41" t="n">
        <f aca="false">C2390/D2390-1</f>
        <v>-0.662912661138345</v>
      </c>
      <c r="F2390" s="42" t="n">
        <f aca="false">YEAR(A2390)</f>
        <v>2023</v>
      </c>
    </row>
    <row r="2391" customFormat="false" ht="15" hidden="false" customHeight="false" outlineLevel="0" collapsed="false">
      <c r="A2391" s="38" t="n">
        <v>44942</v>
      </c>
      <c r="B2391" s="39" t="n">
        <v>1863</v>
      </c>
      <c r="C2391" s="40" t="n">
        <v>28488488.92</v>
      </c>
      <c r="D2391" s="40" t="n">
        <f aca="false">MAX(D2390,C2391)</f>
        <v>84513672.38</v>
      </c>
      <c r="E2391" s="41" t="n">
        <f aca="false">C2391/D2391-1</f>
        <v>-0.662912661138345</v>
      </c>
      <c r="F2391" s="42" t="n">
        <f aca="false">YEAR(A2391)</f>
        <v>2023</v>
      </c>
    </row>
    <row r="2392" customFormat="false" ht="15" hidden="false" customHeight="false" outlineLevel="0" collapsed="false">
      <c r="A2392" s="38" t="n">
        <v>44943</v>
      </c>
      <c r="B2392" s="39" t="n">
        <v>1851</v>
      </c>
      <c r="C2392" s="40" t="n">
        <v>28488488.92</v>
      </c>
      <c r="D2392" s="40" t="n">
        <f aca="false">MAX(D2391,C2392)</f>
        <v>84513672.38</v>
      </c>
      <c r="E2392" s="41" t="n">
        <f aca="false">C2392/D2392-1</f>
        <v>-0.662912661138345</v>
      </c>
      <c r="F2392" s="42" t="n">
        <f aca="false">YEAR(A2392)</f>
        <v>2023</v>
      </c>
    </row>
    <row r="2393" customFormat="false" ht="15" hidden="false" customHeight="false" outlineLevel="0" collapsed="false">
      <c r="A2393" s="38" t="n">
        <v>44944</v>
      </c>
      <c r="B2393" s="39" t="n">
        <v>1885</v>
      </c>
      <c r="C2393" s="40" t="n">
        <v>28488488.92</v>
      </c>
      <c r="D2393" s="40" t="n">
        <f aca="false">MAX(D2392,C2393)</f>
        <v>84513672.38</v>
      </c>
      <c r="E2393" s="41" t="n">
        <f aca="false">C2393/D2393-1</f>
        <v>-0.662912661138345</v>
      </c>
      <c r="F2393" s="42" t="n">
        <f aca="false">YEAR(A2393)</f>
        <v>2023</v>
      </c>
    </row>
    <row r="2394" customFormat="false" ht="15" hidden="false" customHeight="false" outlineLevel="0" collapsed="false">
      <c r="A2394" s="38" t="n">
        <v>44945</v>
      </c>
      <c r="B2394" s="39" t="n">
        <v>1888.5</v>
      </c>
      <c r="C2394" s="40" t="n">
        <v>28488488.92</v>
      </c>
      <c r="D2394" s="40" t="n">
        <f aca="false">MAX(D2393,C2394)</f>
        <v>84513672.38</v>
      </c>
      <c r="E2394" s="41" t="n">
        <f aca="false">C2394/D2394-1</f>
        <v>-0.662912661138345</v>
      </c>
      <c r="F2394" s="42" t="n">
        <f aca="false">YEAR(A2394)</f>
        <v>2023</v>
      </c>
    </row>
    <row r="2395" customFormat="false" ht="15" hidden="false" customHeight="false" outlineLevel="0" collapsed="false">
      <c r="A2395" s="38" t="n">
        <v>44946</v>
      </c>
      <c r="B2395" s="39" t="n">
        <v>1879</v>
      </c>
      <c r="C2395" s="40" t="n">
        <v>28488488.92</v>
      </c>
      <c r="D2395" s="40" t="n">
        <f aca="false">MAX(D2394,C2395)</f>
        <v>84513672.38</v>
      </c>
      <c r="E2395" s="41" t="n">
        <f aca="false">C2395/D2395-1</f>
        <v>-0.662912661138345</v>
      </c>
      <c r="F2395" s="42" t="n">
        <f aca="false">YEAR(A2395)</f>
        <v>2023</v>
      </c>
    </row>
    <row r="2396" customFormat="false" ht="15" hidden="false" customHeight="false" outlineLevel="0" collapsed="false">
      <c r="A2396" s="38" t="n">
        <v>44956</v>
      </c>
      <c r="B2396" s="39" t="n">
        <v>1860</v>
      </c>
      <c r="C2396" s="40" t="n">
        <v>28488488.92</v>
      </c>
      <c r="D2396" s="40" t="n">
        <f aca="false">MAX(D2395,C2396)</f>
        <v>84513672.38</v>
      </c>
      <c r="E2396" s="41" t="n">
        <f aca="false">C2396/D2396-1</f>
        <v>-0.662912661138345</v>
      </c>
      <c r="F2396" s="42" t="n">
        <f aca="false">YEAR(A2396)</f>
        <v>2023</v>
      </c>
    </row>
    <row r="2397" customFormat="false" ht="15" hidden="false" customHeight="false" outlineLevel="0" collapsed="false">
      <c r="A2397" s="38" t="n">
        <v>44957</v>
      </c>
      <c r="B2397" s="39" t="n">
        <v>1825.5</v>
      </c>
      <c r="C2397" s="40" t="n">
        <v>28488488.92</v>
      </c>
      <c r="D2397" s="40" t="n">
        <f aca="false">MAX(D2396,C2397)</f>
        <v>84513672.38</v>
      </c>
      <c r="E2397" s="41" t="n">
        <f aca="false">C2397/D2397-1</f>
        <v>-0.662912661138345</v>
      </c>
      <c r="F2397" s="42" t="n">
        <f aca="false">YEAR(A2397)</f>
        <v>2023</v>
      </c>
    </row>
    <row r="2398" customFormat="false" ht="15" hidden="false" customHeight="false" outlineLevel="0" collapsed="false">
      <c r="A2398" s="38" t="n">
        <v>44958</v>
      </c>
      <c r="B2398" s="39" t="n">
        <v>1781.5</v>
      </c>
      <c r="C2398" s="40" t="n">
        <v>28488488.92</v>
      </c>
      <c r="D2398" s="40" t="n">
        <f aca="false">MAX(D2397,C2398)</f>
        <v>84513672.38</v>
      </c>
      <c r="E2398" s="41" t="n">
        <f aca="false">C2398/D2398-1</f>
        <v>-0.662912661138345</v>
      </c>
      <c r="F2398" s="42" t="n">
        <f aca="false">YEAR(A2398)</f>
        <v>2023</v>
      </c>
    </row>
    <row r="2399" customFormat="false" ht="15" hidden="false" customHeight="false" outlineLevel="0" collapsed="false">
      <c r="A2399" s="38" t="n">
        <v>44959</v>
      </c>
      <c r="B2399" s="39" t="n">
        <v>1792.5</v>
      </c>
      <c r="C2399" s="40" t="n">
        <v>28488488.92</v>
      </c>
      <c r="D2399" s="40" t="n">
        <f aca="false">MAX(D2398,C2399)</f>
        <v>84513672.38</v>
      </c>
      <c r="E2399" s="41" t="n">
        <f aca="false">C2399/D2399-1</f>
        <v>-0.662912661138345</v>
      </c>
      <c r="F2399" s="42" t="n">
        <f aca="false">YEAR(A2399)</f>
        <v>2023</v>
      </c>
    </row>
    <row r="2400" customFormat="false" ht="15" hidden="false" customHeight="false" outlineLevel="0" collapsed="false">
      <c r="A2400" s="38" t="n">
        <v>44960</v>
      </c>
      <c r="B2400" s="39" t="n">
        <v>1803</v>
      </c>
      <c r="C2400" s="40" t="n">
        <v>28488488.92</v>
      </c>
      <c r="D2400" s="40" t="n">
        <f aca="false">MAX(D2399,C2400)</f>
        <v>84513672.38</v>
      </c>
      <c r="E2400" s="41" t="n">
        <f aca="false">C2400/D2400-1</f>
        <v>-0.662912661138345</v>
      </c>
      <c r="F2400" s="42" t="n">
        <f aca="false">YEAR(A2400)</f>
        <v>2023</v>
      </c>
    </row>
    <row r="2401" customFormat="false" ht="15" hidden="false" customHeight="false" outlineLevel="0" collapsed="false">
      <c r="A2401" s="38" t="n">
        <v>44963</v>
      </c>
      <c r="B2401" s="39" t="n">
        <v>1826</v>
      </c>
      <c r="C2401" s="40" t="n">
        <v>28488488.92</v>
      </c>
      <c r="D2401" s="40" t="n">
        <f aca="false">MAX(D2400,C2401)</f>
        <v>84513672.38</v>
      </c>
      <c r="E2401" s="41" t="n">
        <f aca="false">C2401/D2401-1</f>
        <v>-0.662912661138345</v>
      </c>
      <c r="F2401" s="42" t="n">
        <f aca="false">YEAR(A2401)</f>
        <v>2023</v>
      </c>
    </row>
    <row r="2402" customFormat="false" ht="15" hidden="false" customHeight="false" outlineLevel="0" collapsed="false">
      <c r="A2402" s="38" t="n">
        <v>44964</v>
      </c>
      <c r="B2402" s="39" t="n">
        <v>1819</v>
      </c>
      <c r="C2402" s="40" t="n">
        <v>28488488.92</v>
      </c>
      <c r="D2402" s="40" t="n">
        <f aca="false">MAX(D2401,C2402)</f>
        <v>84513672.38</v>
      </c>
      <c r="E2402" s="41" t="n">
        <f aca="false">C2402/D2402-1</f>
        <v>-0.662912661138345</v>
      </c>
      <c r="F2402" s="42" t="n">
        <f aca="false">YEAR(A2402)</f>
        <v>2023</v>
      </c>
    </row>
    <row r="2403" customFormat="false" ht="15" hidden="false" customHeight="false" outlineLevel="0" collapsed="false">
      <c r="A2403" s="38" t="n">
        <v>44965</v>
      </c>
      <c r="B2403" s="39" t="n">
        <v>1833</v>
      </c>
      <c r="C2403" s="40" t="n">
        <v>28488488.92</v>
      </c>
      <c r="D2403" s="40" t="n">
        <f aca="false">MAX(D2402,C2403)</f>
        <v>84513672.38</v>
      </c>
      <c r="E2403" s="41" t="n">
        <f aca="false">C2403/D2403-1</f>
        <v>-0.662912661138345</v>
      </c>
      <c r="F2403" s="42" t="n">
        <f aca="false">YEAR(A2403)</f>
        <v>2023</v>
      </c>
    </row>
    <row r="2404" customFormat="false" ht="15" hidden="false" customHeight="false" outlineLevel="0" collapsed="false">
      <c r="A2404" s="38" t="n">
        <v>44966</v>
      </c>
      <c r="B2404" s="39" t="n">
        <v>1834.5</v>
      </c>
      <c r="C2404" s="40" t="n">
        <v>28488488.92</v>
      </c>
      <c r="D2404" s="40" t="n">
        <f aca="false">MAX(D2403,C2404)</f>
        <v>84513672.38</v>
      </c>
      <c r="E2404" s="41" t="n">
        <f aca="false">C2404/D2404-1</f>
        <v>-0.662912661138345</v>
      </c>
      <c r="F2404" s="42" t="n">
        <f aca="false">YEAR(A2404)</f>
        <v>2023</v>
      </c>
    </row>
    <row r="2405" customFormat="false" ht="15" hidden="false" customHeight="false" outlineLevel="0" collapsed="false">
      <c r="A2405" s="38" t="n">
        <v>44967</v>
      </c>
      <c r="B2405" s="39" t="n">
        <v>1828</v>
      </c>
      <c r="C2405" s="40" t="n">
        <v>28488488.92</v>
      </c>
      <c r="D2405" s="40" t="n">
        <f aca="false">MAX(D2404,C2405)</f>
        <v>84513672.38</v>
      </c>
      <c r="E2405" s="41" t="n">
        <f aca="false">C2405/D2405-1</f>
        <v>-0.662912661138345</v>
      </c>
      <c r="F2405" s="42" t="n">
        <f aca="false">YEAR(A2405)</f>
        <v>2023</v>
      </c>
    </row>
    <row r="2406" customFormat="false" ht="15" hidden="false" customHeight="false" outlineLevel="0" collapsed="false">
      <c r="A2406" s="38" t="n">
        <v>44970</v>
      </c>
      <c r="B2406" s="39" t="n">
        <v>1777</v>
      </c>
      <c r="C2406" s="40" t="n">
        <v>28488488.92</v>
      </c>
      <c r="D2406" s="40" t="n">
        <f aca="false">MAX(D2405,C2406)</f>
        <v>84513672.38</v>
      </c>
      <c r="E2406" s="41" t="n">
        <f aca="false">C2406/D2406-1</f>
        <v>-0.662912661138345</v>
      </c>
      <c r="F2406" s="42" t="n">
        <f aca="false">YEAR(A2406)</f>
        <v>2023</v>
      </c>
    </row>
    <row r="2407" customFormat="false" ht="15" hidden="false" customHeight="false" outlineLevel="0" collapsed="false">
      <c r="A2407" s="38" t="n">
        <v>44971</v>
      </c>
      <c r="B2407" s="39" t="n">
        <v>1800</v>
      </c>
      <c r="C2407" s="40" t="n">
        <v>28488488.92</v>
      </c>
      <c r="D2407" s="40" t="n">
        <f aca="false">MAX(D2406,C2407)</f>
        <v>84513672.38</v>
      </c>
      <c r="E2407" s="41" t="n">
        <f aca="false">C2407/D2407-1</f>
        <v>-0.662912661138345</v>
      </c>
      <c r="F2407" s="42" t="n">
        <f aca="false">YEAR(A2407)</f>
        <v>2023</v>
      </c>
    </row>
    <row r="2408" customFormat="false" ht="15" hidden="false" customHeight="false" outlineLevel="0" collapsed="false">
      <c r="A2408" s="38" t="n">
        <v>44972</v>
      </c>
      <c r="B2408" s="39" t="n">
        <v>1811</v>
      </c>
      <c r="C2408" s="40" t="n">
        <v>28488488.92</v>
      </c>
      <c r="D2408" s="40" t="n">
        <f aca="false">MAX(D2407,C2408)</f>
        <v>84513672.38</v>
      </c>
      <c r="E2408" s="41" t="n">
        <f aca="false">C2408/D2408-1</f>
        <v>-0.662912661138345</v>
      </c>
      <c r="F2408" s="42" t="n">
        <f aca="false">YEAR(A2408)</f>
        <v>2023</v>
      </c>
    </row>
    <row r="2409" customFormat="false" ht="15" hidden="false" customHeight="false" outlineLevel="0" collapsed="false">
      <c r="A2409" s="38" t="n">
        <v>44973</v>
      </c>
      <c r="B2409" s="39" t="n">
        <v>1850.5</v>
      </c>
      <c r="C2409" s="40" t="n">
        <v>28488488.92</v>
      </c>
      <c r="D2409" s="40" t="n">
        <f aca="false">MAX(D2408,C2409)</f>
        <v>84513672.38</v>
      </c>
      <c r="E2409" s="41" t="n">
        <f aca="false">C2409/D2409-1</f>
        <v>-0.662912661138345</v>
      </c>
      <c r="F2409" s="42" t="n">
        <f aca="false">YEAR(A2409)</f>
        <v>2023</v>
      </c>
    </row>
    <row r="2410" customFormat="false" ht="15" hidden="false" customHeight="false" outlineLevel="0" collapsed="false">
      <c r="A2410" s="38" t="n">
        <v>44974</v>
      </c>
      <c r="B2410" s="39" t="n">
        <v>1878.5</v>
      </c>
      <c r="C2410" s="40" t="n">
        <v>28488488.92</v>
      </c>
      <c r="D2410" s="40" t="n">
        <f aca="false">MAX(D2409,C2410)</f>
        <v>84513672.38</v>
      </c>
      <c r="E2410" s="41" t="n">
        <f aca="false">C2410/D2410-1</f>
        <v>-0.662912661138345</v>
      </c>
      <c r="F2410" s="42" t="n">
        <f aca="false">YEAR(A2410)</f>
        <v>2023</v>
      </c>
    </row>
    <row r="2411" customFormat="false" ht="15" hidden="false" customHeight="false" outlineLevel="0" collapsed="false">
      <c r="A2411" s="38" t="n">
        <v>44977</v>
      </c>
      <c r="B2411" s="39" t="n">
        <v>1904.5</v>
      </c>
      <c r="C2411" s="40" t="n">
        <v>28488488.92</v>
      </c>
      <c r="D2411" s="40" t="n">
        <f aca="false">MAX(D2410,C2411)</f>
        <v>84513672.38</v>
      </c>
      <c r="E2411" s="41" t="n">
        <f aca="false">C2411/D2411-1</f>
        <v>-0.662912661138345</v>
      </c>
      <c r="F2411" s="42" t="n">
        <f aca="false">YEAR(A2411)</f>
        <v>2023</v>
      </c>
    </row>
    <row r="2412" customFormat="false" ht="15" hidden="false" customHeight="false" outlineLevel="0" collapsed="false">
      <c r="A2412" s="38" t="n">
        <v>44978</v>
      </c>
      <c r="B2412" s="39" t="n">
        <v>1953</v>
      </c>
      <c r="C2412" s="40" t="n">
        <v>28488488.92</v>
      </c>
      <c r="D2412" s="40" t="n">
        <f aca="false">MAX(D2411,C2412)</f>
        <v>84513672.38</v>
      </c>
      <c r="E2412" s="41" t="n">
        <f aca="false">C2412/D2412-1</f>
        <v>-0.662912661138345</v>
      </c>
      <c r="F2412" s="42" t="n">
        <f aca="false">YEAR(A2412)</f>
        <v>2023</v>
      </c>
    </row>
    <row r="2413" customFormat="false" ht="15" hidden="false" customHeight="false" outlineLevel="0" collapsed="false">
      <c r="A2413" s="38" t="n">
        <v>44979</v>
      </c>
      <c r="B2413" s="39" t="n">
        <v>1942</v>
      </c>
      <c r="C2413" s="40" t="n">
        <v>28488488.92</v>
      </c>
      <c r="D2413" s="40" t="n">
        <f aca="false">MAX(D2412,C2413)</f>
        <v>84513672.38</v>
      </c>
      <c r="E2413" s="41" t="n">
        <f aca="false">C2413/D2413-1</f>
        <v>-0.662912661138345</v>
      </c>
      <c r="F2413" s="42" t="n">
        <f aca="false">YEAR(A2413)</f>
        <v>2023</v>
      </c>
    </row>
    <row r="2414" customFormat="false" ht="15" hidden="false" customHeight="false" outlineLevel="0" collapsed="false">
      <c r="A2414" s="38" t="n">
        <v>44980</v>
      </c>
      <c r="B2414" s="39" t="n">
        <v>1999.5</v>
      </c>
      <c r="C2414" s="40" t="n">
        <v>28488488.92</v>
      </c>
      <c r="D2414" s="40" t="n">
        <f aca="false">MAX(D2413,C2414)</f>
        <v>84513672.38</v>
      </c>
      <c r="E2414" s="41" t="n">
        <f aca="false">C2414/D2414-1</f>
        <v>-0.662912661138345</v>
      </c>
      <c r="F2414" s="42" t="n">
        <f aca="false">YEAR(A2414)</f>
        <v>2023</v>
      </c>
    </row>
    <row r="2415" customFormat="false" ht="15" hidden="false" customHeight="false" outlineLevel="0" collapsed="false">
      <c r="A2415" s="38" t="n">
        <v>44981</v>
      </c>
      <c r="B2415" s="39" t="n">
        <v>2029</v>
      </c>
      <c r="C2415" s="40" t="n">
        <v>28488488.92</v>
      </c>
      <c r="D2415" s="40" t="n">
        <f aca="false">MAX(D2414,C2415)</f>
        <v>84513672.38</v>
      </c>
      <c r="E2415" s="41" t="n">
        <f aca="false">C2415/D2415-1</f>
        <v>-0.662912661138345</v>
      </c>
      <c r="F2415" s="42" t="n">
        <f aca="false">YEAR(A2415)</f>
        <v>2023</v>
      </c>
    </row>
    <row r="2416" customFormat="false" ht="15" hidden="false" customHeight="false" outlineLevel="0" collapsed="false">
      <c r="A2416" s="38" t="n">
        <v>44984</v>
      </c>
      <c r="B2416" s="39" t="n">
        <v>2042</v>
      </c>
      <c r="C2416" s="40" t="n">
        <v>28488488.92</v>
      </c>
      <c r="D2416" s="40" t="n">
        <f aca="false">MAX(D2415,C2416)</f>
        <v>84513672.38</v>
      </c>
      <c r="E2416" s="41" t="n">
        <f aca="false">C2416/D2416-1</f>
        <v>-0.662912661138345</v>
      </c>
      <c r="F2416" s="42" t="n">
        <f aca="false">YEAR(A2416)</f>
        <v>2023</v>
      </c>
    </row>
    <row r="2417" customFormat="false" ht="15" hidden="false" customHeight="false" outlineLevel="0" collapsed="false">
      <c r="A2417" s="38" t="n">
        <v>44985</v>
      </c>
      <c r="B2417" s="39" t="n">
        <v>1993</v>
      </c>
      <c r="C2417" s="40" t="n">
        <v>28488488.92</v>
      </c>
      <c r="D2417" s="40" t="n">
        <f aca="false">MAX(D2416,C2417)</f>
        <v>84513672.38</v>
      </c>
      <c r="E2417" s="41" t="n">
        <f aca="false">C2417/D2417-1</f>
        <v>-0.662912661138345</v>
      </c>
      <c r="F2417" s="42" t="n">
        <f aca="false">YEAR(A2417)</f>
        <v>2023</v>
      </c>
    </row>
    <row r="2418" customFormat="false" ht="15" hidden="false" customHeight="false" outlineLevel="0" collapsed="false">
      <c r="A2418" s="38" t="n">
        <v>44986</v>
      </c>
      <c r="B2418" s="39" t="n">
        <v>2010.5</v>
      </c>
      <c r="C2418" s="40" t="n">
        <v>28488488.92</v>
      </c>
      <c r="D2418" s="40" t="n">
        <f aca="false">MAX(D2417,C2418)</f>
        <v>84513672.38</v>
      </c>
      <c r="E2418" s="41" t="n">
        <f aca="false">C2418/D2418-1</f>
        <v>-0.662912661138345</v>
      </c>
      <c r="F2418" s="42" t="n">
        <f aca="false">YEAR(A2418)</f>
        <v>2023</v>
      </c>
    </row>
    <row r="2419" customFormat="false" ht="15" hidden="false" customHeight="false" outlineLevel="0" collapsed="false">
      <c r="A2419" s="38" t="n">
        <v>44987</v>
      </c>
      <c r="B2419" s="39" t="n">
        <v>1994.5</v>
      </c>
      <c r="C2419" s="40" t="n">
        <v>28488488.92</v>
      </c>
      <c r="D2419" s="40" t="n">
        <f aca="false">MAX(D2418,C2419)</f>
        <v>84513672.38</v>
      </c>
      <c r="E2419" s="41" t="n">
        <f aca="false">C2419/D2419-1</f>
        <v>-0.662912661138345</v>
      </c>
      <c r="F2419" s="42" t="n">
        <f aca="false">YEAR(A2419)</f>
        <v>2023</v>
      </c>
    </row>
    <row r="2420" customFormat="false" ht="15" hidden="false" customHeight="false" outlineLevel="0" collapsed="false">
      <c r="A2420" s="38" t="n">
        <v>44988</v>
      </c>
      <c r="B2420" s="39" t="n">
        <v>1981.5</v>
      </c>
      <c r="C2420" s="40" t="n">
        <v>28488488.92</v>
      </c>
      <c r="D2420" s="40" t="n">
        <f aca="false">MAX(D2419,C2420)</f>
        <v>84513672.38</v>
      </c>
      <c r="E2420" s="41" t="n">
        <f aca="false">C2420/D2420-1</f>
        <v>-0.662912661138345</v>
      </c>
      <c r="F2420" s="42" t="n">
        <f aca="false">YEAR(A2420)</f>
        <v>2023</v>
      </c>
    </row>
    <row r="2421" customFormat="false" ht="15" hidden="false" customHeight="false" outlineLevel="0" collapsed="false">
      <c r="A2421" s="38" t="n">
        <v>44991</v>
      </c>
      <c r="B2421" s="39" t="n">
        <v>1959</v>
      </c>
      <c r="C2421" s="40" t="n">
        <v>28488488.92</v>
      </c>
      <c r="D2421" s="40" t="n">
        <f aca="false">MAX(D2420,C2421)</f>
        <v>84513672.38</v>
      </c>
      <c r="E2421" s="41" t="n">
        <f aca="false">C2421/D2421-1</f>
        <v>-0.662912661138345</v>
      </c>
      <c r="F2421" s="42" t="n">
        <f aca="false">YEAR(A2421)</f>
        <v>2023</v>
      </c>
    </row>
    <row r="2422" customFormat="false" ht="15" hidden="false" customHeight="false" outlineLevel="0" collapsed="false">
      <c r="A2422" s="38" t="n">
        <v>44992</v>
      </c>
      <c r="B2422" s="39" t="n">
        <v>1953</v>
      </c>
      <c r="C2422" s="40" t="n">
        <v>28488488.92</v>
      </c>
      <c r="D2422" s="40" t="n">
        <f aca="false">MAX(D2421,C2422)</f>
        <v>84513672.38</v>
      </c>
      <c r="E2422" s="41" t="n">
        <f aca="false">C2422/D2422-1</f>
        <v>-0.662912661138345</v>
      </c>
      <c r="F2422" s="42" t="n">
        <f aca="false">YEAR(A2422)</f>
        <v>2023</v>
      </c>
    </row>
    <row r="2423" customFormat="false" ht="15" hidden="false" customHeight="false" outlineLevel="0" collapsed="false">
      <c r="A2423" s="38" t="n">
        <v>44993</v>
      </c>
      <c r="B2423" s="39" t="n">
        <v>1962.5</v>
      </c>
      <c r="C2423" s="40" t="n">
        <v>28488488.92</v>
      </c>
      <c r="D2423" s="40" t="n">
        <f aca="false">MAX(D2422,C2423)</f>
        <v>84513672.38</v>
      </c>
      <c r="E2423" s="41" t="n">
        <f aca="false">C2423/D2423-1</f>
        <v>-0.662912661138345</v>
      </c>
      <c r="F2423" s="42" t="n">
        <f aca="false">YEAR(A2423)</f>
        <v>2023</v>
      </c>
    </row>
    <row r="2424" customFormat="false" ht="15" hidden="false" customHeight="false" outlineLevel="0" collapsed="false">
      <c r="A2424" s="38" t="n">
        <v>44994</v>
      </c>
      <c r="B2424" s="39" t="n">
        <v>1945</v>
      </c>
      <c r="C2424" s="40" t="n">
        <v>28488488.92</v>
      </c>
      <c r="D2424" s="40" t="n">
        <f aca="false">MAX(D2423,C2424)</f>
        <v>84513672.38</v>
      </c>
      <c r="E2424" s="41" t="n">
        <f aca="false">C2424/D2424-1</f>
        <v>-0.662912661138345</v>
      </c>
      <c r="F2424" s="42" t="n">
        <f aca="false">YEAR(A2424)</f>
        <v>2023</v>
      </c>
    </row>
    <row r="2425" customFormat="false" ht="15" hidden="false" customHeight="false" outlineLevel="0" collapsed="false">
      <c r="A2425" s="38" t="n">
        <v>44995</v>
      </c>
      <c r="B2425" s="39" t="n">
        <v>1932.5</v>
      </c>
      <c r="C2425" s="40" t="n">
        <v>28488488.92</v>
      </c>
      <c r="D2425" s="40" t="n">
        <f aca="false">MAX(D2424,C2425)</f>
        <v>84513672.38</v>
      </c>
      <c r="E2425" s="41" t="n">
        <f aca="false">C2425/D2425-1</f>
        <v>-0.662912661138345</v>
      </c>
      <c r="F2425" s="42" t="n">
        <f aca="false">YEAR(A2425)</f>
        <v>2023</v>
      </c>
    </row>
    <row r="2426" customFormat="false" ht="15" hidden="false" customHeight="false" outlineLevel="0" collapsed="false">
      <c r="A2426" s="38" t="n">
        <v>44998</v>
      </c>
      <c r="B2426" s="39" t="n">
        <v>1995.5</v>
      </c>
      <c r="C2426" s="40" t="n">
        <v>28488488.92</v>
      </c>
      <c r="D2426" s="40" t="n">
        <f aca="false">MAX(D2425,C2426)</f>
        <v>84513672.38</v>
      </c>
      <c r="E2426" s="41" t="n">
        <f aca="false">C2426/D2426-1</f>
        <v>-0.662912661138345</v>
      </c>
      <c r="F2426" s="42" t="n">
        <f aca="false">YEAR(A2426)</f>
        <v>2023</v>
      </c>
    </row>
    <row r="2427" customFormat="false" ht="15" hidden="false" customHeight="false" outlineLevel="0" collapsed="false">
      <c r="A2427" s="38" t="n">
        <v>44999</v>
      </c>
      <c r="B2427" s="39" t="n">
        <v>1943.5</v>
      </c>
      <c r="C2427" s="40" t="n">
        <v>28488488.92</v>
      </c>
      <c r="D2427" s="40" t="n">
        <f aca="false">MAX(D2426,C2427)</f>
        <v>84513672.38</v>
      </c>
      <c r="E2427" s="41" t="n">
        <f aca="false">C2427/D2427-1</f>
        <v>-0.662912661138345</v>
      </c>
      <c r="F2427" s="42" t="n">
        <f aca="false">YEAR(A2427)</f>
        <v>2023</v>
      </c>
    </row>
    <row r="2428" customFormat="false" ht="15" hidden="false" customHeight="false" outlineLevel="0" collapsed="false">
      <c r="A2428" s="38" t="n">
        <v>45000</v>
      </c>
      <c r="B2428" s="39" t="n">
        <v>1889</v>
      </c>
      <c r="C2428" s="40" t="n">
        <v>28488488.92</v>
      </c>
      <c r="D2428" s="40" t="n">
        <f aca="false">MAX(D2427,C2428)</f>
        <v>84513672.38</v>
      </c>
      <c r="E2428" s="41" t="n">
        <f aca="false">C2428/D2428-1</f>
        <v>-0.662912661138345</v>
      </c>
      <c r="F2428" s="42" t="n">
        <f aca="false">YEAR(A2428)</f>
        <v>2023</v>
      </c>
    </row>
    <row r="2429" customFormat="false" ht="15" hidden="false" customHeight="false" outlineLevel="0" collapsed="false">
      <c r="A2429" s="38" t="n">
        <v>45001</v>
      </c>
      <c r="B2429" s="39" t="n">
        <v>1830</v>
      </c>
      <c r="C2429" s="40" t="n">
        <v>28488488.92</v>
      </c>
      <c r="D2429" s="40" t="n">
        <f aca="false">MAX(D2428,C2429)</f>
        <v>84513672.38</v>
      </c>
      <c r="E2429" s="41" t="n">
        <f aca="false">C2429/D2429-1</f>
        <v>-0.662912661138345</v>
      </c>
      <c r="F2429" s="42" t="n">
        <f aca="false">YEAR(A2429)</f>
        <v>2023</v>
      </c>
    </row>
    <row r="2430" customFormat="false" ht="15" hidden="false" customHeight="false" outlineLevel="0" collapsed="false">
      <c r="A2430" s="38" t="n">
        <v>45002</v>
      </c>
      <c r="B2430" s="39" t="n">
        <v>1850</v>
      </c>
      <c r="C2430" s="40" t="n">
        <v>28488488.92</v>
      </c>
      <c r="D2430" s="40" t="n">
        <f aca="false">MAX(D2429,C2430)</f>
        <v>84513672.38</v>
      </c>
      <c r="E2430" s="41" t="n">
        <f aca="false">C2430/D2430-1</f>
        <v>-0.662912661138345</v>
      </c>
      <c r="F2430" s="42" t="n">
        <f aca="false">YEAR(A2430)</f>
        <v>2023</v>
      </c>
    </row>
    <row r="2431" customFormat="false" ht="15" hidden="false" customHeight="false" outlineLevel="0" collapsed="false">
      <c r="A2431" s="38" t="n">
        <v>45005</v>
      </c>
      <c r="B2431" s="39" t="n">
        <v>1838.5</v>
      </c>
      <c r="C2431" s="40" t="n">
        <v>28488488.92</v>
      </c>
      <c r="D2431" s="40" t="n">
        <f aca="false">MAX(D2430,C2431)</f>
        <v>84513672.38</v>
      </c>
      <c r="E2431" s="41" t="n">
        <f aca="false">C2431/D2431-1</f>
        <v>-0.662912661138345</v>
      </c>
      <c r="F2431" s="42" t="n">
        <f aca="false">YEAR(A2431)</f>
        <v>2023</v>
      </c>
    </row>
    <row r="2432" customFormat="false" ht="15" hidden="false" customHeight="false" outlineLevel="0" collapsed="false">
      <c r="A2432" s="38" t="n">
        <v>45006</v>
      </c>
      <c r="B2432" s="39" t="n">
        <v>1789</v>
      </c>
      <c r="C2432" s="40" t="n">
        <v>28488488.92</v>
      </c>
      <c r="D2432" s="40" t="n">
        <f aca="false">MAX(D2431,C2432)</f>
        <v>84513672.38</v>
      </c>
      <c r="E2432" s="41" t="n">
        <f aca="false">C2432/D2432-1</f>
        <v>-0.662912661138345</v>
      </c>
      <c r="F2432" s="42" t="n">
        <f aca="false">YEAR(A2432)</f>
        <v>2023</v>
      </c>
    </row>
    <row r="2433" customFormat="false" ht="15" hidden="false" customHeight="false" outlineLevel="0" collapsed="false">
      <c r="A2433" s="38" t="n">
        <v>45007</v>
      </c>
      <c r="B2433" s="39" t="n">
        <v>1812</v>
      </c>
      <c r="C2433" s="40" t="n">
        <v>28488488.92</v>
      </c>
      <c r="D2433" s="40" t="n">
        <f aca="false">MAX(D2432,C2433)</f>
        <v>84513672.38</v>
      </c>
      <c r="E2433" s="41" t="n">
        <f aca="false">C2433/D2433-1</f>
        <v>-0.662912661138345</v>
      </c>
      <c r="F2433" s="42" t="n">
        <f aca="false">YEAR(A2433)</f>
        <v>2023</v>
      </c>
    </row>
    <row r="2434" customFormat="false" ht="15" hidden="false" customHeight="false" outlineLevel="0" collapsed="false">
      <c r="A2434" s="38" t="n">
        <v>45008</v>
      </c>
      <c r="B2434" s="39" t="n">
        <v>1792</v>
      </c>
      <c r="C2434" s="40" t="n">
        <v>28488488.92</v>
      </c>
      <c r="D2434" s="40" t="n">
        <f aca="false">MAX(D2433,C2434)</f>
        <v>84513672.38</v>
      </c>
      <c r="E2434" s="41" t="n">
        <f aca="false">C2434/D2434-1</f>
        <v>-0.662912661138345</v>
      </c>
      <c r="F2434" s="42" t="n">
        <f aca="false">YEAR(A2434)</f>
        <v>2023</v>
      </c>
    </row>
    <row r="2435" customFormat="false" ht="15" hidden="false" customHeight="false" outlineLevel="0" collapsed="false">
      <c r="A2435" s="38" t="n">
        <v>45009</v>
      </c>
      <c r="B2435" s="39" t="n">
        <v>1830</v>
      </c>
      <c r="C2435" s="40" t="n">
        <v>28488488.92</v>
      </c>
      <c r="D2435" s="40" t="n">
        <f aca="false">MAX(D2434,C2435)</f>
        <v>84513672.38</v>
      </c>
      <c r="E2435" s="41" t="n">
        <f aca="false">C2435/D2435-1</f>
        <v>-0.662912661138345</v>
      </c>
      <c r="F2435" s="42" t="n">
        <f aca="false">YEAR(A2435)</f>
        <v>2023</v>
      </c>
    </row>
    <row r="2436" customFormat="false" ht="15" hidden="false" customHeight="false" outlineLevel="0" collapsed="false">
      <c r="A2436" s="38" t="n">
        <v>45012</v>
      </c>
      <c r="B2436" s="39" t="n">
        <v>1814</v>
      </c>
      <c r="C2436" s="40" t="n">
        <v>28488488.92</v>
      </c>
      <c r="D2436" s="40" t="n">
        <f aca="false">MAX(D2435,C2436)</f>
        <v>84513672.38</v>
      </c>
      <c r="E2436" s="41" t="n">
        <f aca="false">C2436/D2436-1</f>
        <v>-0.662912661138345</v>
      </c>
      <c r="F2436" s="42" t="n">
        <f aca="false">YEAR(A2436)</f>
        <v>2023</v>
      </c>
    </row>
    <row r="2437" customFormat="false" ht="15" hidden="false" customHeight="false" outlineLevel="0" collapsed="false">
      <c r="A2437" s="38" t="n">
        <v>45013</v>
      </c>
      <c r="B2437" s="39" t="n">
        <v>1786.5</v>
      </c>
      <c r="C2437" s="40" t="n">
        <v>28488488.92</v>
      </c>
      <c r="D2437" s="40" t="n">
        <f aca="false">MAX(D2436,C2437)</f>
        <v>84513672.38</v>
      </c>
      <c r="E2437" s="41" t="n">
        <f aca="false">C2437/D2437-1</f>
        <v>-0.662912661138345</v>
      </c>
      <c r="F2437" s="42" t="n">
        <f aca="false">YEAR(A2437)</f>
        <v>2023</v>
      </c>
    </row>
    <row r="2438" customFormat="false" ht="15" hidden="false" customHeight="false" outlineLevel="0" collapsed="false">
      <c r="A2438" s="38" t="n">
        <v>45014</v>
      </c>
      <c r="B2438" s="39" t="n">
        <v>1799</v>
      </c>
      <c r="C2438" s="40" t="n">
        <v>28079531.81</v>
      </c>
      <c r="D2438" s="40" t="n">
        <f aca="false">MAX(D2437,C2438)</f>
        <v>84513672.38</v>
      </c>
      <c r="E2438" s="41" t="n">
        <f aca="false">C2438/D2438-1</f>
        <v>-0.667751607293248</v>
      </c>
      <c r="F2438" s="42" t="n">
        <f aca="false">YEAR(A2438)</f>
        <v>2023</v>
      </c>
    </row>
    <row r="2439" customFormat="false" ht="15" hidden="false" customHeight="false" outlineLevel="0" collapsed="false">
      <c r="A2439" s="38" t="n">
        <v>45015</v>
      </c>
      <c r="B2439" s="39" t="n">
        <v>1804.5</v>
      </c>
      <c r="C2439" s="40" t="n">
        <v>27715541.81</v>
      </c>
      <c r="D2439" s="40" t="n">
        <f aca="false">MAX(D2438,C2439)</f>
        <v>84513672.38</v>
      </c>
      <c r="E2439" s="41" t="n">
        <f aca="false">C2439/D2439-1</f>
        <v>-0.67205848439076</v>
      </c>
      <c r="F2439" s="42" t="n">
        <f aca="false">YEAR(A2439)</f>
        <v>2023</v>
      </c>
    </row>
    <row r="2440" customFormat="false" ht="15" hidden="false" customHeight="false" outlineLevel="0" collapsed="false">
      <c r="A2440" s="38" t="n">
        <v>45016</v>
      </c>
      <c r="B2440" s="39" t="n">
        <v>1826.5</v>
      </c>
      <c r="C2440" s="40" t="n">
        <v>26259581.81</v>
      </c>
      <c r="D2440" s="40" t="n">
        <f aca="false">MAX(D2439,C2440)</f>
        <v>84513672.38</v>
      </c>
      <c r="E2440" s="41" t="n">
        <f aca="false">C2440/D2440-1</f>
        <v>-0.689285992780805</v>
      </c>
      <c r="F2440" s="42" t="n">
        <f aca="false">YEAR(A2440)</f>
        <v>2023</v>
      </c>
    </row>
    <row r="2441" customFormat="false" ht="15" hidden="false" customHeight="false" outlineLevel="0" collapsed="false">
      <c r="A2441" s="38" t="n">
        <v>45019</v>
      </c>
      <c r="B2441" s="39" t="n">
        <v>1748.5</v>
      </c>
      <c r="C2441" s="40" t="n">
        <v>31421621.81</v>
      </c>
      <c r="D2441" s="40" t="n">
        <f aca="false">MAX(D2440,C2441)</f>
        <v>84513672.38</v>
      </c>
      <c r="E2441" s="41" t="n">
        <f aca="false">C2441/D2441-1</f>
        <v>-0.628206644852462</v>
      </c>
      <c r="F2441" s="42" t="n">
        <f aca="false">YEAR(A2441)</f>
        <v>2023</v>
      </c>
    </row>
    <row r="2442" customFormat="false" ht="15" hidden="false" customHeight="false" outlineLevel="0" collapsed="false">
      <c r="A2442" s="38" t="n">
        <v>45020</v>
      </c>
      <c r="B2442" s="39" t="n">
        <v>1721</v>
      </c>
      <c r="C2442" s="40" t="n">
        <v>33241571.81</v>
      </c>
      <c r="D2442" s="40" t="n">
        <f aca="false">MAX(D2441,C2442)</f>
        <v>84513672.38</v>
      </c>
      <c r="E2442" s="41" t="n">
        <f aca="false">C2442/D2442-1</f>
        <v>-0.606672259364905</v>
      </c>
      <c r="F2442" s="42" t="n">
        <f aca="false">YEAR(A2442)</f>
        <v>2023</v>
      </c>
    </row>
    <row r="2443" customFormat="false" ht="15" hidden="false" customHeight="false" outlineLevel="0" collapsed="false">
      <c r="A2443" s="38" t="n">
        <v>45022</v>
      </c>
      <c r="B2443" s="39" t="n">
        <v>1699.5</v>
      </c>
      <c r="C2443" s="40" t="n">
        <v>34664441.81</v>
      </c>
      <c r="D2443" s="40" t="n">
        <f aca="false">MAX(D2442,C2443)</f>
        <v>84513672.38</v>
      </c>
      <c r="E2443" s="41" t="n">
        <f aca="false">C2443/D2443-1</f>
        <v>-0.589836285256452</v>
      </c>
      <c r="F2443" s="42" t="n">
        <f aca="false">YEAR(A2443)</f>
        <v>2023</v>
      </c>
    </row>
    <row r="2444" customFormat="false" ht="15" hidden="false" customHeight="false" outlineLevel="0" collapsed="false">
      <c r="A2444" s="38" t="n">
        <v>45023</v>
      </c>
      <c r="B2444" s="39" t="n">
        <v>1706</v>
      </c>
      <c r="C2444" s="40" t="n">
        <v>34234271.81</v>
      </c>
      <c r="D2444" s="40" t="n">
        <f aca="false">MAX(D2443,C2444)</f>
        <v>84513672.38</v>
      </c>
      <c r="E2444" s="41" t="n">
        <f aca="false">C2444/D2444-1</f>
        <v>-0.594926230917147</v>
      </c>
      <c r="F2444" s="42" t="n">
        <f aca="false">YEAR(A2444)</f>
        <v>2023</v>
      </c>
    </row>
    <row r="2445" customFormat="false" ht="15" hidden="false" customHeight="false" outlineLevel="0" collapsed="false">
      <c r="A2445" s="38" t="n">
        <v>45026</v>
      </c>
      <c r="B2445" s="39" t="n">
        <v>1632</v>
      </c>
      <c r="C2445" s="40" t="n">
        <v>39131591.81</v>
      </c>
      <c r="D2445" s="40" t="n">
        <f aca="false">MAX(D2444,C2445)</f>
        <v>84513672.38</v>
      </c>
      <c r="E2445" s="41" t="n">
        <f aca="false">C2445/D2445-1</f>
        <v>-0.53697915724154</v>
      </c>
      <c r="F2445" s="42" t="n">
        <f aca="false">YEAR(A2445)</f>
        <v>2023</v>
      </c>
    </row>
    <row r="2446" customFormat="false" ht="15" hidden="false" customHeight="false" outlineLevel="0" collapsed="false">
      <c r="A2446" s="38" t="n">
        <v>45027</v>
      </c>
      <c r="B2446" s="39" t="n">
        <v>1648.5</v>
      </c>
      <c r="C2446" s="40" t="n">
        <v>38039621.81</v>
      </c>
      <c r="D2446" s="40" t="n">
        <f aca="false">MAX(D2445,C2446)</f>
        <v>84513672.38</v>
      </c>
      <c r="E2446" s="41" t="n">
        <f aca="false">C2446/D2446-1</f>
        <v>-0.549899788534074</v>
      </c>
      <c r="F2446" s="42" t="n">
        <f aca="false">YEAR(A2446)</f>
        <v>2023</v>
      </c>
    </row>
    <row r="2447" customFormat="false" ht="15" hidden="false" customHeight="false" outlineLevel="0" collapsed="false">
      <c r="A2447" s="38" t="n">
        <v>45028</v>
      </c>
      <c r="B2447" s="39" t="n">
        <v>1632.5</v>
      </c>
      <c r="C2447" s="40" t="n">
        <v>39098501.81</v>
      </c>
      <c r="D2447" s="40" t="n">
        <f aca="false">MAX(D2446,C2447)</f>
        <v>84513672.38</v>
      </c>
      <c r="E2447" s="41" t="n">
        <f aca="false">C2447/D2447-1</f>
        <v>-0.537370691523132</v>
      </c>
      <c r="F2447" s="42" t="n">
        <f aca="false">YEAR(A2447)</f>
        <v>2023</v>
      </c>
    </row>
    <row r="2448" customFormat="false" ht="15" hidden="false" customHeight="false" outlineLevel="0" collapsed="false">
      <c r="A2448" s="38" t="n">
        <v>45029</v>
      </c>
      <c r="B2448" s="39" t="n">
        <v>1609.5</v>
      </c>
      <c r="C2448" s="40" t="n">
        <v>40620641.81</v>
      </c>
      <c r="D2448" s="40" t="n">
        <f aca="false">MAX(D2447,C2448)</f>
        <v>84513672.38</v>
      </c>
      <c r="E2448" s="41" t="n">
        <f aca="false">C2448/D2448-1</f>
        <v>-0.519360114569902</v>
      </c>
      <c r="F2448" s="42" t="n">
        <f aca="false">YEAR(A2448)</f>
        <v>2023</v>
      </c>
    </row>
    <row r="2449" customFormat="false" ht="15" hidden="false" customHeight="false" outlineLevel="0" collapsed="false">
      <c r="A2449" s="38" t="n">
        <v>45030</v>
      </c>
      <c r="B2449" s="39" t="n">
        <v>1601.5</v>
      </c>
      <c r="C2449" s="40" t="n">
        <v>41150081.81</v>
      </c>
      <c r="D2449" s="40" t="n">
        <f aca="false">MAX(D2448,C2449)</f>
        <v>84513672.38</v>
      </c>
      <c r="E2449" s="41" t="n">
        <f aca="false">C2449/D2449-1</f>
        <v>-0.513095566064431</v>
      </c>
      <c r="F2449" s="42" t="n">
        <f aca="false">YEAR(A2449)</f>
        <v>2023</v>
      </c>
    </row>
    <row r="2450" customFormat="false" ht="15" hidden="false" customHeight="false" outlineLevel="0" collapsed="false">
      <c r="A2450" s="38" t="n">
        <v>45033</v>
      </c>
      <c r="B2450" s="39" t="n">
        <v>1608</v>
      </c>
      <c r="C2450" s="40" t="n">
        <v>40719911.81</v>
      </c>
      <c r="D2450" s="40" t="n">
        <f aca="false">MAX(D2449,C2450)</f>
        <v>84513672.38</v>
      </c>
      <c r="E2450" s="41" t="n">
        <f aca="false">C2450/D2450-1</f>
        <v>-0.518185511725127</v>
      </c>
      <c r="F2450" s="42" t="n">
        <f aca="false">YEAR(A2450)</f>
        <v>2023</v>
      </c>
    </row>
    <row r="2451" customFormat="false" ht="15" hidden="false" customHeight="false" outlineLevel="0" collapsed="false">
      <c r="A2451" s="38" t="n">
        <v>45034</v>
      </c>
      <c r="B2451" s="39" t="n">
        <v>1619.5</v>
      </c>
      <c r="C2451" s="40" t="n">
        <v>39958841.81</v>
      </c>
      <c r="D2451" s="40" t="n">
        <f aca="false">MAX(D2450,C2451)</f>
        <v>84513672.38</v>
      </c>
      <c r="E2451" s="41" t="n">
        <f aca="false">C2451/D2451-1</f>
        <v>-0.527190800201741</v>
      </c>
      <c r="F2451" s="42" t="n">
        <f aca="false">YEAR(A2451)</f>
        <v>2023</v>
      </c>
    </row>
    <row r="2452" customFormat="false" ht="15" hidden="false" customHeight="false" outlineLevel="0" collapsed="false">
      <c r="A2452" s="38" t="n">
        <v>45035</v>
      </c>
      <c r="B2452" s="39" t="n">
        <v>1603</v>
      </c>
      <c r="C2452" s="40" t="n">
        <v>41050811.81</v>
      </c>
      <c r="D2452" s="40" t="n">
        <f aca="false">MAX(D2451,C2452)</f>
        <v>84513672.38</v>
      </c>
      <c r="E2452" s="41" t="n">
        <f aca="false">C2452/D2452-1</f>
        <v>-0.514270168909207</v>
      </c>
      <c r="F2452" s="42" t="n">
        <f aca="false">YEAR(A2452)</f>
        <v>2023</v>
      </c>
    </row>
    <row r="2453" customFormat="false" ht="15" hidden="false" customHeight="false" outlineLevel="0" collapsed="false">
      <c r="A2453" s="38" t="n">
        <v>45036</v>
      </c>
      <c r="B2453" s="39" t="n">
        <v>1539.5</v>
      </c>
      <c r="C2453" s="40" t="n">
        <v>45253241.81</v>
      </c>
      <c r="D2453" s="40" t="n">
        <f aca="false">MAX(D2452,C2453)</f>
        <v>84513672.38</v>
      </c>
      <c r="E2453" s="41" t="n">
        <f aca="false">C2453/D2453-1</f>
        <v>-0.464545315147031</v>
      </c>
      <c r="F2453" s="42" t="n">
        <f aca="false">YEAR(A2453)</f>
        <v>2023</v>
      </c>
    </row>
    <row r="2454" customFormat="false" ht="15" hidden="false" customHeight="false" outlineLevel="0" collapsed="false">
      <c r="A2454" s="38" t="n">
        <v>45037</v>
      </c>
      <c r="B2454" s="39" t="n">
        <v>1491</v>
      </c>
      <c r="C2454" s="40" t="n">
        <v>48462971.81</v>
      </c>
      <c r="D2454" s="40" t="n">
        <f aca="false">MAX(D2453,C2454)</f>
        <v>84513672.38</v>
      </c>
      <c r="E2454" s="41" t="n">
        <f aca="false">C2454/D2454-1</f>
        <v>-0.426566489832612</v>
      </c>
      <c r="F2454" s="42" t="n">
        <f aca="false">YEAR(A2454)</f>
        <v>2023</v>
      </c>
    </row>
    <row r="2455" customFormat="false" ht="15" hidden="false" customHeight="false" outlineLevel="0" collapsed="false">
      <c r="A2455" s="38" t="n">
        <v>45040</v>
      </c>
      <c r="B2455" s="39" t="n">
        <v>1491</v>
      </c>
      <c r="C2455" s="40" t="n">
        <v>48462971.81</v>
      </c>
      <c r="D2455" s="40" t="n">
        <f aca="false">MAX(D2454,C2455)</f>
        <v>84513672.38</v>
      </c>
      <c r="E2455" s="41" t="n">
        <f aca="false">C2455/D2455-1</f>
        <v>-0.426566489832612</v>
      </c>
      <c r="F2455" s="42" t="n">
        <f aca="false">YEAR(A2455)</f>
        <v>2023</v>
      </c>
    </row>
    <row r="2456" customFormat="false" ht="15" hidden="false" customHeight="false" outlineLevel="0" collapsed="false">
      <c r="A2456" s="38" t="n">
        <v>45041</v>
      </c>
      <c r="B2456" s="39" t="n">
        <v>1473</v>
      </c>
      <c r="C2456" s="40" t="n">
        <v>49654211.81</v>
      </c>
      <c r="D2456" s="40" t="n">
        <f aca="false">MAX(D2455,C2456)</f>
        <v>84513672.38</v>
      </c>
      <c r="E2456" s="41" t="n">
        <f aca="false">C2456/D2456-1</f>
        <v>-0.412471255695302</v>
      </c>
      <c r="F2456" s="42" t="n">
        <f aca="false">YEAR(A2456)</f>
        <v>2023</v>
      </c>
    </row>
    <row r="2457" customFormat="false" ht="15" hidden="false" customHeight="false" outlineLevel="0" collapsed="false">
      <c r="A2457" s="38" t="n">
        <v>45042</v>
      </c>
      <c r="B2457" s="39" t="n">
        <v>1440.5</v>
      </c>
      <c r="C2457" s="40" t="n">
        <v>51805061.81</v>
      </c>
      <c r="D2457" s="40" t="n">
        <f aca="false">MAX(D2456,C2457)</f>
        <v>84513672.38</v>
      </c>
      <c r="E2457" s="41" t="n">
        <f aca="false">C2457/D2457-1</f>
        <v>-0.387021527391826</v>
      </c>
      <c r="F2457" s="42" t="n">
        <f aca="false">YEAR(A2457)</f>
        <v>2023</v>
      </c>
    </row>
    <row r="2458" customFormat="false" ht="15" hidden="false" customHeight="false" outlineLevel="0" collapsed="false">
      <c r="A2458" s="38" t="n">
        <v>45043</v>
      </c>
      <c r="B2458" s="39" t="n">
        <v>1414.5</v>
      </c>
      <c r="C2458" s="40" t="n">
        <v>53525741.81</v>
      </c>
      <c r="D2458" s="40" t="n">
        <f aca="false">MAX(D2457,C2458)</f>
        <v>84513672.38</v>
      </c>
      <c r="E2458" s="41" t="n">
        <f aca="false">C2458/D2458-1</f>
        <v>-0.366661744749045</v>
      </c>
      <c r="F2458" s="42" t="n">
        <f aca="false">YEAR(A2458)</f>
        <v>2023</v>
      </c>
    </row>
    <row r="2459" customFormat="false" ht="15" hidden="false" customHeight="false" outlineLevel="0" collapsed="false">
      <c r="A2459" s="38" t="n">
        <v>45044</v>
      </c>
      <c r="B2459" s="39" t="n">
        <v>1381</v>
      </c>
      <c r="C2459" s="40" t="n">
        <v>55742771.81</v>
      </c>
      <c r="D2459" s="40" t="n">
        <f aca="false">MAX(D2458,C2459)</f>
        <v>84513672.38</v>
      </c>
      <c r="E2459" s="41" t="n">
        <f aca="false">C2459/D2459-1</f>
        <v>-0.340428947882385</v>
      </c>
      <c r="F2459" s="42" t="n">
        <f aca="false">YEAR(A2459)</f>
        <v>2023</v>
      </c>
    </row>
    <row r="2460" customFormat="false" ht="15" hidden="false" customHeight="false" outlineLevel="0" collapsed="false">
      <c r="A2460" s="38" t="n">
        <v>45050</v>
      </c>
      <c r="B2460" s="39" t="n">
        <v>1322.5</v>
      </c>
      <c r="C2460" s="40" t="n">
        <v>59614301.81</v>
      </c>
      <c r="D2460" s="40" t="n">
        <f aca="false">MAX(D2459,C2460)</f>
        <v>84513672.38</v>
      </c>
      <c r="E2460" s="41" t="n">
        <f aca="false">C2460/D2460-1</f>
        <v>-0.294619436936128</v>
      </c>
      <c r="F2460" s="42" t="n">
        <f aca="false">YEAR(A2460)</f>
        <v>2023</v>
      </c>
    </row>
    <row r="2461" customFormat="false" ht="15" hidden="false" customHeight="false" outlineLevel="0" collapsed="false">
      <c r="A2461" s="38" t="n">
        <v>45051</v>
      </c>
      <c r="B2461" s="39" t="n">
        <v>1347.5</v>
      </c>
      <c r="C2461" s="40" t="n">
        <v>57959801.81</v>
      </c>
      <c r="D2461" s="40" t="n">
        <f aca="false">MAX(D2460,C2461)</f>
        <v>84513672.38</v>
      </c>
      <c r="E2461" s="41" t="n">
        <f aca="false">C2461/D2461-1</f>
        <v>-0.314196151015725</v>
      </c>
      <c r="F2461" s="42" t="n">
        <f aca="false">YEAR(A2461)</f>
        <v>2023</v>
      </c>
    </row>
    <row r="2462" customFormat="false" ht="15" hidden="false" customHeight="false" outlineLevel="0" collapsed="false">
      <c r="A2462" s="38" t="n">
        <v>45054</v>
      </c>
      <c r="B2462" s="39" t="n">
        <v>1408</v>
      </c>
      <c r="C2462" s="40" t="n">
        <v>53955911.81</v>
      </c>
      <c r="D2462" s="40" t="n">
        <f aca="false">MAX(D2461,C2462)</f>
        <v>84513672.38</v>
      </c>
      <c r="E2462" s="41" t="n">
        <f aca="false">C2462/D2462-1</f>
        <v>-0.36157179908835</v>
      </c>
      <c r="F2462" s="42" t="n">
        <f aca="false">YEAR(A2462)</f>
        <v>2023</v>
      </c>
    </row>
    <row r="2463" customFormat="false" ht="15" hidden="false" customHeight="false" outlineLevel="0" collapsed="false">
      <c r="A2463" s="38" t="n">
        <v>45055</v>
      </c>
      <c r="B2463" s="39" t="n">
        <v>1348.5</v>
      </c>
      <c r="C2463" s="40" t="n">
        <v>57893621.81</v>
      </c>
      <c r="D2463" s="40" t="n">
        <f aca="false">MAX(D2462,C2463)</f>
        <v>84513672.38</v>
      </c>
      <c r="E2463" s="41" t="n">
        <f aca="false">C2463/D2463-1</f>
        <v>-0.314979219578909</v>
      </c>
      <c r="F2463" s="42" t="n">
        <f aca="false">YEAR(A2463)</f>
        <v>2023</v>
      </c>
    </row>
    <row r="2464" customFormat="false" ht="15" hidden="false" customHeight="false" outlineLevel="0" collapsed="false">
      <c r="A2464" s="38" t="n">
        <v>45056</v>
      </c>
      <c r="B2464" s="39" t="n">
        <v>1348.5</v>
      </c>
      <c r="C2464" s="40" t="n">
        <v>57893621.81</v>
      </c>
      <c r="D2464" s="40" t="n">
        <f aca="false">MAX(D2463,C2464)</f>
        <v>84513672.38</v>
      </c>
      <c r="E2464" s="41" t="n">
        <f aca="false">C2464/D2464-1</f>
        <v>-0.314979219578909</v>
      </c>
      <c r="F2464" s="42" t="n">
        <f aca="false">YEAR(A2464)</f>
        <v>2023</v>
      </c>
    </row>
    <row r="2465" customFormat="false" ht="15" hidden="false" customHeight="false" outlineLevel="0" collapsed="false">
      <c r="A2465" s="38" t="n">
        <v>45057</v>
      </c>
      <c r="B2465" s="39" t="n">
        <v>1334.5</v>
      </c>
      <c r="C2465" s="40" t="n">
        <v>58820141.81</v>
      </c>
      <c r="D2465" s="40" t="n">
        <f aca="false">MAX(D2464,C2465)</f>
        <v>84513672.38</v>
      </c>
      <c r="E2465" s="41" t="n">
        <f aca="false">C2465/D2465-1</f>
        <v>-0.304016259694335</v>
      </c>
      <c r="F2465" s="42" t="n">
        <f aca="false">YEAR(A2465)</f>
        <v>2023</v>
      </c>
    </row>
    <row r="2466" customFormat="false" ht="15" hidden="false" customHeight="false" outlineLevel="0" collapsed="false">
      <c r="A2466" s="38" t="n">
        <v>45058</v>
      </c>
      <c r="B2466" s="39" t="n">
        <v>1349</v>
      </c>
      <c r="C2466" s="40" t="n">
        <v>57860531.81</v>
      </c>
      <c r="D2466" s="40" t="n">
        <f aca="false">MAX(D2465,C2466)</f>
        <v>84513672.38</v>
      </c>
      <c r="E2466" s="41" t="n">
        <f aca="false">C2466/D2466-1</f>
        <v>-0.315370753860501</v>
      </c>
      <c r="F2466" s="42" t="n">
        <f aca="false">YEAR(A2466)</f>
        <v>2023</v>
      </c>
    </row>
    <row r="2467" customFormat="false" ht="15" hidden="false" customHeight="false" outlineLevel="0" collapsed="false">
      <c r="A2467" s="38" t="n">
        <v>45061</v>
      </c>
      <c r="B2467" s="39" t="n">
        <v>1384.5</v>
      </c>
      <c r="C2467" s="40" t="n">
        <v>55511141.81</v>
      </c>
      <c r="D2467" s="40" t="n">
        <f aca="false">MAX(D2466,C2467)</f>
        <v>84513672.38</v>
      </c>
      <c r="E2467" s="41" t="n">
        <f aca="false">C2467/D2467-1</f>
        <v>-0.343169687853529</v>
      </c>
      <c r="F2467" s="42" t="n">
        <f aca="false">YEAR(A2467)</f>
        <v>2023</v>
      </c>
    </row>
    <row r="2468" customFormat="false" ht="15" hidden="false" customHeight="false" outlineLevel="0" collapsed="false">
      <c r="A2468" s="38" t="n">
        <v>45062</v>
      </c>
      <c r="B2468" s="39" t="n">
        <v>1379</v>
      </c>
      <c r="C2468" s="40" t="n">
        <v>55875131.81</v>
      </c>
      <c r="D2468" s="40" t="n">
        <f aca="false">MAX(D2467,C2468)</f>
        <v>84513672.38</v>
      </c>
      <c r="E2468" s="41" t="n">
        <f aca="false">C2468/D2468-1</f>
        <v>-0.338862810756017</v>
      </c>
      <c r="F2468" s="42" t="n">
        <f aca="false">YEAR(A2468)</f>
        <v>2023</v>
      </c>
    </row>
    <row r="2469" customFormat="false" ht="15" hidden="false" customHeight="false" outlineLevel="0" collapsed="false">
      <c r="A2469" s="38" t="n">
        <v>45063</v>
      </c>
      <c r="B2469" s="39" t="n">
        <v>1423.5</v>
      </c>
      <c r="C2469" s="40" t="n">
        <v>52930121.81</v>
      </c>
      <c r="D2469" s="40" t="n">
        <f aca="false">MAX(D2468,C2469)</f>
        <v>84513672.38</v>
      </c>
      <c r="E2469" s="41" t="n">
        <f aca="false">C2469/D2469-1</f>
        <v>-0.3737093618177</v>
      </c>
      <c r="F2469" s="42" t="n">
        <f aca="false">YEAR(A2469)</f>
        <v>2023</v>
      </c>
    </row>
    <row r="2470" customFormat="false" ht="15" hidden="false" customHeight="false" outlineLevel="0" collapsed="false">
      <c r="A2470" s="38" t="n">
        <v>45064</v>
      </c>
      <c r="B2470" s="39" t="n">
        <v>1403</v>
      </c>
      <c r="C2470" s="40" t="n">
        <v>54286811.81</v>
      </c>
      <c r="D2470" s="40" t="n">
        <f aca="false">MAX(D2469,C2470)</f>
        <v>84513672.38</v>
      </c>
      <c r="E2470" s="41" t="n">
        <f aca="false">C2470/D2470-1</f>
        <v>-0.357656456272431</v>
      </c>
      <c r="F2470" s="42" t="n">
        <f aca="false">YEAR(A2470)</f>
        <v>2023</v>
      </c>
    </row>
    <row r="2471" customFormat="false" ht="15" hidden="false" customHeight="false" outlineLevel="0" collapsed="false">
      <c r="A2471" s="38" t="n">
        <v>45065</v>
      </c>
      <c r="B2471" s="39" t="n">
        <v>1342</v>
      </c>
      <c r="C2471" s="40" t="n">
        <v>58323791.81</v>
      </c>
      <c r="D2471" s="40" t="n">
        <f aca="false">MAX(D2470,C2471)</f>
        <v>84513672.38</v>
      </c>
      <c r="E2471" s="41" t="n">
        <f aca="false">C2471/D2471-1</f>
        <v>-0.309889273918214</v>
      </c>
      <c r="F2471" s="42" t="n">
        <f aca="false">YEAR(A2471)</f>
        <v>2023</v>
      </c>
    </row>
    <row r="2472" customFormat="false" ht="15" hidden="false" customHeight="false" outlineLevel="0" collapsed="false">
      <c r="A2472" s="38" t="n">
        <v>45068</v>
      </c>
      <c r="B2472" s="39" t="n">
        <v>1308.5</v>
      </c>
      <c r="C2472" s="40" t="n">
        <v>60540821.81</v>
      </c>
      <c r="D2472" s="40" t="n">
        <f aca="false">MAX(D2471,C2472)</f>
        <v>84513672.38</v>
      </c>
      <c r="E2472" s="41" t="n">
        <f aca="false">C2472/D2472-1</f>
        <v>-0.283656477051554</v>
      </c>
      <c r="F2472" s="42" t="n">
        <f aca="false">YEAR(A2472)</f>
        <v>2023</v>
      </c>
    </row>
    <row r="2473" customFormat="false" ht="15" hidden="false" customHeight="false" outlineLevel="0" collapsed="false">
      <c r="A2473" s="38" t="n">
        <v>45069</v>
      </c>
      <c r="B2473" s="39" t="n">
        <v>1322</v>
      </c>
      <c r="C2473" s="40" t="n">
        <v>59647391.81</v>
      </c>
      <c r="D2473" s="40" t="n">
        <f aca="false">MAX(D2472,C2473)</f>
        <v>84513672.38</v>
      </c>
      <c r="E2473" s="41" t="n">
        <f aca="false">C2473/D2473-1</f>
        <v>-0.294227902654536</v>
      </c>
      <c r="F2473" s="42" t="n">
        <f aca="false">YEAR(A2473)</f>
        <v>2023</v>
      </c>
    </row>
    <row r="2474" customFormat="false" ht="15" hidden="false" customHeight="false" outlineLevel="0" collapsed="false">
      <c r="A2474" s="38" t="n">
        <v>45070</v>
      </c>
      <c r="B2474" s="39" t="n">
        <v>1303.5</v>
      </c>
      <c r="C2474" s="40" t="n">
        <v>60871721.81</v>
      </c>
      <c r="D2474" s="40" t="n">
        <f aca="false">MAX(D2473,C2474)</f>
        <v>84513672.38</v>
      </c>
      <c r="E2474" s="41" t="n">
        <f aca="false">C2474/D2474-1</f>
        <v>-0.279741134235634</v>
      </c>
      <c r="F2474" s="42" t="n">
        <f aca="false">YEAR(A2474)</f>
        <v>2023</v>
      </c>
    </row>
    <row r="2475" customFormat="false" ht="15" hidden="false" customHeight="false" outlineLevel="0" collapsed="false">
      <c r="A2475" s="38" t="n">
        <v>45071</v>
      </c>
      <c r="B2475" s="39" t="n">
        <v>1264</v>
      </c>
      <c r="C2475" s="40" t="n">
        <v>63485831.81</v>
      </c>
      <c r="D2475" s="40" t="n">
        <f aca="false">MAX(D2474,C2475)</f>
        <v>84513672.38</v>
      </c>
      <c r="E2475" s="41" t="n">
        <f aca="false">C2475/D2475-1</f>
        <v>-0.248809925989871</v>
      </c>
      <c r="F2475" s="42" t="n">
        <f aca="false">YEAR(A2475)</f>
        <v>2023</v>
      </c>
    </row>
    <row r="2476" customFormat="false" ht="15" hidden="false" customHeight="false" outlineLevel="0" collapsed="false">
      <c r="A2476" s="38" t="n">
        <v>45072</v>
      </c>
      <c r="B2476" s="39" t="n">
        <v>1260</v>
      </c>
      <c r="C2476" s="40" t="n">
        <v>63750551.81</v>
      </c>
      <c r="D2476" s="40" t="n">
        <f aca="false">MAX(D2475,C2476)</f>
        <v>84513672.38</v>
      </c>
      <c r="E2476" s="41" t="n">
        <f aca="false">C2476/D2476-1</f>
        <v>-0.245677651737135</v>
      </c>
      <c r="F2476" s="42" t="n">
        <f aca="false">YEAR(A2476)</f>
        <v>2023</v>
      </c>
    </row>
    <row r="2477" customFormat="false" ht="15" hidden="false" customHeight="false" outlineLevel="0" collapsed="false">
      <c r="A2477" s="38" t="n">
        <v>45075</v>
      </c>
      <c r="B2477" s="39" t="n">
        <v>1250</v>
      </c>
      <c r="C2477" s="40" t="n">
        <v>64412351.81</v>
      </c>
      <c r="D2477" s="40" t="n">
        <f aca="false">MAX(D2476,C2477)</f>
        <v>84513672.38</v>
      </c>
      <c r="E2477" s="41" t="n">
        <f aca="false">C2477/D2477-1</f>
        <v>-0.237846966105297</v>
      </c>
      <c r="F2477" s="42" t="n">
        <f aca="false">YEAR(A2477)</f>
        <v>2023</v>
      </c>
    </row>
    <row r="2478" customFormat="false" ht="15" hidden="false" customHeight="false" outlineLevel="0" collapsed="false">
      <c r="A2478" s="38" t="n">
        <v>45076</v>
      </c>
      <c r="B2478" s="39" t="n">
        <v>1219.5</v>
      </c>
      <c r="C2478" s="40" t="n">
        <v>66430841.81</v>
      </c>
      <c r="D2478" s="40" t="n">
        <f aca="false">MAX(D2477,C2478)</f>
        <v>84513672.38</v>
      </c>
      <c r="E2478" s="41" t="n">
        <f aca="false">C2478/D2478-1</f>
        <v>-0.213963374928188</v>
      </c>
      <c r="F2478" s="42" t="n">
        <f aca="false">YEAR(A2478)</f>
        <v>2023</v>
      </c>
    </row>
    <row r="2479" customFormat="false" ht="15" hidden="false" customHeight="false" outlineLevel="0" collapsed="false">
      <c r="A2479" s="38" t="n">
        <v>45077</v>
      </c>
      <c r="B2479" s="39" t="n">
        <v>1225</v>
      </c>
      <c r="C2479" s="40" t="n">
        <v>66066851.81</v>
      </c>
      <c r="D2479" s="40" t="n">
        <f aca="false">MAX(D2478,C2479)</f>
        <v>84513672.38</v>
      </c>
      <c r="E2479" s="41" t="n">
        <f aca="false">C2479/D2479-1</f>
        <v>-0.2182702520257</v>
      </c>
      <c r="F2479" s="42" t="n">
        <f aca="false">YEAR(A2479)</f>
        <v>2023</v>
      </c>
    </row>
    <row r="2480" customFormat="false" ht="15" hidden="false" customHeight="false" outlineLevel="0" collapsed="false">
      <c r="A2480" s="38" t="n">
        <v>45078</v>
      </c>
      <c r="B2480" s="39" t="n">
        <v>1256</v>
      </c>
      <c r="C2480" s="40" t="n">
        <v>64015271.81</v>
      </c>
      <c r="D2480" s="40" t="n">
        <f aca="false">MAX(D2479,C2480)</f>
        <v>84513672.38</v>
      </c>
      <c r="E2480" s="41" t="n">
        <f aca="false">C2480/D2480-1</f>
        <v>-0.2425453774844</v>
      </c>
      <c r="F2480" s="42" t="n">
        <f aca="false">YEAR(A2480)</f>
        <v>2023</v>
      </c>
    </row>
    <row r="2481" customFormat="false" ht="15" hidden="false" customHeight="false" outlineLevel="0" collapsed="false">
      <c r="A2481" s="38" t="n">
        <v>45079</v>
      </c>
      <c r="B2481" s="39" t="n">
        <v>1273</v>
      </c>
      <c r="C2481" s="40" t="n">
        <v>62890211.81</v>
      </c>
      <c r="D2481" s="40" t="n">
        <f aca="false">MAX(D2480,C2481)</f>
        <v>84513672.38</v>
      </c>
      <c r="E2481" s="41" t="n">
        <f aca="false">C2481/D2481-1</f>
        <v>-0.255857543058526</v>
      </c>
      <c r="F2481" s="42" t="n">
        <f aca="false">YEAR(A2481)</f>
        <v>2023</v>
      </c>
    </row>
    <row r="2482" customFormat="false" ht="15" hidden="false" customHeight="false" outlineLevel="0" collapsed="false">
      <c r="A2482" s="38" t="n">
        <v>45082</v>
      </c>
      <c r="B2482" s="39" t="n">
        <v>1258</v>
      </c>
      <c r="C2482" s="40" t="n">
        <v>63882911.81</v>
      </c>
      <c r="D2482" s="40" t="n">
        <f aca="false">MAX(D2481,C2482)</f>
        <v>84513672.38</v>
      </c>
      <c r="E2482" s="41" t="n">
        <f aca="false">C2482/D2482-1</f>
        <v>-0.244111514610768</v>
      </c>
      <c r="F2482" s="42" t="n">
        <f aca="false">YEAR(A2482)</f>
        <v>2023</v>
      </c>
    </row>
    <row r="2483" customFormat="false" ht="15" hidden="false" customHeight="false" outlineLevel="0" collapsed="false">
      <c r="A2483" s="38" t="n">
        <v>45083</v>
      </c>
      <c r="B2483" s="39" t="n">
        <v>1270</v>
      </c>
      <c r="C2483" s="40" t="n">
        <v>63088751.81</v>
      </c>
      <c r="D2483" s="40" t="n">
        <f aca="false">MAX(D2482,C2483)</f>
        <v>84513672.38</v>
      </c>
      <c r="E2483" s="41" t="n">
        <f aca="false">C2483/D2483-1</f>
        <v>-0.253508337368974</v>
      </c>
      <c r="F2483" s="42" t="n">
        <f aca="false">YEAR(A2483)</f>
        <v>2023</v>
      </c>
    </row>
    <row r="2484" customFormat="false" ht="15" hidden="false" customHeight="false" outlineLevel="0" collapsed="false">
      <c r="A2484" s="38" t="n">
        <v>45084</v>
      </c>
      <c r="B2484" s="39" t="n">
        <v>1266.5</v>
      </c>
      <c r="C2484" s="40" t="n">
        <v>63320381.81</v>
      </c>
      <c r="D2484" s="40" t="n">
        <f aca="false">MAX(D2483,C2484)</f>
        <v>84513672.38</v>
      </c>
      <c r="E2484" s="41" t="n">
        <f aca="false">C2484/D2484-1</f>
        <v>-0.250767597397831</v>
      </c>
      <c r="F2484" s="42" t="n">
        <f aca="false">YEAR(A2484)</f>
        <v>2023</v>
      </c>
    </row>
    <row r="2485" customFormat="false" ht="15" hidden="false" customHeight="false" outlineLevel="0" collapsed="false">
      <c r="A2485" s="38" t="n">
        <v>45085</v>
      </c>
      <c r="B2485" s="39" t="n">
        <v>1264.5</v>
      </c>
      <c r="C2485" s="40" t="n">
        <v>63452741.81</v>
      </c>
      <c r="D2485" s="40" t="n">
        <f aca="false">MAX(D2484,C2485)</f>
        <v>84513672.38</v>
      </c>
      <c r="E2485" s="41" t="n">
        <f aca="false">C2485/D2485-1</f>
        <v>-0.249201460271463</v>
      </c>
      <c r="F2485" s="42" t="n">
        <f aca="false">YEAR(A2485)</f>
        <v>2023</v>
      </c>
    </row>
    <row r="2486" customFormat="false" ht="15" hidden="false" customHeight="false" outlineLevel="0" collapsed="false">
      <c r="A2486" s="38" t="n">
        <v>45086</v>
      </c>
      <c r="B2486" s="39" t="n">
        <v>1286</v>
      </c>
      <c r="C2486" s="40" t="n">
        <v>62029871.81</v>
      </c>
      <c r="D2486" s="40" t="n">
        <f aca="false">MAX(D2485,C2486)</f>
        <v>84513672.38</v>
      </c>
      <c r="E2486" s="41" t="n">
        <f aca="false">C2486/D2486-1</f>
        <v>-0.266037434379916</v>
      </c>
      <c r="F2486" s="42" t="n">
        <f aca="false">YEAR(A2486)</f>
        <v>2023</v>
      </c>
    </row>
    <row r="2487" customFormat="false" ht="15" hidden="false" customHeight="false" outlineLevel="0" collapsed="false">
      <c r="A2487" s="38" t="n">
        <v>45089</v>
      </c>
      <c r="B2487" s="39" t="n">
        <v>1275</v>
      </c>
      <c r="C2487" s="40" t="n">
        <v>62757851.81</v>
      </c>
      <c r="D2487" s="40" t="n">
        <f aca="false">MAX(D2486,C2487)</f>
        <v>84513672.38</v>
      </c>
      <c r="E2487" s="41" t="n">
        <f aca="false">C2487/D2487-1</f>
        <v>-0.257423680184894</v>
      </c>
      <c r="F2487" s="42" t="n">
        <f aca="false">YEAR(A2487)</f>
        <v>2023</v>
      </c>
    </row>
    <row r="2488" customFormat="false" ht="15" hidden="false" customHeight="false" outlineLevel="0" collapsed="false">
      <c r="A2488" s="38" t="n">
        <v>45090</v>
      </c>
      <c r="B2488" s="39" t="n">
        <v>1320.5</v>
      </c>
      <c r="C2488" s="40" t="n">
        <v>59746661.81</v>
      </c>
      <c r="D2488" s="40" t="n">
        <f aca="false">MAX(D2487,C2488)</f>
        <v>84513672.38</v>
      </c>
      <c r="E2488" s="41" t="n">
        <f aca="false">C2488/D2488-1</f>
        <v>-0.29305329980976</v>
      </c>
      <c r="F2488" s="42" t="n">
        <f aca="false">YEAR(A2488)</f>
        <v>2023</v>
      </c>
    </row>
    <row r="2489" customFormat="false" ht="15" hidden="false" customHeight="false" outlineLevel="0" collapsed="false">
      <c r="A2489" s="38" t="n">
        <v>45091</v>
      </c>
      <c r="B2489" s="39" t="n">
        <v>1333</v>
      </c>
      <c r="C2489" s="40" t="n">
        <v>58919411.81</v>
      </c>
      <c r="D2489" s="40" t="n">
        <f aca="false">MAX(D2488,C2489)</f>
        <v>84513672.38</v>
      </c>
      <c r="E2489" s="41" t="n">
        <f aca="false">C2489/D2489-1</f>
        <v>-0.302841656849559</v>
      </c>
      <c r="F2489" s="42" t="n">
        <f aca="false">YEAR(A2489)</f>
        <v>2023</v>
      </c>
    </row>
    <row r="2490" customFormat="false" ht="15" hidden="false" customHeight="false" outlineLevel="0" collapsed="false">
      <c r="A2490" s="38" t="n">
        <v>45092</v>
      </c>
      <c r="B2490" s="39" t="n">
        <v>1374.5</v>
      </c>
      <c r="C2490" s="40" t="n">
        <v>57851593.1</v>
      </c>
      <c r="D2490" s="40" t="n">
        <f aca="false">MAX(D2489,C2490)</f>
        <v>84513672.38</v>
      </c>
      <c r="E2490" s="41" t="n">
        <f aca="false">C2490/D2490-1</f>
        <v>-0.315476520297437</v>
      </c>
      <c r="F2490" s="42" t="n">
        <f aca="false">YEAR(A2490)</f>
        <v>2023</v>
      </c>
    </row>
    <row r="2491" customFormat="false" ht="15" hidden="false" customHeight="false" outlineLevel="0" collapsed="false">
      <c r="A2491" s="38" t="n">
        <v>45093</v>
      </c>
      <c r="B2491" s="39" t="n">
        <v>1395.5</v>
      </c>
      <c r="C2491" s="40" t="n">
        <v>57851593.1</v>
      </c>
      <c r="D2491" s="40" t="n">
        <f aca="false">MAX(D2490,C2491)</f>
        <v>84513672.38</v>
      </c>
      <c r="E2491" s="41" t="n">
        <f aca="false">C2491/D2491-1</f>
        <v>-0.315476520297437</v>
      </c>
      <c r="F2491" s="42" t="n">
        <f aca="false">YEAR(A2491)</f>
        <v>2023</v>
      </c>
    </row>
    <row r="2492" customFormat="false" ht="15" hidden="false" customHeight="false" outlineLevel="0" collapsed="false">
      <c r="A2492" s="38" t="n">
        <v>45096</v>
      </c>
      <c r="B2492" s="39" t="n">
        <v>1364</v>
      </c>
      <c r="C2492" s="40" t="n">
        <v>57851593.1</v>
      </c>
      <c r="D2492" s="40" t="n">
        <f aca="false">MAX(D2491,C2492)</f>
        <v>84513672.38</v>
      </c>
      <c r="E2492" s="41" t="n">
        <f aca="false">C2492/D2492-1</f>
        <v>-0.315476520297437</v>
      </c>
      <c r="F2492" s="42" t="n">
        <f aca="false">YEAR(A2492)</f>
        <v>2023</v>
      </c>
    </row>
    <row r="2493" customFormat="false" ht="15" hidden="false" customHeight="false" outlineLevel="0" collapsed="false">
      <c r="A2493" s="38" t="n">
        <v>45097</v>
      </c>
      <c r="B2493" s="39" t="n">
        <v>1353.5</v>
      </c>
      <c r="C2493" s="40" t="n">
        <v>57851593.1</v>
      </c>
      <c r="D2493" s="40" t="n">
        <f aca="false">MAX(D2492,C2493)</f>
        <v>84513672.38</v>
      </c>
      <c r="E2493" s="41" t="n">
        <f aca="false">C2493/D2493-1</f>
        <v>-0.315476520297437</v>
      </c>
      <c r="F2493" s="42" t="n">
        <f aca="false">YEAR(A2493)</f>
        <v>2023</v>
      </c>
    </row>
    <row r="2494" customFormat="false" ht="15" hidden="false" customHeight="false" outlineLevel="0" collapsed="false">
      <c r="A2494" s="38" t="n">
        <v>45098</v>
      </c>
      <c r="B2494" s="39" t="n">
        <v>1348.5</v>
      </c>
      <c r="C2494" s="40" t="n">
        <v>57851593.1</v>
      </c>
      <c r="D2494" s="40" t="n">
        <f aca="false">MAX(D2493,C2494)</f>
        <v>84513672.38</v>
      </c>
      <c r="E2494" s="41" t="n">
        <f aca="false">C2494/D2494-1</f>
        <v>-0.315476520297437</v>
      </c>
      <c r="F2494" s="42" t="n">
        <f aca="false">YEAR(A2494)</f>
        <v>2023</v>
      </c>
    </row>
    <row r="2495" customFormat="false" ht="15" hidden="false" customHeight="false" outlineLevel="0" collapsed="false">
      <c r="A2495" s="38" t="n">
        <v>45103</v>
      </c>
      <c r="B2495" s="39" t="n">
        <v>1290</v>
      </c>
      <c r="C2495" s="40" t="n">
        <v>57851593.1</v>
      </c>
      <c r="D2495" s="40" t="n">
        <f aca="false">MAX(D2494,C2495)</f>
        <v>84513672.38</v>
      </c>
      <c r="E2495" s="41" t="n">
        <f aca="false">C2495/D2495-1</f>
        <v>-0.315476520297437</v>
      </c>
      <c r="F2495" s="42" t="n">
        <f aca="false">YEAR(A2495)</f>
        <v>2023</v>
      </c>
    </row>
    <row r="2496" customFormat="false" ht="15" hidden="false" customHeight="false" outlineLevel="0" collapsed="false">
      <c r="A2496" s="38" t="n">
        <v>45104</v>
      </c>
      <c r="B2496" s="39" t="n">
        <v>1329.5</v>
      </c>
      <c r="C2496" s="40" t="n">
        <v>57851593.1</v>
      </c>
      <c r="D2496" s="40" t="n">
        <f aca="false">MAX(D2495,C2496)</f>
        <v>84513672.38</v>
      </c>
      <c r="E2496" s="41" t="n">
        <f aca="false">C2496/D2496-1</f>
        <v>-0.315476520297437</v>
      </c>
      <c r="F2496" s="42" t="n">
        <f aca="false">YEAR(A2496)</f>
        <v>2023</v>
      </c>
    </row>
    <row r="2497" customFormat="false" ht="15" hidden="false" customHeight="false" outlineLevel="0" collapsed="false">
      <c r="A2497" s="38" t="n">
        <v>45105</v>
      </c>
      <c r="B2497" s="39" t="n">
        <v>1321.5</v>
      </c>
      <c r="C2497" s="40" t="n">
        <v>57851593.1</v>
      </c>
      <c r="D2497" s="40" t="n">
        <f aca="false">MAX(D2496,C2497)</f>
        <v>84513672.38</v>
      </c>
      <c r="E2497" s="41" t="n">
        <f aca="false">C2497/D2497-1</f>
        <v>-0.315476520297437</v>
      </c>
      <c r="F2497" s="42" t="n">
        <f aca="false">YEAR(A2497)</f>
        <v>2023</v>
      </c>
    </row>
    <row r="2498" customFormat="false" ht="15" hidden="false" customHeight="false" outlineLevel="0" collapsed="false">
      <c r="A2498" s="38" t="n">
        <v>45106</v>
      </c>
      <c r="B2498" s="39" t="n">
        <v>1324</v>
      </c>
      <c r="C2498" s="40" t="n">
        <v>57851593.1</v>
      </c>
      <c r="D2498" s="40" t="n">
        <f aca="false">MAX(D2497,C2498)</f>
        <v>84513672.38</v>
      </c>
      <c r="E2498" s="41" t="n">
        <f aca="false">C2498/D2498-1</f>
        <v>-0.315476520297437</v>
      </c>
      <c r="F2498" s="42" t="n">
        <f aca="false">YEAR(A2498)</f>
        <v>2023</v>
      </c>
    </row>
    <row r="2499" customFormat="false" ht="15" hidden="false" customHeight="false" outlineLevel="0" collapsed="false">
      <c r="A2499" s="38" t="n">
        <v>45107</v>
      </c>
      <c r="B2499" s="39" t="n">
        <v>1346</v>
      </c>
      <c r="C2499" s="40" t="n">
        <v>57851593.1</v>
      </c>
      <c r="D2499" s="40" t="n">
        <f aca="false">MAX(D2498,C2499)</f>
        <v>84513672.38</v>
      </c>
      <c r="E2499" s="41" t="n">
        <f aca="false">C2499/D2499-1</f>
        <v>-0.315476520297437</v>
      </c>
      <c r="F2499" s="42" t="n">
        <f aca="false">YEAR(A2499)</f>
        <v>2023</v>
      </c>
    </row>
    <row r="2500" customFormat="false" ht="15" hidden="false" customHeight="false" outlineLevel="0" collapsed="false">
      <c r="A2500" s="38" t="n">
        <v>45110</v>
      </c>
      <c r="B2500" s="39" t="n">
        <v>1327</v>
      </c>
      <c r="C2500" s="40" t="n">
        <v>57851593.1</v>
      </c>
      <c r="D2500" s="40" t="n">
        <f aca="false">MAX(D2499,C2500)</f>
        <v>84513672.38</v>
      </c>
      <c r="E2500" s="41" t="n">
        <f aca="false">C2500/D2500-1</f>
        <v>-0.315476520297437</v>
      </c>
      <c r="F2500" s="42" t="n">
        <f aca="false">YEAR(A2500)</f>
        <v>2023</v>
      </c>
    </row>
    <row r="2501" customFormat="false" ht="15" hidden="false" customHeight="false" outlineLevel="0" collapsed="false">
      <c r="A2501" s="38" t="n">
        <v>45111</v>
      </c>
      <c r="B2501" s="39" t="n">
        <v>1311.5</v>
      </c>
      <c r="C2501" s="40" t="n">
        <v>57851593.1</v>
      </c>
      <c r="D2501" s="40" t="n">
        <f aca="false">MAX(D2500,C2501)</f>
        <v>84513672.38</v>
      </c>
      <c r="E2501" s="41" t="n">
        <f aca="false">C2501/D2501-1</f>
        <v>-0.315476520297437</v>
      </c>
      <c r="F2501" s="42" t="n">
        <f aca="false">YEAR(A2501)</f>
        <v>2023</v>
      </c>
    </row>
    <row r="2502" customFormat="false" ht="15" hidden="false" customHeight="false" outlineLevel="0" collapsed="false">
      <c r="A2502" s="38" t="n">
        <v>45112</v>
      </c>
      <c r="B2502" s="39" t="n">
        <v>1305.5</v>
      </c>
      <c r="C2502" s="40" t="n">
        <v>57851593.1</v>
      </c>
      <c r="D2502" s="40" t="n">
        <f aca="false">MAX(D2501,C2502)</f>
        <v>84513672.38</v>
      </c>
      <c r="E2502" s="41" t="n">
        <f aca="false">C2502/D2502-1</f>
        <v>-0.315476520297437</v>
      </c>
      <c r="F2502" s="42" t="n">
        <f aca="false">YEAR(A2502)</f>
        <v>2023</v>
      </c>
    </row>
    <row r="2503" customFormat="false" ht="15" hidden="false" customHeight="false" outlineLevel="0" collapsed="false">
      <c r="A2503" s="38" t="n">
        <v>45113</v>
      </c>
      <c r="B2503" s="39" t="n">
        <v>1333</v>
      </c>
      <c r="C2503" s="40" t="n">
        <v>57851593.1</v>
      </c>
      <c r="D2503" s="40" t="n">
        <f aca="false">MAX(D2502,C2503)</f>
        <v>84513672.38</v>
      </c>
      <c r="E2503" s="41" t="n">
        <f aca="false">C2503/D2503-1</f>
        <v>-0.315476520297437</v>
      </c>
      <c r="F2503" s="42" t="n">
        <f aca="false">YEAR(A2503)</f>
        <v>2023</v>
      </c>
    </row>
    <row r="2504" customFormat="false" ht="15" hidden="false" customHeight="false" outlineLevel="0" collapsed="false">
      <c r="A2504" s="38" t="n">
        <v>45114</v>
      </c>
      <c r="B2504" s="39" t="n">
        <v>1307</v>
      </c>
      <c r="C2504" s="40" t="n">
        <v>57851593.1</v>
      </c>
      <c r="D2504" s="40" t="n">
        <f aca="false">MAX(D2503,C2504)</f>
        <v>84513672.38</v>
      </c>
      <c r="E2504" s="41" t="n">
        <f aca="false">C2504/D2504-1</f>
        <v>-0.315476520297437</v>
      </c>
      <c r="F2504" s="42" t="n">
        <f aca="false">YEAR(A2504)</f>
        <v>2023</v>
      </c>
    </row>
    <row r="2505" customFormat="false" ht="15" hidden="false" customHeight="false" outlineLevel="0" collapsed="false">
      <c r="A2505" s="38" t="n">
        <v>45117</v>
      </c>
      <c r="B2505" s="39" t="n">
        <v>1313</v>
      </c>
      <c r="C2505" s="40" t="n">
        <v>57851593.1</v>
      </c>
      <c r="D2505" s="40" t="n">
        <f aca="false">MAX(D2504,C2505)</f>
        <v>84513672.38</v>
      </c>
      <c r="E2505" s="41" t="n">
        <f aca="false">C2505/D2505-1</f>
        <v>-0.315476520297437</v>
      </c>
      <c r="F2505" s="42" t="n">
        <f aca="false">YEAR(A2505)</f>
        <v>2023</v>
      </c>
    </row>
    <row r="2506" customFormat="false" ht="15" hidden="false" customHeight="false" outlineLevel="0" collapsed="false">
      <c r="A2506" s="38" t="n">
        <v>45118</v>
      </c>
      <c r="B2506" s="39" t="n">
        <v>1354.5</v>
      </c>
      <c r="C2506" s="40" t="n">
        <v>57851593.1</v>
      </c>
      <c r="D2506" s="40" t="n">
        <f aca="false">MAX(D2505,C2506)</f>
        <v>84513672.38</v>
      </c>
      <c r="E2506" s="41" t="n">
        <f aca="false">C2506/D2506-1</f>
        <v>-0.315476520297437</v>
      </c>
      <c r="F2506" s="42" t="n">
        <f aca="false">YEAR(A2506)</f>
        <v>2023</v>
      </c>
    </row>
    <row r="2507" customFormat="false" ht="15" hidden="false" customHeight="false" outlineLevel="0" collapsed="false">
      <c r="A2507" s="38" t="n">
        <v>45119</v>
      </c>
      <c r="B2507" s="39" t="n">
        <v>1385.5</v>
      </c>
      <c r="C2507" s="40" t="n">
        <v>57851593.1</v>
      </c>
      <c r="D2507" s="40" t="n">
        <f aca="false">MAX(D2506,C2507)</f>
        <v>84513672.38</v>
      </c>
      <c r="E2507" s="41" t="n">
        <f aca="false">C2507/D2507-1</f>
        <v>-0.315476520297437</v>
      </c>
      <c r="F2507" s="42" t="n">
        <f aca="false">YEAR(A2507)</f>
        <v>2023</v>
      </c>
    </row>
    <row r="2508" customFormat="false" ht="15" hidden="false" customHeight="false" outlineLevel="0" collapsed="false">
      <c r="A2508" s="38" t="n">
        <v>45120</v>
      </c>
      <c r="B2508" s="39" t="n">
        <v>1391</v>
      </c>
      <c r="C2508" s="40" t="n">
        <v>58000861.6</v>
      </c>
      <c r="D2508" s="40" t="n">
        <f aca="false">MAX(D2507,C2508)</f>
        <v>84513672.38</v>
      </c>
      <c r="E2508" s="41" t="n">
        <f aca="false">C2508/D2508-1</f>
        <v>-0.313710314951054</v>
      </c>
      <c r="F2508" s="42" t="n">
        <f aca="false">YEAR(A2508)</f>
        <v>2023</v>
      </c>
    </row>
    <row r="2509" customFormat="false" ht="15" hidden="false" customHeight="false" outlineLevel="0" collapsed="false">
      <c r="A2509" s="38" t="n">
        <v>45121</v>
      </c>
      <c r="B2509" s="39" t="n">
        <v>1418.5</v>
      </c>
      <c r="C2509" s="40" t="n">
        <v>62769361.6</v>
      </c>
      <c r="D2509" s="40" t="n">
        <f aca="false">MAX(D2508,C2509)</f>
        <v>84513672.38</v>
      </c>
      <c r="E2509" s="41" t="n">
        <f aca="false">C2509/D2509-1</f>
        <v>-0.257287491688099</v>
      </c>
      <c r="F2509" s="42" t="n">
        <f aca="false">YEAR(A2509)</f>
        <v>2023</v>
      </c>
    </row>
    <row r="2510" customFormat="false" ht="15" hidden="false" customHeight="false" outlineLevel="0" collapsed="false">
      <c r="A2510" s="38" t="n">
        <v>45124</v>
      </c>
      <c r="B2510" s="39" t="n">
        <v>1383</v>
      </c>
      <c r="C2510" s="40" t="n">
        <v>56613661.6</v>
      </c>
      <c r="D2510" s="40" t="n">
        <f aca="false">MAX(D2509,C2510)</f>
        <v>84513672.38</v>
      </c>
      <c r="E2510" s="41" t="n">
        <f aca="false">C2510/D2510-1</f>
        <v>-0.330124227173005</v>
      </c>
      <c r="F2510" s="42" t="n">
        <f aca="false">YEAR(A2510)</f>
        <v>2023</v>
      </c>
    </row>
    <row r="2511" customFormat="false" ht="15" hidden="false" customHeight="false" outlineLevel="0" collapsed="false">
      <c r="A2511" s="38" t="n">
        <v>45125</v>
      </c>
      <c r="B2511" s="39" t="n">
        <v>1463.5</v>
      </c>
      <c r="C2511" s="40" t="n">
        <v>70572361.6</v>
      </c>
      <c r="D2511" s="40" t="n">
        <f aca="false">MAX(D2510,C2511)</f>
        <v>84513672.38</v>
      </c>
      <c r="E2511" s="41" t="n">
        <f aca="false">C2511/D2511-1</f>
        <v>-0.164959235439628</v>
      </c>
      <c r="F2511" s="42" t="n">
        <f aca="false">YEAR(A2511)</f>
        <v>2023</v>
      </c>
    </row>
    <row r="2512" customFormat="false" ht="15" hidden="false" customHeight="false" outlineLevel="0" collapsed="false">
      <c r="A2512" s="38" t="n">
        <v>45126</v>
      </c>
      <c r="B2512" s="39" t="n">
        <v>1472.5</v>
      </c>
      <c r="C2512" s="40" t="n">
        <v>72132961.6</v>
      </c>
      <c r="D2512" s="40" t="n">
        <f aca="false">MAX(D2511,C2512)</f>
        <v>84513672.38</v>
      </c>
      <c r="E2512" s="41" t="n">
        <f aca="false">C2512/D2512-1</f>
        <v>-0.146493584189934</v>
      </c>
      <c r="F2512" s="42" t="n">
        <f aca="false">YEAR(A2512)</f>
        <v>2023</v>
      </c>
    </row>
    <row r="2513" customFormat="false" ht="15" hidden="false" customHeight="false" outlineLevel="0" collapsed="false">
      <c r="A2513" s="38" t="n">
        <v>45127</v>
      </c>
      <c r="B2513" s="39" t="n">
        <v>1516.5</v>
      </c>
      <c r="C2513" s="40" t="n">
        <v>79762561.6</v>
      </c>
      <c r="D2513" s="40" t="n">
        <f aca="false">MAX(D2512,C2513)</f>
        <v>84513672.38</v>
      </c>
      <c r="E2513" s="41" t="n">
        <f aca="false">C2513/D2513-1</f>
        <v>-0.056217066969206</v>
      </c>
      <c r="F2513" s="42" t="n">
        <f aca="false">YEAR(A2513)</f>
        <v>2023</v>
      </c>
    </row>
    <row r="2514" customFormat="false" ht="15" hidden="false" customHeight="false" outlineLevel="0" collapsed="false">
      <c r="A2514" s="38" t="n">
        <v>45128</v>
      </c>
      <c r="B2514" s="39" t="n">
        <v>1485.5</v>
      </c>
      <c r="C2514" s="40" t="n">
        <v>74387161.6</v>
      </c>
      <c r="D2514" s="40" t="n">
        <f aca="false">MAX(D2513,C2514)</f>
        <v>84513672.38</v>
      </c>
      <c r="E2514" s="41" t="n">
        <f aca="false">C2514/D2514-1</f>
        <v>-0.119820976829264</v>
      </c>
      <c r="F2514" s="42" t="n">
        <f aca="false">YEAR(A2514)</f>
        <v>2023</v>
      </c>
    </row>
    <row r="2515" customFormat="false" ht="15" hidden="false" customHeight="false" outlineLevel="0" collapsed="false">
      <c r="A2515" s="38" t="n">
        <v>45131</v>
      </c>
      <c r="B2515" s="39" t="n">
        <v>1455.5</v>
      </c>
      <c r="C2515" s="40" t="n">
        <v>69185161.6</v>
      </c>
      <c r="D2515" s="40" t="n">
        <f aca="false">MAX(D2514,C2515)</f>
        <v>84513672.38</v>
      </c>
      <c r="E2515" s="41" t="n">
        <f aca="false">C2515/D2515-1</f>
        <v>-0.181373147661578</v>
      </c>
      <c r="F2515" s="42" t="n">
        <f aca="false">YEAR(A2515)</f>
        <v>2023</v>
      </c>
    </row>
    <row r="2516" customFormat="false" ht="15" hidden="false" customHeight="false" outlineLevel="0" collapsed="false">
      <c r="A2516" s="38" t="n">
        <v>45132</v>
      </c>
      <c r="B2516" s="39" t="n">
        <v>1462</v>
      </c>
      <c r="C2516" s="40" t="n">
        <v>70312261.6</v>
      </c>
      <c r="D2516" s="40" t="n">
        <f aca="false">MAX(D2515,C2516)</f>
        <v>84513672.38</v>
      </c>
      <c r="E2516" s="41" t="n">
        <f aca="false">C2516/D2516-1</f>
        <v>-0.168036843981244</v>
      </c>
      <c r="F2516" s="42" t="n">
        <f aca="false">YEAR(A2516)</f>
        <v>2023</v>
      </c>
    </row>
    <row r="2517" customFormat="false" ht="15" hidden="false" customHeight="false" outlineLevel="0" collapsed="false">
      <c r="A2517" s="38" t="n">
        <v>45133</v>
      </c>
      <c r="B2517" s="39" t="n">
        <v>1506</v>
      </c>
      <c r="C2517" s="40" t="n">
        <v>77941861.6</v>
      </c>
      <c r="D2517" s="40" t="n">
        <f aca="false">MAX(D2516,C2517)</f>
        <v>84513672.38</v>
      </c>
      <c r="E2517" s="41" t="n">
        <f aca="false">C2517/D2517-1</f>
        <v>-0.077760326760516</v>
      </c>
      <c r="F2517" s="42" t="n">
        <f aca="false">YEAR(A2517)</f>
        <v>2023</v>
      </c>
    </row>
    <row r="2518" customFormat="false" ht="15" hidden="false" customHeight="false" outlineLevel="0" collapsed="false">
      <c r="A2518" s="38" t="n">
        <v>45134</v>
      </c>
      <c r="B2518" s="39" t="n">
        <v>1468</v>
      </c>
      <c r="C2518" s="40" t="n">
        <v>71352661.6</v>
      </c>
      <c r="D2518" s="40" t="n">
        <f aca="false">MAX(D2517,C2518)</f>
        <v>84513672.38</v>
      </c>
      <c r="E2518" s="41" t="n">
        <f aca="false">C2518/D2518-1</f>
        <v>-0.155726409814781</v>
      </c>
      <c r="F2518" s="42" t="n">
        <f aca="false">YEAR(A2518)</f>
        <v>2023</v>
      </c>
    </row>
    <row r="2519" customFormat="false" ht="15" hidden="false" customHeight="false" outlineLevel="0" collapsed="false">
      <c r="A2519" s="38" t="n">
        <v>45135</v>
      </c>
      <c r="B2519" s="39" t="n">
        <v>1452</v>
      </c>
      <c r="C2519" s="40" t="n">
        <v>68578261.6</v>
      </c>
      <c r="D2519" s="40" t="n">
        <f aca="false">MAX(D2518,C2519)</f>
        <v>84513672.38</v>
      </c>
      <c r="E2519" s="41" t="n">
        <f aca="false">C2519/D2519-1</f>
        <v>-0.188554234258682</v>
      </c>
      <c r="F2519" s="42" t="n">
        <f aca="false">YEAR(A2519)</f>
        <v>2023</v>
      </c>
    </row>
    <row r="2520" customFormat="false" ht="15" hidden="false" customHeight="false" outlineLevel="0" collapsed="false">
      <c r="A2520" s="38" t="n">
        <v>45138</v>
      </c>
      <c r="B2520" s="39" t="n">
        <v>1436</v>
      </c>
      <c r="C2520" s="40" t="n">
        <v>65803861.6</v>
      </c>
      <c r="D2520" s="40" t="n">
        <f aca="false">MAX(D2519,C2520)</f>
        <v>84513672.38</v>
      </c>
      <c r="E2520" s="41" t="n">
        <f aca="false">C2520/D2520-1</f>
        <v>-0.221382058702583</v>
      </c>
      <c r="F2520" s="42" t="n">
        <f aca="false">YEAR(A2520)</f>
        <v>2023</v>
      </c>
    </row>
    <row r="2521" customFormat="false" ht="15" hidden="false" customHeight="false" outlineLevel="0" collapsed="false">
      <c r="A2521" s="38" t="n">
        <v>45139</v>
      </c>
      <c r="B2521" s="39" t="n">
        <v>1466.5</v>
      </c>
      <c r="C2521" s="40" t="n">
        <v>71092561.6</v>
      </c>
      <c r="D2521" s="40" t="n">
        <f aca="false">MAX(D2520,C2521)</f>
        <v>84513672.38</v>
      </c>
      <c r="E2521" s="41" t="n">
        <f aca="false">C2521/D2521-1</f>
        <v>-0.158804018356397</v>
      </c>
      <c r="F2521" s="42" t="n">
        <f aca="false">YEAR(A2521)</f>
        <v>2023</v>
      </c>
    </row>
    <row r="2522" customFormat="false" ht="15" hidden="false" customHeight="false" outlineLevel="0" collapsed="false">
      <c r="A2522" s="38" t="n">
        <v>45140</v>
      </c>
      <c r="B2522" s="39" t="n">
        <v>1476.5</v>
      </c>
      <c r="C2522" s="40" t="n">
        <v>72826561.6</v>
      </c>
      <c r="D2522" s="40" t="n">
        <f aca="false">MAX(D2521,C2522)</f>
        <v>84513672.38</v>
      </c>
      <c r="E2522" s="41" t="n">
        <f aca="false">C2522/D2522-1</f>
        <v>-0.138286628078958</v>
      </c>
      <c r="F2522" s="42" t="n">
        <f aca="false">YEAR(A2522)</f>
        <v>2023</v>
      </c>
    </row>
    <row r="2523" customFormat="false" ht="15" hidden="false" customHeight="false" outlineLevel="0" collapsed="false">
      <c r="A2523" s="38" t="n">
        <v>45141</v>
      </c>
      <c r="B2523" s="39" t="n">
        <v>1411</v>
      </c>
      <c r="C2523" s="40" t="n">
        <v>61468861.6</v>
      </c>
      <c r="D2523" s="40" t="n">
        <f aca="false">MAX(D2522,C2523)</f>
        <v>84513672.38</v>
      </c>
      <c r="E2523" s="41" t="n">
        <f aca="false">C2523/D2523-1</f>
        <v>-0.272675534396178</v>
      </c>
      <c r="F2523" s="42" t="n">
        <f aca="false">YEAR(A2523)</f>
        <v>2023</v>
      </c>
    </row>
    <row r="2524" customFormat="false" ht="15" hidden="false" customHeight="false" outlineLevel="0" collapsed="false">
      <c r="A2524" s="38" t="n">
        <v>45142</v>
      </c>
      <c r="B2524" s="39" t="n">
        <v>1430</v>
      </c>
      <c r="C2524" s="40" t="n">
        <v>64763461.6</v>
      </c>
      <c r="D2524" s="40" t="n">
        <f aca="false">MAX(D2523,C2524)</f>
        <v>84513672.38</v>
      </c>
      <c r="E2524" s="41" t="n">
        <f aca="false">C2524/D2524-1</f>
        <v>-0.233692492869045</v>
      </c>
      <c r="F2524" s="42" t="n">
        <f aca="false">YEAR(A2524)</f>
        <v>2023</v>
      </c>
    </row>
    <row r="2525" customFormat="false" ht="15" hidden="false" customHeight="false" outlineLevel="0" collapsed="false">
      <c r="A2525" s="38" t="n">
        <v>45145</v>
      </c>
      <c r="B2525" s="39" t="n">
        <v>1434.5</v>
      </c>
      <c r="C2525" s="40" t="n">
        <v>65543761.6</v>
      </c>
      <c r="D2525" s="40" t="n">
        <f aca="false">MAX(D2524,C2525)</f>
        <v>84513672.38</v>
      </c>
      <c r="E2525" s="41" t="n">
        <f aca="false">C2525/D2525-1</f>
        <v>-0.224459667244198</v>
      </c>
      <c r="F2525" s="42" t="n">
        <f aca="false">YEAR(A2525)</f>
        <v>2023</v>
      </c>
    </row>
    <row r="2526" customFormat="false" ht="15" hidden="false" customHeight="false" outlineLevel="0" collapsed="false">
      <c r="A2526" s="38" t="n">
        <v>45146</v>
      </c>
      <c r="B2526" s="39" t="n">
        <v>1406</v>
      </c>
      <c r="C2526" s="40" t="n">
        <v>60601861.6</v>
      </c>
      <c r="D2526" s="40" t="n">
        <f aca="false">MAX(D2525,C2526)</f>
        <v>84513672.38</v>
      </c>
      <c r="E2526" s="41" t="n">
        <f aca="false">C2526/D2526-1</f>
        <v>-0.282934229534897</v>
      </c>
      <c r="F2526" s="42" t="n">
        <f aca="false">YEAR(A2526)</f>
        <v>2023</v>
      </c>
    </row>
    <row r="2527" customFormat="false" ht="15" hidden="false" customHeight="false" outlineLevel="0" collapsed="false">
      <c r="A2527" s="38" t="n">
        <v>45147</v>
      </c>
      <c r="B2527" s="39" t="n">
        <v>1432</v>
      </c>
      <c r="C2527" s="40" t="n">
        <v>65110261.6</v>
      </c>
      <c r="D2527" s="40" t="n">
        <f aca="false">MAX(D2526,C2527)</f>
        <v>84513672.38</v>
      </c>
      <c r="E2527" s="41" t="n">
        <f aca="false">C2527/D2527-1</f>
        <v>-0.229589014813558</v>
      </c>
      <c r="F2527" s="42" t="n">
        <f aca="false">YEAR(A2527)</f>
        <v>2023</v>
      </c>
    </row>
    <row r="2528" customFormat="false" ht="15" hidden="false" customHeight="false" outlineLevel="0" collapsed="false">
      <c r="A2528" s="38" t="n">
        <v>45148</v>
      </c>
      <c r="B2528" s="39" t="n">
        <v>1410.5</v>
      </c>
      <c r="C2528" s="40" t="n">
        <v>65778932.46</v>
      </c>
      <c r="D2528" s="40" t="n">
        <f aca="false">MAX(D2527,C2528)</f>
        <v>84513672.38</v>
      </c>
      <c r="E2528" s="41" t="n">
        <f aca="false">C2528/D2528-1</f>
        <v>-0.221677030383471</v>
      </c>
      <c r="F2528" s="42" t="n">
        <f aca="false">YEAR(A2528)</f>
        <v>2023</v>
      </c>
    </row>
    <row r="2529" customFormat="false" ht="15" hidden="false" customHeight="false" outlineLevel="0" collapsed="false">
      <c r="A2529" s="38" t="n">
        <v>45149</v>
      </c>
      <c r="B2529" s="39" t="n">
        <v>1432.5</v>
      </c>
      <c r="C2529" s="40" t="n">
        <v>65778932.46</v>
      </c>
      <c r="D2529" s="40" t="n">
        <f aca="false">MAX(D2528,C2529)</f>
        <v>84513672.38</v>
      </c>
      <c r="E2529" s="41" t="n">
        <f aca="false">C2529/D2529-1</f>
        <v>-0.221677030383471</v>
      </c>
      <c r="F2529" s="42" t="n">
        <f aca="false">YEAR(A2529)</f>
        <v>2023</v>
      </c>
    </row>
    <row r="2530" customFormat="false" ht="15" hidden="false" customHeight="false" outlineLevel="0" collapsed="false">
      <c r="A2530" s="38" t="n">
        <v>45152</v>
      </c>
      <c r="B2530" s="39" t="n">
        <v>1399.5</v>
      </c>
      <c r="C2530" s="40" t="n">
        <v>65778932.46</v>
      </c>
      <c r="D2530" s="40" t="n">
        <f aca="false">MAX(D2529,C2530)</f>
        <v>84513672.38</v>
      </c>
      <c r="E2530" s="41" t="n">
        <f aca="false">C2530/D2530-1</f>
        <v>-0.221677030383471</v>
      </c>
      <c r="F2530" s="42" t="n">
        <f aca="false">YEAR(A2530)</f>
        <v>2023</v>
      </c>
    </row>
    <row r="2531" customFormat="false" ht="15" hidden="false" customHeight="false" outlineLevel="0" collapsed="false">
      <c r="A2531" s="38" t="n">
        <v>45153</v>
      </c>
      <c r="B2531" s="39" t="n">
        <v>1416.5</v>
      </c>
      <c r="C2531" s="40" t="n">
        <v>65778932.46</v>
      </c>
      <c r="D2531" s="40" t="n">
        <f aca="false">MAX(D2530,C2531)</f>
        <v>84513672.38</v>
      </c>
      <c r="E2531" s="41" t="n">
        <f aca="false">C2531/D2531-1</f>
        <v>-0.221677030383471</v>
      </c>
      <c r="F2531" s="42" t="n">
        <f aca="false">YEAR(A2531)</f>
        <v>2023</v>
      </c>
    </row>
    <row r="2532" customFormat="false" ht="15" hidden="false" customHeight="false" outlineLevel="0" collapsed="false">
      <c r="A2532" s="38" t="n">
        <v>45154</v>
      </c>
      <c r="B2532" s="39" t="n">
        <v>1384</v>
      </c>
      <c r="C2532" s="40" t="n">
        <v>65778932.46</v>
      </c>
      <c r="D2532" s="40" t="n">
        <f aca="false">MAX(D2531,C2532)</f>
        <v>84513672.38</v>
      </c>
      <c r="E2532" s="41" t="n">
        <f aca="false">C2532/D2532-1</f>
        <v>-0.221677030383471</v>
      </c>
      <c r="F2532" s="42" t="n">
        <f aca="false">YEAR(A2532)</f>
        <v>2023</v>
      </c>
    </row>
    <row r="2533" customFormat="false" ht="15" hidden="false" customHeight="false" outlineLevel="0" collapsed="false">
      <c r="A2533" s="38" t="n">
        <v>45155</v>
      </c>
      <c r="B2533" s="39" t="n">
        <v>1411.5</v>
      </c>
      <c r="C2533" s="40" t="n">
        <v>65778932.46</v>
      </c>
      <c r="D2533" s="40" t="n">
        <f aca="false">MAX(D2532,C2533)</f>
        <v>84513672.38</v>
      </c>
      <c r="E2533" s="41" t="n">
        <f aca="false">C2533/D2533-1</f>
        <v>-0.221677030383471</v>
      </c>
      <c r="F2533" s="42" t="n">
        <f aca="false">YEAR(A2533)</f>
        <v>2023</v>
      </c>
    </row>
    <row r="2534" customFormat="false" ht="15" hidden="false" customHeight="false" outlineLevel="0" collapsed="false">
      <c r="A2534" s="38" t="n">
        <v>45156</v>
      </c>
      <c r="B2534" s="39" t="n">
        <v>1421.5</v>
      </c>
      <c r="C2534" s="40" t="n">
        <v>65778932.46</v>
      </c>
      <c r="D2534" s="40" t="n">
        <f aca="false">MAX(D2533,C2534)</f>
        <v>84513672.38</v>
      </c>
      <c r="E2534" s="41" t="n">
        <f aca="false">C2534/D2534-1</f>
        <v>-0.221677030383471</v>
      </c>
      <c r="F2534" s="42" t="n">
        <f aca="false">YEAR(A2534)</f>
        <v>2023</v>
      </c>
    </row>
    <row r="2535" customFormat="false" ht="15" hidden="false" customHeight="false" outlineLevel="0" collapsed="false">
      <c r="A2535" s="38" t="n">
        <v>45159</v>
      </c>
      <c r="B2535" s="39" t="n">
        <v>1445</v>
      </c>
      <c r="C2535" s="40" t="n">
        <v>65778932.46</v>
      </c>
      <c r="D2535" s="40" t="n">
        <f aca="false">MAX(D2534,C2535)</f>
        <v>84513672.38</v>
      </c>
      <c r="E2535" s="41" t="n">
        <f aca="false">C2535/D2535-1</f>
        <v>-0.221677030383471</v>
      </c>
      <c r="F2535" s="42" t="n">
        <f aca="false">YEAR(A2535)</f>
        <v>2023</v>
      </c>
    </row>
    <row r="2536" customFormat="false" ht="15" hidden="false" customHeight="false" outlineLevel="0" collapsed="false">
      <c r="A2536" s="38" t="n">
        <v>45160</v>
      </c>
      <c r="B2536" s="39" t="n">
        <v>1490.5</v>
      </c>
      <c r="C2536" s="40" t="n">
        <v>65778932.46</v>
      </c>
      <c r="D2536" s="40" t="n">
        <f aca="false">MAX(D2535,C2536)</f>
        <v>84513672.38</v>
      </c>
      <c r="E2536" s="41" t="n">
        <f aca="false">C2536/D2536-1</f>
        <v>-0.221677030383471</v>
      </c>
      <c r="F2536" s="42" t="n">
        <f aca="false">YEAR(A2536)</f>
        <v>2023</v>
      </c>
    </row>
    <row r="2537" customFormat="false" ht="15" hidden="false" customHeight="false" outlineLevel="0" collapsed="false">
      <c r="A2537" s="38" t="n">
        <v>45161</v>
      </c>
      <c r="B2537" s="39" t="n">
        <v>1519.5</v>
      </c>
      <c r="C2537" s="40" t="n">
        <v>65778932.46</v>
      </c>
      <c r="D2537" s="40" t="n">
        <f aca="false">MAX(D2536,C2537)</f>
        <v>84513672.38</v>
      </c>
      <c r="E2537" s="41" t="n">
        <f aca="false">C2537/D2537-1</f>
        <v>-0.221677030383471</v>
      </c>
      <c r="F2537" s="42" t="n">
        <f aca="false">YEAR(A2537)</f>
        <v>2023</v>
      </c>
    </row>
    <row r="2538" customFormat="false" ht="15" hidden="false" customHeight="false" outlineLevel="0" collapsed="false">
      <c r="A2538" s="38" t="n">
        <v>45162</v>
      </c>
      <c r="B2538" s="39" t="n">
        <v>1499.5</v>
      </c>
      <c r="C2538" s="40" t="n">
        <v>65778932.46</v>
      </c>
      <c r="D2538" s="40" t="n">
        <f aca="false">MAX(D2537,C2538)</f>
        <v>84513672.38</v>
      </c>
      <c r="E2538" s="41" t="n">
        <f aca="false">C2538/D2538-1</f>
        <v>-0.221677030383471</v>
      </c>
      <c r="F2538" s="42" t="n">
        <f aca="false">YEAR(A2538)</f>
        <v>2023</v>
      </c>
    </row>
    <row r="2539" customFormat="false" ht="15" hidden="false" customHeight="false" outlineLevel="0" collapsed="false">
      <c r="A2539" s="38" t="n">
        <v>45163</v>
      </c>
      <c r="B2539" s="39" t="n">
        <v>1508.5</v>
      </c>
      <c r="C2539" s="40" t="n">
        <v>65778932.46</v>
      </c>
      <c r="D2539" s="40" t="n">
        <f aca="false">MAX(D2538,C2539)</f>
        <v>84513672.38</v>
      </c>
      <c r="E2539" s="41" t="n">
        <f aca="false">C2539/D2539-1</f>
        <v>-0.221677030383471</v>
      </c>
      <c r="F2539" s="42" t="n">
        <f aca="false">YEAR(A2539)</f>
        <v>2023</v>
      </c>
    </row>
    <row r="2540" customFormat="false" ht="15" hidden="false" customHeight="false" outlineLevel="0" collapsed="false">
      <c r="A2540" s="38" t="n">
        <v>45166</v>
      </c>
      <c r="B2540" s="39" t="n">
        <v>1496.5</v>
      </c>
      <c r="C2540" s="40" t="n">
        <v>65778932.46</v>
      </c>
      <c r="D2540" s="40" t="n">
        <f aca="false">MAX(D2539,C2540)</f>
        <v>84513672.38</v>
      </c>
      <c r="E2540" s="41" t="n">
        <f aca="false">C2540/D2540-1</f>
        <v>-0.221677030383471</v>
      </c>
      <c r="F2540" s="42" t="n">
        <f aca="false">YEAR(A2540)</f>
        <v>2023</v>
      </c>
    </row>
    <row r="2541" customFormat="false" ht="15" hidden="false" customHeight="false" outlineLevel="0" collapsed="false">
      <c r="A2541" s="38" t="n">
        <v>45167</v>
      </c>
      <c r="B2541" s="39" t="n">
        <v>1464.5</v>
      </c>
      <c r="C2541" s="40" t="n">
        <v>65778932.46</v>
      </c>
      <c r="D2541" s="40" t="n">
        <f aca="false">MAX(D2540,C2541)</f>
        <v>84513672.38</v>
      </c>
      <c r="E2541" s="41" t="n">
        <f aca="false">C2541/D2541-1</f>
        <v>-0.221677030383471</v>
      </c>
      <c r="F2541" s="42" t="n">
        <f aca="false">YEAR(A2541)</f>
        <v>2023</v>
      </c>
    </row>
    <row r="2542" customFormat="false" ht="15" hidden="false" customHeight="false" outlineLevel="0" collapsed="false">
      <c r="A2542" s="38" t="n">
        <v>45168</v>
      </c>
      <c r="B2542" s="39" t="n">
        <v>1516</v>
      </c>
      <c r="C2542" s="40" t="n">
        <v>65778932.46</v>
      </c>
      <c r="D2542" s="40" t="n">
        <f aca="false">MAX(D2541,C2542)</f>
        <v>84513672.38</v>
      </c>
      <c r="E2542" s="41" t="n">
        <f aca="false">C2542/D2542-1</f>
        <v>-0.221677030383471</v>
      </c>
      <c r="F2542" s="42" t="n">
        <f aca="false">YEAR(A2542)</f>
        <v>2023</v>
      </c>
    </row>
    <row r="2543" customFormat="false" ht="15" hidden="false" customHeight="false" outlineLevel="0" collapsed="false">
      <c r="A2543" s="38" t="n">
        <v>45169</v>
      </c>
      <c r="B2543" s="39" t="n">
        <v>1533.5</v>
      </c>
      <c r="C2543" s="40" t="n">
        <v>65778932.46</v>
      </c>
      <c r="D2543" s="40" t="n">
        <f aca="false">MAX(D2542,C2543)</f>
        <v>84513672.38</v>
      </c>
      <c r="E2543" s="41" t="n">
        <f aca="false">C2543/D2543-1</f>
        <v>-0.221677030383471</v>
      </c>
      <c r="F2543" s="42" t="n">
        <f aca="false">YEAR(A2543)</f>
        <v>2023</v>
      </c>
    </row>
    <row r="2544" customFormat="false" ht="15" hidden="false" customHeight="false" outlineLevel="0" collapsed="false">
      <c r="A2544" s="38" t="n">
        <v>45170</v>
      </c>
      <c r="B2544" s="39" t="n">
        <v>1622</v>
      </c>
      <c r="C2544" s="40" t="n">
        <v>65778932.46</v>
      </c>
      <c r="D2544" s="40" t="n">
        <f aca="false">MAX(D2543,C2544)</f>
        <v>84513672.38</v>
      </c>
      <c r="E2544" s="41" t="n">
        <f aca="false">C2544/D2544-1</f>
        <v>-0.221677030383471</v>
      </c>
      <c r="F2544" s="42" t="n">
        <f aca="false">YEAR(A2544)</f>
        <v>2023</v>
      </c>
    </row>
    <row r="2545" customFormat="false" ht="15" hidden="false" customHeight="false" outlineLevel="0" collapsed="false">
      <c r="A2545" s="38" t="n">
        <v>45173</v>
      </c>
      <c r="B2545" s="39" t="n">
        <v>1669</v>
      </c>
      <c r="C2545" s="40" t="n">
        <v>70173287.9</v>
      </c>
      <c r="D2545" s="40" t="n">
        <f aca="false">MAX(D2544,C2545)</f>
        <v>84513672.38</v>
      </c>
      <c r="E2545" s="41" t="n">
        <f aca="false">C2545/D2545-1</f>
        <v>-0.169681237084588</v>
      </c>
      <c r="F2545" s="42" t="n">
        <f aca="false">YEAR(A2545)</f>
        <v>2023</v>
      </c>
    </row>
    <row r="2546" customFormat="false" ht="15" hidden="false" customHeight="false" outlineLevel="0" collapsed="false">
      <c r="A2546" s="38" t="n">
        <v>45174</v>
      </c>
      <c r="B2546" s="39" t="n">
        <v>1708.5</v>
      </c>
      <c r="C2546" s="40" t="n">
        <v>76764257.9</v>
      </c>
      <c r="D2546" s="40" t="n">
        <f aca="false">MAX(D2545,C2546)</f>
        <v>84513672.38</v>
      </c>
      <c r="E2546" s="41" t="n">
        <f aca="false">C2546/D2546-1</f>
        <v>-0.0916942106734658</v>
      </c>
      <c r="F2546" s="42" t="n">
        <f aca="false">YEAR(A2546)</f>
        <v>2023</v>
      </c>
    </row>
    <row r="2547" customFormat="false" ht="15" hidden="false" customHeight="false" outlineLevel="0" collapsed="false">
      <c r="A2547" s="38" t="n">
        <v>45175</v>
      </c>
      <c r="B2547" s="39" t="n">
        <v>1719</v>
      </c>
      <c r="C2547" s="40" t="n">
        <v>78516287.9</v>
      </c>
      <c r="D2547" s="40" t="n">
        <f aca="false">MAX(D2546,C2547)</f>
        <v>84513672.38</v>
      </c>
      <c r="E2547" s="41" t="n">
        <f aca="false">C2547/D2547-1</f>
        <v>-0.0709634821338004</v>
      </c>
      <c r="F2547" s="42" t="n">
        <f aca="false">YEAR(A2547)</f>
        <v>2023</v>
      </c>
    </row>
    <row r="2548" customFormat="false" ht="15" hidden="false" customHeight="false" outlineLevel="0" collapsed="false">
      <c r="A2548" s="38" t="n">
        <v>45176</v>
      </c>
      <c r="B2548" s="39" t="n">
        <v>1697.5</v>
      </c>
      <c r="C2548" s="40" t="n">
        <v>74928797.9</v>
      </c>
      <c r="D2548" s="40" t="n">
        <f aca="false">MAX(D2547,C2548)</f>
        <v>84513672.38</v>
      </c>
      <c r="E2548" s="41" t="n">
        <f aca="false">C2548/D2548-1</f>
        <v>-0.113412116762639</v>
      </c>
      <c r="F2548" s="42" t="n">
        <f aca="false">YEAR(A2548)</f>
        <v>2023</v>
      </c>
    </row>
    <row r="2549" customFormat="false" ht="15" hidden="false" customHeight="false" outlineLevel="0" collapsed="false">
      <c r="A2549" s="38" t="n">
        <v>45177</v>
      </c>
      <c r="B2549" s="39" t="n">
        <v>1636.5</v>
      </c>
      <c r="C2549" s="40" t="n">
        <v>64750337.9</v>
      </c>
      <c r="D2549" s="40" t="n">
        <f aca="false">MAX(D2548,C2549)</f>
        <v>84513672.38</v>
      </c>
      <c r="E2549" s="41" t="n">
        <f aca="false">C2549/D2549-1</f>
        <v>-0.2338477778026</v>
      </c>
      <c r="F2549" s="42" t="n">
        <f aca="false">YEAR(A2549)</f>
        <v>2023</v>
      </c>
    </row>
    <row r="2550" customFormat="false" ht="15" hidden="false" customHeight="false" outlineLevel="0" collapsed="false">
      <c r="A2550" s="38" t="n">
        <v>45180</v>
      </c>
      <c r="B2550" s="39" t="n">
        <v>1732</v>
      </c>
      <c r="C2550" s="40" t="n">
        <v>80685467.9</v>
      </c>
      <c r="D2550" s="40" t="n">
        <f aca="false">MAX(D2549,C2550)</f>
        <v>84513672.38</v>
      </c>
      <c r="E2550" s="41" t="n">
        <f aca="false">C2550/D2550-1</f>
        <v>-0.0452968658465955</v>
      </c>
      <c r="F2550" s="42" t="n">
        <f aca="false">YEAR(A2550)</f>
        <v>2023</v>
      </c>
    </row>
    <row r="2551" customFormat="false" ht="15" hidden="false" customHeight="false" outlineLevel="0" collapsed="false">
      <c r="A2551" s="38" t="n">
        <v>45181</v>
      </c>
      <c r="B2551" s="39" t="n">
        <v>1775.5</v>
      </c>
      <c r="C2551" s="40" t="n">
        <v>87943877.9</v>
      </c>
      <c r="D2551" s="40" t="n">
        <f aca="false">MAX(D2550,C2551)</f>
        <v>87943877.9</v>
      </c>
      <c r="E2551" s="41" t="n">
        <f aca="false">C2551/D2551-1</f>
        <v>0</v>
      </c>
      <c r="F2551" s="42" t="n">
        <f aca="false">YEAR(A2551)</f>
        <v>2023</v>
      </c>
    </row>
    <row r="2552" customFormat="false" ht="15" hidden="false" customHeight="false" outlineLevel="0" collapsed="false">
      <c r="A2552" s="38" t="n">
        <v>45182</v>
      </c>
      <c r="B2552" s="39" t="n">
        <v>1745.5</v>
      </c>
      <c r="C2552" s="40" t="n">
        <v>82938077.9</v>
      </c>
      <c r="D2552" s="40" t="n">
        <f aca="false">MAX(D2551,C2552)</f>
        <v>87943877.9</v>
      </c>
      <c r="E2552" s="41" t="n">
        <f aca="false">C2552/D2552-1</f>
        <v>-0.0569203919537417</v>
      </c>
      <c r="F2552" s="42" t="n">
        <f aca="false">YEAR(A2552)</f>
        <v>2023</v>
      </c>
    </row>
    <row r="2553" customFormat="false" ht="15" hidden="false" customHeight="false" outlineLevel="0" collapsed="false">
      <c r="A2553" s="38" t="n">
        <v>45183</v>
      </c>
      <c r="B2553" s="39" t="n">
        <v>1798</v>
      </c>
      <c r="C2553" s="40" t="n">
        <v>91698227.9</v>
      </c>
      <c r="D2553" s="40" t="n">
        <f aca="false">MAX(D2552,C2553)</f>
        <v>91698227.9</v>
      </c>
      <c r="E2553" s="41" t="n">
        <f aca="false">C2553/D2553-1</f>
        <v>0</v>
      </c>
      <c r="F2553" s="42" t="n">
        <f aca="false">YEAR(A2553)</f>
        <v>2023</v>
      </c>
    </row>
    <row r="2554" customFormat="false" ht="15" hidden="false" customHeight="false" outlineLevel="0" collapsed="false">
      <c r="A2554" s="38" t="n">
        <v>45184</v>
      </c>
      <c r="B2554" s="39" t="n">
        <v>1813</v>
      </c>
      <c r="C2554" s="40" t="n">
        <v>94201127.9</v>
      </c>
      <c r="D2554" s="40" t="n">
        <f aca="false">MAX(D2553,C2554)</f>
        <v>94201127.9</v>
      </c>
      <c r="E2554" s="41" t="n">
        <f aca="false">C2554/D2554-1</f>
        <v>0</v>
      </c>
      <c r="F2554" s="42" t="n">
        <f aca="false">YEAR(A2554)</f>
        <v>2023</v>
      </c>
    </row>
    <row r="2555" customFormat="false" ht="15" hidden="false" customHeight="false" outlineLevel="0" collapsed="false">
      <c r="A2555" s="38" t="n">
        <v>45187</v>
      </c>
      <c r="B2555" s="39" t="n">
        <v>1880.5</v>
      </c>
      <c r="C2555" s="40" t="n">
        <v>105464177.9</v>
      </c>
      <c r="D2555" s="40" t="n">
        <f aca="false">MAX(D2554,C2555)</f>
        <v>105464177.9</v>
      </c>
      <c r="E2555" s="41" t="n">
        <f aca="false">C2555/D2555-1</f>
        <v>0</v>
      </c>
      <c r="F2555" s="42" t="n">
        <f aca="false">YEAR(A2555)</f>
        <v>2023</v>
      </c>
    </row>
    <row r="2556" customFormat="false" ht="15" hidden="false" customHeight="false" outlineLevel="0" collapsed="false">
      <c r="A2556" s="38" t="n">
        <v>45188</v>
      </c>
      <c r="B2556" s="39" t="n">
        <v>1866</v>
      </c>
      <c r="C2556" s="40" t="n">
        <v>103044707.9</v>
      </c>
      <c r="D2556" s="40" t="n">
        <f aca="false">MAX(D2555,C2556)</f>
        <v>105464177.9</v>
      </c>
      <c r="E2556" s="41" t="n">
        <f aca="false">C2556/D2556-1</f>
        <v>-0.0229411545055053</v>
      </c>
      <c r="F2556" s="42" t="n">
        <f aca="false">YEAR(A2556)</f>
        <v>2023</v>
      </c>
    </row>
    <row r="2557" customFormat="false" ht="15" hidden="false" customHeight="false" outlineLevel="0" collapsed="false">
      <c r="A2557" s="38" t="n">
        <v>45189</v>
      </c>
      <c r="B2557" s="39" t="n">
        <v>1915</v>
      </c>
      <c r="C2557" s="40" t="n">
        <v>111220847.9</v>
      </c>
      <c r="D2557" s="40" t="n">
        <f aca="false">MAX(D2556,C2557)</f>
        <v>111220847.9</v>
      </c>
      <c r="E2557" s="41" t="n">
        <f aca="false">C2557/D2557-1</f>
        <v>0</v>
      </c>
      <c r="F2557" s="42" t="n">
        <f aca="false">YEAR(A2557)</f>
        <v>2023</v>
      </c>
    </row>
    <row r="2558" customFormat="false" ht="15" hidden="false" customHeight="false" outlineLevel="0" collapsed="false">
      <c r="A2558" s="38" t="n">
        <v>45190</v>
      </c>
      <c r="B2558" s="39" t="n">
        <v>1833</v>
      </c>
      <c r="C2558" s="40" t="n">
        <v>97538327.9</v>
      </c>
      <c r="D2558" s="40" t="n">
        <f aca="false">MAX(D2557,C2558)</f>
        <v>111220847.9</v>
      </c>
      <c r="E2558" s="41" t="n">
        <f aca="false">C2558/D2558-1</f>
        <v>-0.123021180456223</v>
      </c>
      <c r="F2558" s="42" t="n">
        <f aca="false">YEAR(A2558)</f>
        <v>2023</v>
      </c>
    </row>
    <row r="2559" customFormat="false" ht="15" hidden="false" customHeight="false" outlineLevel="0" collapsed="false">
      <c r="A2559" s="38" t="n">
        <v>45191</v>
      </c>
      <c r="B2559" s="39" t="n">
        <v>1851</v>
      </c>
      <c r="C2559" s="40" t="n">
        <v>100541807.9</v>
      </c>
      <c r="D2559" s="40" t="n">
        <f aca="false">MAX(D2558,C2559)</f>
        <v>111220847.9</v>
      </c>
      <c r="E2559" s="41" t="n">
        <f aca="false">C2559/D2559-1</f>
        <v>-0.0960165310877836</v>
      </c>
      <c r="F2559" s="42" t="n">
        <f aca="false">YEAR(A2559)</f>
        <v>2023</v>
      </c>
    </row>
    <row r="2560" customFormat="false" ht="15" hidden="false" customHeight="false" outlineLevel="0" collapsed="false">
      <c r="A2560" s="38" t="n">
        <v>45194</v>
      </c>
      <c r="B2560" s="39" t="n">
        <v>1822</v>
      </c>
      <c r="C2560" s="40" t="n">
        <v>95702867.9</v>
      </c>
      <c r="D2560" s="40" t="n">
        <f aca="false">MAX(D2559,C2560)</f>
        <v>111220847.9</v>
      </c>
      <c r="E2560" s="41" t="n">
        <f aca="false">C2560/D2560-1</f>
        <v>-0.139524021736936</v>
      </c>
      <c r="F2560" s="42" t="n">
        <f aca="false">YEAR(A2560)</f>
        <v>2023</v>
      </c>
    </row>
    <row r="2561" customFormat="false" ht="15" hidden="false" customHeight="false" outlineLevel="0" collapsed="false">
      <c r="A2561" s="38" t="n">
        <v>45195</v>
      </c>
      <c r="B2561" s="39" t="n">
        <v>1761.5</v>
      </c>
      <c r="C2561" s="40" t="n">
        <v>85607837.9</v>
      </c>
      <c r="D2561" s="40" t="n">
        <f aca="false">MAX(D2560,C2561)</f>
        <v>111220847.9</v>
      </c>
      <c r="E2561" s="41" t="n">
        <f aca="false">C2561/D2561-1</f>
        <v>-0.230289648780856</v>
      </c>
      <c r="F2561" s="42" t="n">
        <f aca="false">YEAR(A2561)</f>
        <v>2023</v>
      </c>
    </row>
    <row r="2562" customFormat="false" ht="15" hidden="false" customHeight="false" outlineLevel="0" collapsed="false">
      <c r="A2562" s="38" t="n">
        <v>45196</v>
      </c>
      <c r="B2562" s="39" t="n">
        <v>1772.5</v>
      </c>
      <c r="C2562" s="40" t="n">
        <v>87443297.9</v>
      </c>
      <c r="D2562" s="40" t="n">
        <f aca="false">MAX(D2561,C2562)</f>
        <v>111220847.9</v>
      </c>
      <c r="E2562" s="41" t="n">
        <f aca="false">C2562/D2562-1</f>
        <v>-0.213786807500143</v>
      </c>
      <c r="F2562" s="42" t="n">
        <f aca="false">YEAR(A2562)</f>
        <v>2023</v>
      </c>
    </row>
    <row r="2563" customFormat="false" ht="15" hidden="false" customHeight="false" outlineLevel="0" collapsed="false">
      <c r="A2563" s="38" t="n">
        <v>45197</v>
      </c>
      <c r="B2563" s="39" t="n">
        <v>1836.5</v>
      </c>
      <c r="C2563" s="40" t="n">
        <v>98122337.9</v>
      </c>
      <c r="D2563" s="40" t="n">
        <f aca="false">MAX(D2562,C2563)</f>
        <v>111220847.9</v>
      </c>
      <c r="E2563" s="41" t="n">
        <f aca="false">C2563/D2563-1</f>
        <v>-0.11777027641236</v>
      </c>
      <c r="F2563" s="42" t="n">
        <f aca="false">YEAR(A2563)</f>
        <v>2023</v>
      </c>
    </row>
    <row r="2564" customFormat="false" ht="15" hidden="false" customHeight="false" outlineLevel="0" collapsed="false">
      <c r="A2564" s="38" t="n">
        <v>45208</v>
      </c>
      <c r="B2564" s="39" t="n">
        <v>1848.5</v>
      </c>
      <c r="C2564" s="40" t="n">
        <v>100124657.9</v>
      </c>
      <c r="D2564" s="40" t="n">
        <f aca="false">MAX(D2563,C2564)</f>
        <v>111220847.9</v>
      </c>
      <c r="E2564" s="41" t="n">
        <f aca="false">C2564/D2564-1</f>
        <v>-0.0997671768334001</v>
      </c>
      <c r="F2564" s="42" t="n">
        <f aca="false">YEAR(A2564)</f>
        <v>2023</v>
      </c>
    </row>
    <row r="2565" customFormat="false" ht="15" hidden="false" customHeight="false" outlineLevel="0" collapsed="false">
      <c r="A2565" s="38" t="n">
        <v>45209</v>
      </c>
      <c r="B2565" s="39" t="n">
        <v>1722.5</v>
      </c>
      <c r="C2565" s="40" t="n">
        <v>79100297.9</v>
      </c>
      <c r="D2565" s="40" t="n">
        <f aca="false">MAX(D2564,C2565)</f>
        <v>111220847.9</v>
      </c>
      <c r="E2565" s="41" t="n">
        <f aca="false">C2565/D2565-1</f>
        <v>-0.288799722412474</v>
      </c>
      <c r="F2565" s="42" t="n">
        <f aca="false">YEAR(A2565)</f>
        <v>2023</v>
      </c>
    </row>
    <row r="2566" customFormat="false" ht="15" hidden="false" customHeight="false" outlineLevel="0" collapsed="false">
      <c r="A2566" s="38" t="n">
        <v>45210</v>
      </c>
      <c r="B2566" s="39" t="n">
        <v>1699.5</v>
      </c>
      <c r="C2566" s="40" t="n">
        <v>75262517.9</v>
      </c>
      <c r="D2566" s="40" t="n">
        <f aca="false">MAX(D2565,C2566)</f>
        <v>111220847.9</v>
      </c>
      <c r="E2566" s="41" t="n">
        <f aca="false">C2566/D2566-1</f>
        <v>-0.323305663272146</v>
      </c>
      <c r="F2566" s="42" t="n">
        <f aca="false">YEAR(A2566)</f>
        <v>2023</v>
      </c>
    </row>
    <row r="2567" customFormat="false" ht="15" hidden="false" customHeight="false" outlineLevel="0" collapsed="false">
      <c r="A2567" s="38" t="n">
        <v>45211</v>
      </c>
      <c r="B2567" s="39" t="n">
        <v>1731.5</v>
      </c>
      <c r="C2567" s="40" t="n">
        <v>75984927.14</v>
      </c>
      <c r="D2567" s="40" t="n">
        <f aca="false">MAX(D2566,C2567)</f>
        <v>111220847.9</v>
      </c>
      <c r="E2567" s="41" t="n">
        <f aca="false">C2567/D2567-1</f>
        <v>-0.316810395041054</v>
      </c>
      <c r="F2567" s="42" t="n">
        <f aca="false">YEAR(A2567)</f>
        <v>2023</v>
      </c>
    </row>
    <row r="2568" customFormat="false" ht="15" hidden="false" customHeight="false" outlineLevel="0" collapsed="false">
      <c r="A2568" s="38" t="n">
        <v>45212</v>
      </c>
      <c r="B2568" s="39" t="n">
        <v>1719.5</v>
      </c>
      <c r="C2568" s="40" t="n">
        <v>75984927.14</v>
      </c>
      <c r="D2568" s="40" t="n">
        <f aca="false">MAX(D2567,C2568)</f>
        <v>111220847.9</v>
      </c>
      <c r="E2568" s="41" t="n">
        <f aca="false">C2568/D2568-1</f>
        <v>-0.316810395041054</v>
      </c>
      <c r="F2568" s="42" t="n">
        <f aca="false">YEAR(A2568)</f>
        <v>2023</v>
      </c>
    </row>
    <row r="2569" customFormat="false" ht="15" hidden="false" customHeight="false" outlineLevel="0" collapsed="false">
      <c r="A2569" s="38" t="n">
        <v>45215</v>
      </c>
      <c r="B2569" s="39" t="n">
        <v>1773</v>
      </c>
      <c r="C2569" s="40" t="n">
        <v>75984927.14</v>
      </c>
      <c r="D2569" s="40" t="n">
        <f aca="false">MAX(D2568,C2569)</f>
        <v>111220847.9</v>
      </c>
      <c r="E2569" s="41" t="n">
        <f aca="false">C2569/D2569-1</f>
        <v>-0.316810395041054</v>
      </c>
      <c r="F2569" s="42" t="n">
        <f aca="false">YEAR(A2569)</f>
        <v>2023</v>
      </c>
    </row>
    <row r="2570" customFormat="false" ht="15" hidden="false" customHeight="false" outlineLevel="0" collapsed="false">
      <c r="A2570" s="38" t="n">
        <v>45216</v>
      </c>
      <c r="B2570" s="39" t="n">
        <v>1769</v>
      </c>
      <c r="C2570" s="40" t="n">
        <v>75984927.14</v>
      </c>
      <c r="D2570" s="40" t="n">
        <f aca="false">MAX(D2569,C2570)</f>
        <v>111220847.9</v>
      </c>
      <c r="E2570" s="41" t="n">
        <f aca="false">C2570/D2570-1</f>
        <v>-0.316810395041054</v>
      </c>
      <c r="F2570" s="42" t="n">
        <f aca="false">YEAR(A2570)</f>
        <v>2023</v>
      </c>
    </row>
    <row r="2571" customFormat="false" ht="15" hidden="false" customHeight="false" outlineLevel="0" collapsed="false">
      <c r="A2571" s="38" t="n">
        <v>45217</v>
      </c>
      <c r="B2571" s="39" t="n">
        <v>1719</v>
      </c>
      <c r="C2571" s="40" t="n">
        <v>75984927.14</v>
      </c>
      <c r="D2571" s="40" t="n">
        <f aca="false">MAX(D2570,C2571)</f>
        <v>111220847.9</v>
      </c>
      <c r="E2571" s="41" t="n">
        <f aca="false">C2571/D2571-1</f>
        <v>-0.316810395041054</v>
      </c>
      <c r="F2571" s="42" t="n">
        <f aca="false">YEAR(A2571)</f>
        <v>2023</v>
      </c>
    </row>
    <row r="2572" customFormat="false" ht="15" hidden="false" customHeight="false" outlineLevel="0" collapsed="false">
      <c r="A2572" s="38" t="n">
        <v>45218</v>
      </c>
      <c r="B2572" s="39" t="n">
        <v>1708.5</v>
      </c>
      <c r="C2572" s="40" t="n">
        <v>75984927.14</v>
      </c>
      <c r="D2572" s="40" t="n">
        <f aca="false">MAX(D2571,C2572)</f>
        <v>111220847.9</v>
      </c>
      <c r="E2572" s="41" t="n">
        <f aca="false">C2572/D2572-1</f>
        <v>-0.316810395041054</v>
      </c>
      <c r="F2572" s="42" t="n">
        <f aca="false">YEAR(A2572)</f>
        <v>2023</v>
      </c>
    </row>
    <row r="2573" customFormat="false" ht="15" hidden="false" customHeight="false" outlineLevel="0" collapsed="false">
      <c r="A2573" s="38" t="n">
        <v>45219</v>
      </c>
      <c r="B2573" s="39" t="n">
        <v>1691.5</v>
      </c>
      <c r="C2573" s="40" t="n">
        <v>75984927.14</v>
      </c>
      <c r="D2573" s="40" t="n">
        <f aca="false">MAX(D2572,C2573)</f>
        <v>111220847.9</v>
      </c>
      <c r="E2573" s="41" t="n">
        <f aca="false">C2573/D2573-1</f>
        <v>-0.316810395041054</v>
      </c>
      <c r="F2573" s="42" t="n">
        <f aca="false">YEAR(A2573)</f>
        <v>2023</v>
      </c>
    </row>
    <row r="2574" customFormat="false" ht="15" hidden="false" customHeight="false" outlineLevel="0" collapsed="false">
      <c r="A2574" s="38" t="n">
        <v>45222</v>
      </c>
      <c r="B2574" s="39" t="n">
        <v>1662</v>
      </c>
      <c r="C2574" s="40" t="n">
        <v>75984927.14</v>
      </c>
      <c r="D2574" s="40" t="n">
        <f aca="false">MAX(D2573,C2574)</f>
        <v>111220847.9</v>
      </c>
      <c r="E2574" s="41" t="n">
        <f aca="false">C2574/D2574-1</f>
        <v>-0.316810395041054</v>
      </c>
      <c r="F2574" s="42" t="n">
        <f aca="false">YEAR(A2574)</f>
        <v>2023</v>
      </c>
    </row>
    <row r="2575" customFormat="false" ht="15" hidden="false" customHeight="false" outlineLevel="0" collapsed="false">
      <c r="A2575" s="38" t="n">
        <v>45223</v>
      </c>
      <c r="B2575" s="39" t="n">
        <v>1715.5</v>
      </c>
      <c r="C2575" s="40" t="n">
        <v>75984927.14</v>
      </c>
      <c r="D2575" s="40" t="n">
        <f aca="false">MAX(D2574,C2575)</f>
        <v>111220847.9</v>
      </c>
      <c r="E2575" s="41" t="n">
        <f aca="false">C2575/D2575-1</f>
        <v>-0.316810395041054</v>
      </c>
      <c r="F2575" s="42" t="n">
        <f aca="false">YEAR(A2575)</f>
        <v>2023</v>
      </c>
    </row>
    <row r="2576" customFormat="false" ht="15" hidden="false" customHeight="false" outlineLevel="0" collapsed="false">
      <c r="A2576" s="38" t="n">
        <v>45224</v>
      </c>
      <c r="B2576" s="39" t="n">
        <v>1786</v>
      </c>
      <c r="C2576" s="40" t="n">
        <v>75984927.14</v>
      </c>
      <c r="D2576" s="40" t="n">
        <f aca="false">MAX(D2575,C2576)</f>
        <v>111220847.9</v>
      </c>
      <c r="E2576" s="41" t="n">
        <f aca="false">C2576/D2576-1</f>
        <v>-0.316810395041054</v>
      </c>
      <c r="F2576" s="42" t="n">
        <f aca="false">YEAR(A2576)</f>
        <v>2023</v>
      </c>
    </row>
    <row r="2577" customFormat="false" ht="15" hidden="false" customHeight="false" outlineLevel="0" collapsed="false">
      <c r="A2577" s="38" t="n">
        <v>45225</v>
      </c>
      <c r="B2577" s="39" t="n">
        <v>1776.5</v>
      </c>
      <c r="C2577" s="40" t="n">
        <v>75984927.14</v>
      </c>
      <c r="D2577" s="40" t="n">
        <f aca="false">MAX(D2576,C2577)</f>
        <v>111220847.9</v>
      </c>
      <c r="E2577" s="41" t="n">
        <f aca="false">C2577/D2577-1</f>
        <v>-0.316810395041054</v>
      </c>
      <c r="F2577" s="42" t="n">
        <f aca="false">YEAR(A2577)</f>
        <v>2023</v>
      </c>
    </row>
    <row r="2578" customFormat="false" ht="15" hidden="false" customHeight="false" outlineLevel="0" collapsed="false">
      <c r="A2578" s="38" t="n">
        <v>45226</v>
      </c>
      <c r="B2578" s="39" t="n">
        <v>1809.5</v>
      </c>
      <c r="C2578" s="40" t="n">
        <v>75984927.14</v>
      </c>
      <c r="D2578" s="40" t="n">
        <f aca="false">MAX(D2577,C2578)</f>
        <v>111220847.9</v>
      </c>
      <c r="E2578" s="41" t="n">
        <f aca="false">C2578/D2578-1</f>
        <v>-0.316810395041054</v>
      </c>
      <c r="F2578" s="42" t="n">
        <f aca="false">YEAR(A2578)</f>
        <v>2023</v>
      </c>
    </row>
    <row r="2579" customFormat="false" ht="15" hidden="false" customHeight="false" outlineLevel="0" collapsed="false">
      <c r="A2579" s="38" t="n">
        <v>45229</v>
      </c>
      <c r="B2579" s="39" t="n">
        <v>1826.5</v>
      </c>
      <c r="C2579" s="40" t="n">
        <v>75984927.14</v>
      </c>
      <c r="D2579" s="40" t="n">
        <f aca="false">MAX(D2578,C2579)</f>
        <v>111220847.9</v>
      </c>
      <c r="E2579" s="41" t="n">
        <f aca="false">C2579/D2579-1</f>
        <v>-0.316810395041054</v>
      </c>
      <c r="F2579" s="42" t="n">
        <f aca="false">YEAR(A2579)</f>
        <v>2023</v>
      </c>
    </row>
    <row r="2580" customFormat="false" ht="15" hidden="false" customHeight="false" outlineLevel="0" collapsed="false">
      <c r="A2580" s="38" t="n">
        <v>45230</v>
      </c>
      <c r="B2580" s="39" t="n">
        <v>1802.5</v>
      </c>
      <c r="C2580" s="40" t="n">
        <v>75984927.14</v>
      </c>
      <c r="D2580" s="40" t="n">
        <f aca="false">MAX(D2579,C2580)</f>
        <v>111220847.9</v>
      </c>
      <c r="E2580" s="41" t="n">
        <f aca="false">C2580/D2580-1</f>
        <v>-0.316810395041054</v>
      </c>
      <c r="F2580" s="42" t="n">
        <f aca="false">YEAR(A2580)</f>
        <v>2023</v>
      </c>
    </row>
    <row r="2581" customFormat="false" ht="15" hidden="false" customHeight="false" outlineLevel="0" collapsed="false">
      <c r="A2581" s="38" t="n">
        <v>45231</v>
      </c>
      <c r="B2581" s="39" t="n">
        <v>1803</v>
      </c>
      <c r="C2581" s="40" t="n">
        <v>75984927.14</v>
      </c>
      <c r="D2581" s="40" t="n">
        <f aca="false">MAX(D2580,C2581)</f>
        <v>111220847.9</v>
      </c>
      <c r="E2581" s="41" t="n">
        <f aca="false">C2581/D2581-1</f>
        <v>-0.316810395041054</v>
      </c>
      <c r="F2581" s="42" t="n">
        <f aca="false">YEAR(A2581)</f>
        <v>2023</v>
      </c>
    </row>
    <row r="2582" customFormat="false" ht="15" hidden="false" customHeight="false" outlineLevel="0" collapsed="false">
      <c r="A2582" s="38" t="n">
        <v>45232</v>
      </c>
      <c r="B2582" s="39" t="n">
        <v>1791.5</v>
      </c>
      <c r="C2582" s="40" t="n">
        <v>75984927.14</v>
      </c>
      <c r="D2582" s="40" t="n">
        <f aca="false">MAX(D2581,C2582)</f>
        <v>111220847.9</v>
      </c>
      <c r="E2582" s="41" t="n">
        <f aca="false">C2582/D2582-1</f>
        <v>-0.316810395041054</v>
      </c>
      <c r="F2582" s="42" t="n">
        <f aca="false">YEAR(A2582)</f>
        <v>2023</v>
      </c>
    </row>
    <row r="2583" customFormat="false" ht="15" hidden="false" customHeight="false" outlineLevel="0" collapsed="false">
      <c r="A2583" s="38" t="n">
        <v>45233</v>
      </c>
      <c r="B2583" s="39" t="n">
        <v>1861</v>
      </c>
      <c r="C2583" s="40" t="n">
        <v>75984927.14</v>
      </c>
      <c r="D2583" s="40" t="n">
        <f aca="false">MAX(D2582,C2583)</f>
        <v>111220847.9</v>
      </c>
      <c r="E2583" s="41" t="n">
        <f aca="false">C2583/D2583-1</f>
        <v>-0.316810395041054</v>
      </c>
      <c r="F2583" s="42" t="n">
        <f aca="false">YEAR(A2583)</f>
        <v>2023</v>
      </c>
    </row>
    <row r="2584" customFormat="false" ht="15" hidden="false" customHeight="false" outlineLevel="0" collapsed="false">
      <c r="A2584" s="38" t="n">
        <v>45236</v>
      </c>
      <c r="B2584" s="39" t="n">
        <v>1880.5</v>
      </c>
      <c r="C2584" s="40" t="n">
        <v>75984927.14</v>
      </c>
      <c r="D2584" s="40" t="n">
        <f aca="false">MAX(D2583,C2584)</f>
        <v>111220847.9</v>
      </c>
      <c r="E2584" s="41" t="n">
        <f aca="false">C2584/D2584-1</f>
        <v>-0.316810395041054</v>
      </c>
      <c r="F2584" s="42" t="n">
        <f aca="false">YEAR(A2584)</f>
        <v>2023</v>
      </c>
    </row>
    <row r="2585" customFormat="false" ht="15" hidden="false" customHeight="false" outlineLevel="0" collapsed="false">
      <c r="A2585" s="38" t="n">
        <v>45237</v>
      </c>
      <c r="B2585" s="39" t="n">
        <v>1898.5</v>
      </c>
      <c r="C2585" s="40" t="n">
        <v>75984927.14</v>
      </c>
      <c r="D2585" s="40" t="n">
        <f aca="false">MAX(D2584,C2585)</f>
        <v>111220847.9</v>
      </c>
      <c r="E2585" s="41" t="n">
        <f aca="false">C2585/D2585-1</f>
        <v>-0.316810395041054</v>
      </c>
      <c r="F2585" s="42" t="n">
        <f aca="false">YEAR(A2585)</f>
        <v>2023</v>
      </c>
    </row>
    <row r="2586" customFormat="false" ht="15" hidden="false" customHeight="false" outlineLevel="0" collapsed="false">
      <c r="A2586" s="38" t="n">
        <v>45238</v>
      </c>
      <c r="B2586" s="39" t="n">
        <v>1945</v>
      </c>
      <c r="C2586" s="40" t="n">
        <v>75984927.14</v>
      </c>
      <c r="D2586" s="40" t="n">
        <f aca="false">MAX(D2585,C2586)</f>
        <v>111220847.9</v>
      </c>
      <c r="E2586" s="41" t="n">
        <f aca="false">C2586/D2586-1</f>
        <v>-0.316810395041054</v>
      </c>
      <c r="F2586" s="42" t="n">
        <f aca="false">YEAR(A2586)</f>
        <v>2023</v>
      </c>
    </row>
    <row r="2587" customFormat="false" ht="15" hidden="false" customHeight="false" outlineLevel="0" collapsed="false">
      <c r="A2587" s="38" t="n">
        <v>45239</v>
      </c>
      <c r="B2587" s="39" t="n">
        <v>1947.5</v>
      </c>
      <c r="C2587" s="40" t="n">
        <v>75984927.14</v>
      </c>
      <c r="D2587" s="40" t="n">
        <f aca="false">MAX(D2586,C2587)</f>
        <v>111220847.9</v>
      </c>
      <c r="E2587" s="41" t="n">
        <f aca="false">C2587/D2587-1</f>
        <v>-0.316810395041054</v>
      </c>
      <c r="F2587" s="42" t="n">
        <f aca="false">YEAR(A2587)</f>
        <v>2023</v>
      </c>
    </row>
    <row r="2588" customFormat="false" ht="15" hidden="false" customHeight="false" outlineLevel="0" collapsed="false">
      <c r="A2588" s="38" t="n">
        <v>45240</v>
      </c>
      <c r="B2588" s="39" t="n">
        <v>1977</v>
      </c>
      <c r="C2588" s="40" t="n">
        <v>75984927.14</v>
      </c>
      <c r="D2588" s="40" t="n">
        <f aca="false">MAX(D2587,C2588)</f>
        <v>111220847.9</v>
      </c>
      <c r="E2588" s="41" t="n">
        <f aca="false">C2588/D2588-1</f>
        <v>-0.316810395041054</v>
      </c>
      <c r="F2588" s="42" t="n">
        <f aca="false">YEAR(A2588)</f>
        <v>2023</v>
      </c>
    </row>
    <row r="2589" customFormat="false" ht="15" hidden="false" customHeight="false" outlineLevel="0" collapsed="false">
      <c r="A2589" s="38" t="n">
        <v>45243</v>
      </c>
      <c r="B2589" s="39" t="n">
        <v>1985.5</v>
      </c>
      <c r="C2589" s="40" t="n">
        <v>75984927.14</v>
      </c>
      <c r="D2589" s="40" t="n">
        <f aca="false">MAX(D2588,C2589)</f>
        <v>111220847.9</v>
      </c>
      <c r="E2589" s="41" t="n">
        <f aca="false">C2589/D2589-1</f>
        <v>-0.316810395041054</v>
      </c>
      <c r="F2589" s="42" t="n">
        <f aca="false">YEAR(A2589)</f>
        <v>2023</v>
      </c>
    </row>
    <row r="2590" customFormat="false" ht="15" hidden="false" customHeight="false" outlineLevel="0" collapsed="false">
      <c r="A2590" s="38" t="n">
        <v>45244</v>
      </c>
      <c r="B2590" s="39" t="n">
        <v>1976.5</v>
      </c>
      <c r="C2590" s="40" t="n">
        <v>75984927.14</v>
      </c>
      <c r="D2590" s="40" t="n">
        <f aca="false">MAX(D2589,C2590)</f>
        <v>111220847.9</v>
      </c>
      <c r="E2590" s="41" t="n">
        <f aca="false">C2590/D2590-1</f>
        <v>-0.316810395041054</v>
      </c>
      <c r="F2590" s="42" t="n">
        <f aca="false">YEAR(A2590)</f>
        <v>2023</v>
      </c>
    </row>
    <row r="2591" customFormat="false" ht="15" hidden="false" customHeight="false" outlineLevel="0" collapsed="false">
      <c r="A2591" s="38" t="n">
        <v>45245</v>
      </c>
      <c r="B2591" s="39" t="n">
        <v>1964.5</v>
      </c>
      <c r="C2591" s="40" t="n">
        <v>75984927.14</v>
      </c>
      <c r="D2591" s="40" t="n">
        <f aca="false">MAX(D2590,C2591)</f>
        <v>111220847.9</v>
      </c>
      <c r="E2591" s="41" t="n">
        <f aca="false">C2591/D2591-1</f>
        <v>-0.316810395041054</v>
      </c>
      <c r="F2591" s="42" t="n">
        <f aca="false">YEAR(A2591)</f>
        <v>2023</v>
      </c>
    </row>
    <row r="2592" customFormat="false" ht="15" hidden="false" customHeight="false" outlineLevel="0" collapsed="false">
      <c r="A2592" s="38" t="n">
        <v>45246</v>
      </c>
      <c r="B2592" s="39" t="n">
        <v>2060</v>
      </c>
      <c r="C2592" s="40" t="n">
        <v>75984927.14</v>
      </c>
      <c r="D2592" s="40" t="n">
        <f aca="false">MAX(D2591,C2592)</f>
        <v>111220847.9</v>
      </c>
      <c r="E2592" s="41" t="n">
        <f aca="false">C2592/D2592-1</f>
        <v>-0.316810395041054</v>
      </c>
      <c r="F2592" s="42" t="n">
        <f aca="false">YEAR(A2592)</f>
        <v>2023</v>
      </c>
    </row>
    <row r="2593" customFormat="false" ht="15" hidden="false" customHeight="false" outlineLevel="0" collapsed="false">
      <c r="A2593" s="38" t="n">
        <v>45247</v>
      </c>
      <c r="B2593" s="39" t="n">
        <v>2021.5</v>
      </c>
      <c r="C2593" s="40" t="n">
        <v>75984927.14</v>
      </c>
      <c r="D2593" s="40" t="n">
        <f aca="false">MAX(D2592,C2593)</f>
        <v>111220847.9</v>
      </c>
      <c r="E2593" s="41" t="n">
        <f aca="false">C2593/D2593-1</f>
        <v>-0.316810395041054</v>
      </c>
      <c r="F2593" s="42" t="n">
        <f aca="false">YEAR(A2593)</f>
        <v>2023</v>
      </c>
    </row>
    <row r="2594" customFormat="false" ht="15" hidden="false" customHeight="false" outlineLevel="0" collapsed="false">
      <c r="A2594" s="38" t="n">
        <v>45250</v>
      </c>
      <c r="B2594" s="39" t="n">
        <v>2043.5</v>
      </c>
      <c r="C2594" s="40" t="n">
        <v>77275172.9</v>
      </c>
      <c r="D2594" s="40" t="n">
        <f aca="false">MAX(D2593,C2594)</f>
        <v>111220847.9</v>
      </c>
      <c r="E2594" s="41" t="n">
        <f aca="false">C2594/D2594-1</f>
        <v>-0.305209640467055</v>
      </c>
      <c r="F2594" s="42" t="n">
        <f aca="false">YEAR(A2594)</f>
        <v>2023</v>
      </c>
    </row>
    <row r="2595" customFormat="false" ht="15" hidden="false" customHeight="false" outlineLevel="0" collapsed="false">
      <c r="A2595" s="38" t="n">
        <v>45251</v>
      </c>
      <c r="B2595" s="39" t="n">
        <v>1987.5</v>
      </c>
      <c r="C2595" s="40" t="n">
        <v>68566052.9</v>
      </c>
      <c r="D2595" s="40" t="n">
        <f aca="false">MAX(D2594,C2595)</f>
        <v>111220847.9</v>
      </c>
      <c r="E2595" s="41" t="n">
        <f aca="false">C2595/D2595-1</f>
        <v>-0.383514384266801</v>
      </c>
      <c r="F2595" s="42" t="n">
        <f aca="false">YEAR(A2595)</f>
        <v>2023</v>
      </c>
    </row>
    <row r="2596" customFormat="false" ht="15" hidden="false" customHeight="false" outlineLevel="0" collapsed="false">
      <c r="A2596" s="38" t="n">
        <v>45252</v>
      </c>
      <c r="B2596" s="39" t="n">
        <v>2004.5</v>
      </c>
      <c r="C2596" s="40" t="n">
        <v>71209892.9</v>
      </c>
      <c r="D2596" s="40" t="n">
        <f aca="false">MAX(D2595,C2596)</f>
        <v>111220847.9</v>
      </c>
      <c r="E2596" s="41" t="n">
        <f aca="false">C2596/D2596-1</f>
        <v>-0.359743301327592</v>
      </c>
      <c r="F2596" s="42" t="n">
        <f aca="false">YEAR(A2596)</f>
        <v>2023</v>
      </c>
    </row>
    <row r="2597" customFormat="false" ht="15" hidden="false" customHeight="false" outlineLevel="0" collapsed="false">
      <c r="A2597" s="38" t="n">
        <v>45253</v>
      </c>
      <c r="B2597" s="39" t="n">
        <v>1996</v>
      </c>
      <c r="C2597" s="40" t="n">
        <v>69887972.9</v>
      </c>
      <c r="D2597" s="40" t="n">
        <f aca="false">MAX(D2596,C2597)</f>
        <v>111220847.9</v>
      </c>
      <c r="E2597" s="41" t="n">
        <f aca="false">C2597/D2597-1</f>
        <v>-0.371628842797196</v>
      </c>
      <c r="F2597" s="42" t="n">
        <f aca="false">YEAR(A2597)</f>
        <v>2023</v>
      </c>
    </row>
    <row r="2598" customFormat="false" ht="15" hidden="false" customHeight="false" outlineLevel="0" collapsed="false">
      <c r="A2598" s="38" t="n">
        <v>45254</v>
      </c>
      <c r="B2598" s="39" t="n">
        <v>2079</v>
      </c>
      <c r="C2598" s="40" t="n">
        <v>82796132.9</v>
      </c>
      <c r="D2598" s="40" t="n">
        <f aca="false">MAX(D2597,C2598)</f>
        <v>111220847.9</v>
      </c>
      <c r="E2598" s="41" t="n">
        <f aca="false">C2598/D2598-1</f>
        <v>-0.255570026094002</v>
      </c>
      <c r="F2598" s="42" t="n">
        <f aca="false">YEAR(A2598)</f>
        <v>2023</v>
      </c>
    </row>
    <row r="2599" customFormat="false" ht="15" hidden="false" customHeight="false" outlineLevel="0" collapsed="false">
      <c r="A2599" s="38" t="n">
        <v>45257</v>
      </c>
      <c r="B2599" s="39" t="n">
        <v>2159.5</v>
      </c>
      <c r="C2599" s="40" t="n">
        <v>95315492.9</v>
      </c>
      <c r="D2599" s="40" t="n">
        <f aca="false">MAX(D2598,C2599)</f>
        <v>111220847.9</v>
      </c>
      <c r="E2599" s="41" t="n">
        <f aca="false">C2599/D2599-1</f>
        <v>-0.143006956881867</v>
      </c>
      <c r="F2599" s="42" t="n">
        <f aca="false">YEAR(A2599)</f>
        <v>2023</v>
      </c>
    </row>
    <row r="2600" customFormat="false" ht="15" hidden="false" customHeight="false" outlineLevel="0" collapsed="false">
      <c r="A2600" s="38" t="n">
        <v>45258</v>
      </c>
      <c r="B2600" s="39" t="n">
        <v>2104.5</v>
      </c>
      <c r="C2600" s="40" t="n">
        <v>86761892.9</v>
      </c>
      <c r="D2600" s="40" t="n">
        <f aca="false">MAX(D2599,C2600)</f>
        <v>111220847.9</v>
      </c>
      <c r="E2600" s="41" t="n">
        <f aca="false">C2600/D2600-1</f>
        <v>-0.219913401685189</v>
      </c>
      <c r="F2600" s="42" t="n">
        <f aca="false">YEAR(A2600)</f>
        <v>2023</v>
      </c>
    </row>
    <row r="2601" customFormat="false" ht="15" hidden="false" customHeight="false" outlineLevel="0" collapsed="false">
      <c r="A2601" s="38" t="n">
        <v>45259</v>
      </c>
      <c r="B2601" s="39" t="n">
        <v>2067</v>
      </c>
      <c r="C2601" s="40" t="n">
        <v>80929892.9</v>
      </c>
      <c r="D2601" s="40" t="n">
        <f aca="false">MAX(D2600,C2601)</f>
        <v>111220847.9</v>
      </c>
      <c r="E2601" s="41" t="n">
        <f aca="false">C2601/D2601-1</f>
        <v>-0.27234961405109</v>
      </c>
      <c r="F2601" s="42" t="n">
        <f aca="false">YEAR(A2601)</f>
        <v>2023</v>
      </c>
    </row>
    <row r="2602" customFormat="false" ht="15" hidden="false" customHeight="false" outlineLevel="0" collapsed="false">
      <c r="A2602" s="38" t="n">
        <v>45260</v>
      </c>
      <c r="B2602" s="39" t="n">
        <v>2072</v>
      </c>
      <c r="C2602" s="40" t="n">
        <v>81707492.9</v>
      </c>
      <c r="D2602" s="40" t="n">
        <f aca="false">MAX(D2601,C2602)</f>
        <v>111220847.9</v>
      </c>
      <c r="E2602" s="41" t="n">
        <f aca="false">C2602/D2602-1</f>
        <v>-0.26535811906897</v>
      </c>
      <c r="F2602" s="42" t="n">
        <f aca="false">YEAR(A2602)</f>
        <v>2023</v>
      </c>
    </row>
    <row r="2603" customFormat="false" ht="15" hidden="false" customHeight="false" outlineLevel="0" collapsed="false">
      <c r="A2603" s="38" t="n">
        <v>45261</v>
      </c>
      <c r="B2603" s="39" t="n">
        <v>2102.5</v>
      </c>
      <c r="C2603" s="40" t="n">
        <v>86450852.9</v>
      </c>
      <c r="D2603" s="40" t="n">
        <f aca="false">MAX(D2602,C2603)</f>
        <v>111220847.9</v>
      </c>
      <c r="E2603" s="41" t="n">
        <f aca="false">C2603/D2603-1</f>
        <v>-0.222709999678037</v>
      </c>
      <c r="F2603" s="42" t="n">
        <f aca="false">YEAR(A2603)</f>
        <v>2023</v>
      </c>
    </row>
    <row r="2604" customFormat="false" ht="15" hidden="false" customHeight="false" outlineLevel="0" collapsed="false">
      <c r="A2604" s="38" t="n">
        <v>45264</v>
      </c>
      <c r="B2604" s="39" t="n">
        <v>1981.5</v>
      </c>
      <c r="C2604" s="40" t="n">
        <v>67632932.9</v>
      </c>
      <c r="D2604" s="40" t="n">
        <f aca="false">MAX(D2603,C2604)</f>
        <v>111220847.9</v>
      </c>
      <c r="E2604" s="41" t="n">
        <f aca="false">C2604/D2604-1</f>
        <v>-0.391904178245345</v>
      </c>
      <c r="F2604" s="42" t="n">
        <f aca="false">YEAR(A2604)</f>
        <v>2023</v>
      </c>
    </row>
    <row r="2605" customFormat="false" ht="15" hidden="false" customHeight="false" outlineLevel="0" collapsed="false">
      <c r="A2605" s="38" t="n">
        <v>45265</v>
      </c>
      <c r="B2605" s="39" t="n">
        <v>1953.5</v>
      </c>
      <c r="C2605" s="40" t="n">
        <v>63278372.9</v>
      </c>
      <c r="D2605" s="40" t="n">
        <f aca="false">MAX(D2604,C2605)</f>
        <v>111220847.9</v>
      </c>
      <c r="E2605" s="41" t="n">
        <f aca="false">C2605/D2605-1</f>
        <v>-0.431056550145218</v>
      </c>
      <c r="F2605" s="42" t="n">
        <f aca="false">YEAR(A2605)</f>
        <v>2023</v>
      </c>
    </row>
    <row r="2606" customFormat="false" ht="15" hidden="false" customHeight="false" outlineLevel="0" collapsed="false">
      <c r="A2606" s="38" t="n">
        <v>45266</v>
      </c>
      <c r="B2606" s="39" t="n">
        <v>1979</v>
      </c>
      <c r="C2606" s="40" t="n">
        <v>67244132.9</v>
      </c>
      <c r="D2606" s="40" t="n">
        <f aca="false">MAX(D2605,C2606)</f>
        <v>111220847.9</v>
      </c>
      <c r="E2606" s="41" t="n">
        <f aca="false">C2606/D2606-1</f>
        <v>-0.395399925736405</v>
      </c>
      <c r="F2606" s="42" t="n">
        <f aca="false">YEAR(A2606)</f>
        <v>2023</v>
      </c>
    </row>
    <row r="2607" customFormat="false" ht="15" hidden="false" customHeight="false" outlineLevel="0" collapsed="false">
      <c r="A2607" s="38" t="n">
        <v>45267</v>
      </c>
      <c r="B2607" s="39" t="n">
        <v>2046</v>
      </c>
      <c r="C2607" s="40" t="n">
        <v>77663972.9</v>
      </c>
      <c r="D2607" s="40" t="n">
        <f aca="false">MAX(D2606,C2607)</f>
        <v>111220847.9</v>
      </c>
      <c r="E2607" s="41" t="n">
        <f aca="false">C2607/D2607-1</f>
        <v>-0.301713892975995</v>
      </c>
      <c r="F2607" s="42" t="n">
        <f aca="false">YEAR(A2607)</f>
        <v>2023</v>
      </c>
    </row>
    <row r="2608" customFormat="false" ht="15" hidden="false" customHeight="false" outlineLevel="0" collapsed="false">
      <c r="A2608" s="38" t="n">
        <v>45268</v>
      </c>
      <c r="B2608" s="39" t="n">
        <v>1997</v>
      </c>
      <c r="C2608" s="40" t="n">
        <v>70043492.9</v>
      </c>
      <c r="D2608" s="40" t="n">
        <f aca="false">MAX(D2607,C2608)</f>
        <v>111220847.9</v>
      </c>
      <c r="E2608" s="41" t="n">
        <f aca="false">C2608/D2608-1</f>
        <v>-0.370230543800772</v>
      </c>
      <c r="F2608" s="42" t="n">
        <f aca="false">YEAR(A2608)</f>
        <v>2023</v>
      </c>
    </row>
    <row r="2609" customFormat="false" ht="15" hidden="false" customHeight="false" outlineLevel="0" collapsed="false">
      <c r="A2609" s="38" t="n">
        <v>45271</v>
      </c>
      <c r="B2609" s="39" t="n">
        <v>1968</v>
      </c>
      <c r="C2609" s="40" t="n">
        <v>65533412.9</v>
      </c>
      <c r="D2609" s="40" t="n">
        <f aca="false">MAX(D2608,C2609)</f>
        <v>111220847.9</v>
      </c>
      <c r="E2609" s="41" t="n">
        <f aca="false">C2609/D2609-1</f>
        <v>-0.410781214697069</v>
      </c>
      <c r="F2609" s="42" t="n">
        <f aca="false">YEAR(A2609)</f>
        <v>2023</v>
      </c>
    </row>
    <row r="2610" customFormat="false" ht="15" hidden="false" customHeight="false" outlineLevel="0" collapsed="false">
      <c r="A2610" s="38" t="n">
        <v>45272</v>
      </c>
      <c r="B2610" s="39" t="n">
        <v>2027.5</v>
      </c>
      <c r="C2610" s="40" t="n">
        <v>74786852.9</v>
      </c>
      <c r="D2610" s="40" t="n">
        <f aca="false">MAX(D2609,C2610)</f>
        <v>111220847.9</v>
      </c>
      <c r="E2610" s="41" t="n">
        <f aca="false">C2610/D2610-1</f>
        <v>-0.327582424409839</v>
      </c>
      <c r="F2610" s="42" t="n">
        <f aca="false">YEAR(A2610)</f>
        <v>2023</v>
      </c>
    </row>
    <row r="2611" customFormat="false" ht="15" hidden="false" customHeight="false" outlineLevel="0" collapsed="false">
      <c r="A2611" s="38" t="n">
        <v>45273</v>
      </c>
      <c r="B2611" s="39" t="n">
        <v>1912.5</v>
      </c>
      <c r="C2611" s="40" t="n">
        <v>56902052.9</v>
      </c>
      <c r="D2611" s="40" t="n">
        <f aca="false">MAX(D2610,C2611)</f>
        <v>111220847.9</v>
      </c>
      <c r="E2611" s="41" t="n">
        <f aca="false">C2611/D2611-1</f>
        <v>-0.488386808998603</v>
      </c>
      <c r="F2611" s="42" t="n">
        <f aca="false">YEAR(A2611)</f>
        <v>2023</v>
      </c>
    </row>
    <row r="2612" customFormat="false" ht="15" hidden="false" customHeight="false" outlineLevel="0" collapsed="false">
      <c r="A2612" s="38" t="n">
        <v>45274</v>
      </c>
      <c r="B2612" s="39" t="n">
        <v>1894.5</v>
      </c>
      <c r="C2612" s="40" t="n">
        <v>59749116.07</v>
      </c>
      <c r="D2612" s="40" t="n">
        <f aca="false">MAX(D2611,C2612)</f>
        <v>111220847.9</v>
      </c>
      <c r="E2612" s="41" t="n">
        <f aca="false">C2612/D2612-1</f>
        <v>-0.462788522132819</v>
      </c>
      <c r="F2612" s="42" t="n">
        <f aca="false">YEAR(A2612)</f>
        <v>2023</v>
      </c>
    </row>
    <row r="2613" customFormat="false" ht="15" hidden="false" customHeight="false" outlineLevel="0" collapsed="false">
      <c r="A2613" s="38" t="n">
        <v>45275</v>
      </c>
      <c r="B2613" s="39" t="n">
        <v>1916.5</v>
      </c>
      <c r="C2613" s="40" t="n">
        <v>59749116.07</v>
      </c>
      <c r="D2613" s="40" t="n">
        <f aca="false">MAX(D2612,C2613)</f>
        <v>111220847.9</v>
      </c>
      <c r="E2613" s="41" t="n">
        <f aca="false">C2613/D2613-1</f>
        <v>-0.462788522132819</v>
      </c>
      <c r="F2613" s="42" t="n">
        <f aca="false">YEAR(A2613)</f>
        <v>2023</v>
      </c>
    </row>
    <row r="2614" customFormat="false" ht="15" hidden="false" customHeight="false" outlineLevel="0" collapsed="false">
      <c r="A2614" s="38" t="n">
        <v>45278</v>
      </c>
      <c r="B2614" s="39" t="n">
        <v>1894</v>
      </c>
      <c r="C2614" s="40" t="n">
        <v>59749116.07</v>
      </c>
      <c r="D2614" s="40" t="n">
        <f aca="false">MAX(D2613,C2614)</f>
        <v>111220847.9</v>
      </c>
      <c r="E2614" s="41" t="n">
        <f aca="false">C2614/D2614-1</f>
        <v>-0.462788522132819</v>
      </c>
      <c r="F2614" s="42" t="n">
        <f aca="false">YEAR(A2614)</f>
        <v>2023</v>
      </c>
    </row>
    <row r="2615" customFormat="false" ht="15" hidden="false" customHeight="false" outlineLevel="0" collapsed="false">
      <c r="A2615" s="38" t="n">
        <v>45279</v>
      </c>
      <c r="B2615" s="39" t="n">
        <v>1895.5</v>
      </c>
      <c r="C2615" s="40" t="n">
        <v>59749116.07</v>
      </c>
      <c r="D2615" s="40" t="n">
        <f aca="false">MAX(D2614,C2615)</f>
        <v>111220847.9</v>
      </c>
      <c r="E2615" s="41" t="n">
        <f aca="false">C2615/D2615-1</f>
        <v>-0.462788522132819</v>
      </c>
      <c r="F2615" s="42" t="n">
        <f aca="false">YEAR(A2615)</f>
        <v>2023</v>
      </c>
    </row>
    <row r="2616" customFormat="false" ht="15" hidden="false" customHeight="false" outlineLevel="0" collapsed="false">
      <c r="A2616" s="38" t="n">
        <v>45280</v>
      </c>
      <c r="B2616" s="39" t="n">
        <v>1913.5</v>
      </c>
      <c r="C2616" s="40" t="n">
        <v>59749116.07</v>
      </c>
      <c r="D2616" s="40" t="n">
        <f aca="false">MAX(D2615,C2616)</f>
        <v>111220847.9</v>
      </c>
      <c r="E2616" s="41" t="n">
        <f aca="false">C2616/D2616-1</f>
        <v>-0.462788522132819</v>
      </c>
      <c r="F2616" s="42" t="n">
        <f aca="false">YEAR(A2616)</f>
        <v>2023</v>
      </c>
    </row>
    <row r="2617" customFormat="false" ht="15" hidden="false" customHeight="false" outlineLevel="0" collapsed="false">
      <c r="A2617" s="38" t="n">
        <v>45281</v>
      </c>
      <c r="B2617" s="39" t="n">
        <v>1957</v>
      </c>
      <c r="C2617" s="40" t="n">
        <v>59749116.07</v>
      </c>
      <c r="D2617" s="40" t="n">
        <f aca="false">MAX(D2616,C2617)</f>
        <v>111220847.9</v>
      </c>
      <c r="E2617" s="41" t="n">
        <f aca="false">C2617/D2617-1</f>
        <v>-0.462788522132819</v>
      </c>
      <c r="F2617" s="42" t="n">
        <f aca="false">YEAR(A2617)</f>
        <v>2023</v>
      </c>
    </row>
    <row r="2618" customFormat="false" ht="15" hidden="false" customHeight="false" outlineLevel="0" collapsed="false">
      <c r="A2618" s="38" t="n">
        <v>45282</v>
      </c>
      <c r="B2618" s="39" t="n">
        <v>1970.5</v>
      </c>
      <c r="C2618" s="40" t="n">
        <v>59749116.07</v>
      </c>
      <c r="D2618" s="40" t="n">
        <f aca="false">MAX(D2617,C2618)</f>
        <v>111220847.9</v>
      </c>
      <c r="E2618" s="41" t="n">
        <f aca="false">C2618/D2618-1</f>
        <v>-0.462788522132819</v>
      </c>
      <c r="F2618" s="42" t="n">
        <f aca="false">YEAR(A2618)</f>
        <v>2023</v>
      </c>
    </row>
    <row r="2619" customFormat="false" ht="15" hidden="false" customHeight="false" outlineLevel="0" collapsed="false">
      <c r="A2619" s="38" t="n">
        <v>45285</v>
      </c>
      <c r="B2619" s="39" t="n">
        <v>1954.5</v>
      </c>
      <c r="C2619" s="40" t="n">
        <v>59749116.07</v>
      </c>
      <c r="D2619" s="40" t="n">
        <f aca="false">MAX(D2618,C2619)</f>
        <v>111220847.9</v>
      </c>
      <c r="E2619" s="41" t="n">
        <f aca="false">C2619/D2619-1</f>
        <v>-0.462788522132819</v>
      </c>
      <c r="F2619" s="42" t="n">
        <f aca="false">YEAR(A2619)</f>
        <v>2023</v>
      </c>
    </row>
    <row r="2620" customFormat="false" ht="15" hidden="false" customHeight="false" outlineLevel="0" collapsed="false">
      <c r="A2620" s="38" t="n">
        <v>45286</v>
      </c>
      <c r="B2620" s="39" t="n">
        <v>1946.5</v>
      </c>
      <c r="C2620" s="40" t="n">
        <v>59749116.07</v>
      </c>
      <c r="D2620" s="40" t="n">
        <f aca="false">MAX(D2619,C2620)</f>
        <v>111220847.9</v>
      </c>
      <c r="E2620" s="41" t="n">
        <f aca="false">C2620/D2620-1</f>
        <v>-0.462788522132819</v>
      </c>
      <c r="F2620" s="42" t="n">
        <f aca="false">YEAR(A2620)</f>
        <v>2023</v>
      </c>
    </row>
    <row r="2621" customFormat="false" ht="15" hidden="false" customHeight="false" outlineLevel="0" collapsed="false">
      <c r="A2621" s="38" t="n">
        <v>45287</v>
      </c>
      <c r="B2621" s="39" t="n">
        <v>1915.5</v>
      </c>
      <c r="C2621" s="40" t="n">
        <v>59749116.07</v>
      </c>
      <c r="D2621" s="40" t="n">
        <f aca="false">MAX(D2620,C2621)</f>
        <v>111220847.9</v>
      </c>
      <c r="E2621" s="41" t="n">
        <f aca="false">C2621/D2621-1</f>
        <v>-0.462788522132819</v>
      </c>
      <c r="F2621" s="42" t="n">
        <f aca="false">YEAR(A2621)</f>
        <v>2023</v>
      </c>
    </row>
    <row r="2622" customFormat="false" ht="15" hidden="false" customHeight="false" outlineLevel="0" collapsed="false">
      <c r="A2622" s="38" t="n">
        <v>45288</v>
      </c>
      <c r="B2622" s="39" t="n">
        <v>1881</v>
      </c>
      <c r="C2622" s="40" t="n">
        <v>59749116.07</v>
      </c>
      <c r="D2622" s="40" t="n">
        <f aca="false">MAX(D2621,C2622)</f>
        <v>111220847.9</v>
      </c>
      <c r="E2622" s="41" t="n">
        <f aca="false">C2622/D2622-1</f>
        <v>-0.462788522132819</v>
      </c>
      <c r="F2622" s="42" t="n">
        <f aca="false">YEAR(A2622)</f>
        <v>2023</v>
      </c>
    </row>
    <row r="2623" customFormat="false" ht="15" hidden="false" customHeight="false" outlineLevel="0" collapsed="false">
      <c r="A2623" s="38" t="n">
        <v>45289</v>
      </c>
      <c r="B2623" s="39" t="n">
        <v>1887.5</v>
      </c>
      <c r="C2623" s="40" t="n">
        <v>59749116.07</v>
      </c>
      <c r="D2623" s="40" t="n">
        <f aca="false">MAX(D2622,C2623)</f>
        <v>111220847.9</v>
      </c>
      <c r="E2623" s="41" t="n">
        <f aca="false">C2623/D2623-1</f>
        <v>-0.462788522132819</v>
      </c>
      <c r="F2623" s="42" t="n">
        <f aca="false">YEAR(A2623)</f>
        <v>2023</v>
      </c>
    </row>
    <row r="2624" customFormat="false" ht="15" hidden="false" customHeight="false" outlineLevel="0" collapsed="false">
      <c r="A2624" s="38" t="n">
        <v>45293</v>
      </c>
      <c r="B2624" s="39" t="n">
        <v>1928.5</v>
      </c>
      <c r="C2624" s="40" t="n">
        <v>53710014.55</v>
      </c>
      <c r="D2624" s="40" t="n">
        <f aca="false">MAX(D2623,C2624)</f>
        <v>111220847.9</v>
      </c>
      <c r="E2624" s="41" t="n">
        <f aca="false">C2624/D2624-1</f>
        <v>-0.517086809135898</v>
      </c>
      <c r="F2624" s="42" t="n">
        <f aca="false">YEAR(A2624)</f>
        <v>2024</v>
      </c>
    </row>
    <row r="2625" customFormat="false" ht="15" hidden="false" customHeight="false" outlineLevel="0" collapsed="false">
      <c r="A2625" s="38" t="n">
        <v>45294</v>
      </c>
      <c r="B2625" s="39" t="n">
        <v>1971.5</v>
      </c>
      <c r="C2625" s="40" t="n">
        <v>48026274.55</v>
      </c>
      <c r="D2625" s="40" t="n">
        <f aca="false">MAX(D2624,C2625)</f>
        <v>111220847.9</v>
      </c>
      <c r="E2625" s="41" t="n">
        <f aca="false">C2625/D2625-1</f>
        <v>-0.56818999803723</v>
      </c>
      <c r="F2625" s="42" t="n">
        <f aca="false">YEAR(A2625)</f>
        <v>2024</v>
      </c>
    </row>
    <row r="2626" customFormat="false" ht="15" hidden="false" customHeight="false" outlineLevel="0" collapsed="false">
      <c r="A2626" s="38" t="n">
        <v>45295</v>
      </c>
      <c r="B2626" s="39" t="n">
        <v>1884.5</v>
      </c>
      <c r="C2626" s="40" t="n">
        <v>59525934.55</v>
      </c>
      <c r="D2626" s="40" t="n">
        <f aca="false">MAX(D2625,C2626)</f>
        <v>111220847.9</v>
      </c>
      <c r="E2626" s="41" t="n">
        <f aca="false">C2626/D2626-1</f>
        <v>-0.464795173981046</v>
      </c>
      <c r="F2626" s="42" t="n">
        <f aca="false">YEAR(A2626)</f>
        <v>2024</v>
      </c>
    </row>
    <row r="2627" customFormat="false" ht="15" hidden="false" customHeight="false" outlineLevel="0" collapsed="false">
      <c r="A2627" s="38" t="n">
        <v>45296</v>
      </c>
      <c r="B2627" s="39" t="n">
        <v>1845</v>
      </c>
      <c r="C2627" s="40" t="n">
        <v>64747044.55</v>
      </c>
      <c r="D2627" s="40" t="n">
        <f aca="false">MAX(D2626,C2627)</f>
        <v>111220847.9</v>
      </c>
      <c r="E2627" s="41" t="n">
        <f aca="false">C2627/D2627-1</f>
        <v>-0.417851546967032</v>
      </c>
      <c r="F2627" s="42" t="n">
        <f aca="false">YEAR(A2627)</f>
        <v>2024</v>
      </c>
    </row>
    <row r="2628" customFormat="false" ht="15" hidden="false" customHeight="false" outlineLevel="0" collapsed="false">
      <c r="A2628" s="38" t="n">
        <v>45299</v>
      </c>
      <c r="B2628" s="39" t="n">
        <v>1786</v>
      </c>
      <c r="C2628" s="40" t="n">
        <v>72545664.55</v>
      </c>
      <c r="D2628" s="40" t="n">
        <f aca="false">MAX(D2627,C2628)</f>
        <v>111220847.9</v>
      </c>
      <c r="E2628" s="41" t="n">
        <f aca="false">C2628/D2628-1</f>
        <v>-0.347733218009391</v>
      </c>
      <c r="F2628" s="42" t="n">
        <f aca="false">YEAR(A2628)</f>
        <v>2024</v>
      </c>
    </row>
    <row r="2629" customFormat="false" ht="15" hidden="false" customHeight="false" outlineLevel="0" collapsed="false">
      <c r="A2629" s="38" t="n">
        <v>45300</v>
      </c>
      <c r="B2629" s="39" t="n">
        <v>1785</v>
      </c>
      <c r="C2629" s="40" t="n">
        <v>72677844.55</v>
      </c>
      <c r="D2629" s="40" t="n">
        <f aca="false">MAX(D2628,C2629)</f>
        <v>111220847.9</v>
      </c>
      <c r="E2629" s="41" t="n">
        <f aca="false">C2629/D2629-1</f>
        <v>-0.346544771755872</v>
      </c>
      <c r="F2629" s="42" t="n">
        <f aca="false">YEAR(A2629)</f>
        <v>2024</v>
      </c>
    </row>
    <row r="2630" customFormat="false" ht="15" hidden="false" customHeight="false" outlineLevel="0" collapsed="false">
      <c r="A2630" s="38" t="n">
        <v>45301</v>
      </c>
      <c r="B2630" s="39" t="n">
        <v>1758</v>
      </c>
      <c r="C2630" s="40" t="n">
        <v>76246704.55</v>
      </c>
      <c r="D2630" s="40" t="n">
        <f aca="false">MAX(D2629,C2630)</f>
        <v>111220847.9</v>
      </c>
      <c r="E2630" s="41" t="n">
        <f aca="false">C2630/D2630-1</f>
        <v>-0.314456722910849</v>
      </c>
      <c r="F2630" s="42" t="n">
        <f aca="false">YEAR(A2630)</f>
        <v>2024</v>
      </c>
    </row>
    <row r="2631" customFormat="false" ht="15" hidden="false" customHeight="false" outlineLevel="0" collapsed="false">
      <c r="A2631" s="38" t="n">
        <v>45302</v>
      </c>
      <c r="B2631" s="39" t="n">
        <v>1801.5</v>
      </c>
      <c r="C2631" s="40" t="n">
        <v>70496874.55</v>
      </c>
      <c r="D2631" s="40" t="n">
        <f aca="false">MAX(D2630,C2631)</f>
        <v>111220847.9</v>
      </c>
      <c r="E2631" s="41" t="n">
        <f aca="false">C2631/D2631-1</f>
        <v>-0.366154134938941</v>
      </c>
      <c r="F2631" s="42" t="n">
        <f aca="false">YEAR(A2631)</f>
        <v>2024</v>
      </c>
    </row>
    <row r="2632" customFormat="false" ht="15" hidden="false" customHeight="false" outlineLevel="0" collapsed="false">
      <c r="A2632" s="38" t="n">
        <v>45303</v>
      </c>
      <c r="B2632" s="39" t="n">
        <v>1786.5</v>
      </c>
      <c r="C2632" s="40" t="n">
        <v>72479574.55</v>
      </c>
      <c r="D2632" s="40" t="n">
        <f aca="false">MAX(D2631,C2632)</f>
        <v>111220847.9</v>
      </c>
      <c r="E2632" s="41" t="n">
        <f aca="false">C2632/D2632-1</f>
        <v>-0.348327441136151</v>
      </c>
      <c r="F2632" s="42" t="n">
        <f aca="false">YEAR(A2632)</f>
        <v>2024</v>
      </c>
    </row>
    <row r="2633" customFormat="false" ht="15" hidden="false" customHeight="false" outlineLevel="0" collapsed="false">
      <c r="A2633" s="38" t="n">
        <v>45306</v>
      </c>
      <c r="B2633" s="39" t="n">
        <v>1793.5</v>
      </c>
      <c r="C2633" s="40" t="n">
        <v>71554314.55</v>
      </c>
      <c r="D2633" s="40" t="n">
        <f aca="false">MAX(D2632,C2633)</f>
        <v>111220847.9</v>
      </c>
      <c r="E2633" s="41" t="n">
        <f aca="false">C2633/D2633-1</f>
        <v>-0.356646564910786</v>
      </c>
      <c r="F2633" s="42" t="n">
        <f aca="false">YEAR(A2633)</f>
        <v>2024</v>
      </c>
    </row>
    <row r="2634" customFormat="false" ht="15" hidden="false" customHeight="false" outlineLevel="0" collapsed="false">
      <c r="A2634" s="38" t="n">
        <v>45307</v>
      </c>
      <c r="B2634" s="39" t="n">
        <v>1795.5</v>
      </c>
      <c r="C2634" s="40" t="n">
        <v>71289954.55</v>
      </c>
      <c r="D2634" s="40" t="n">
        <f aca="false">MAX(D2633,C2634)</f>
        <v>111220847.9</v>
      </c>
      <c r="E2634" s="41" t="n">
        <f aca="false">C2634/D2634-1</f>
        <v>-0.359023457417825</v>
      </c>
      <c r="F2634" s="42" t="n">
        <f aca="false">YEAR(A2634)</f>
        <v>2024</v>
      </c>
    </row>
    <row r="2635" customFormat="false" ht="15" hidden="false" customHeight="false" outlineLevel="0" collapsed="false">
      <c r="A2635" s="38" t="n">
        <v>45308</v>
      </c>
      <c r="B2635" s="39" t="n">
        <v>1774</v>
      </c>
      <c r="C2635" s="40" t="n">
        <v>74131824.55</v>
      </c>
      <c r="D2635" s="40" t="n">
        <f aca="false">MAX(D2634,C2635)</f>
        <v>111220847.9</v>
      </c>
      <c r="E2635" s="41" t="n">
        <f aca="false">C2635/D2635-1</f>
        <v>-0.333471862967159</v>
      </c>
      <c r="F2635" s="42" t="n">
        <f aca="false">YEAR(A2635)</f>
        <v>2024</v>
      </c>
    </row>
    <row r="2636" customFormat="false" ht="15" hidden="false" customHeight="false" outlineLevel="0" collapsed="false">
      <c r="A2636" s="38" t="n">
        <v>45309</v>
      </c>
      <c r="B2636" s="39" t="n">
        <v>1813.5</v>
      </c>
      <c r="C2636" s="40" t="n">
        <v>68910714.55</v>
      </c>
      <c r="D2636" s="40" t="n">
        <f aca="false">MAX(D2635,C2636)</f>
        <v>111220847.9</v>
      </c>
      <c r="E2636" s="41" t="n">
        <f aca="false">C2636/D2636-1</f>
        <v>-0.380415489981173</v>
      </c>
      <c r="F2636" s="42" t="n">
        <f aca="false">YEAR(A2636)</f>
        <v>2024</v>
      </c>
    </row>
    <row r="2637" customFormat="false" ht="15" hidden="false" customHeight="false" outlineLevel="0" collapsed="false">
      <c r="A2637" s="38" t="n">
        <v>45310</v>
      </c>
      <c r="B2637" s="39" t="n">
        <v>1819.5</v>
      </c>
      <c r="C2637" s="40" t="n">
        <v>68117634.55</v>
      </c>
      <c r="D2637" s="40" t="n">
        <f aca="false">MAX(D2636,C2637)</f>
        <v>111220847.9</v>
      </c>
      <c r="E2637" s="41" t="n">
        <f aca="false">C2637/D2637-1</f>
        <v>-0.387546167502289</v>
      </c>
      <c r="F2637" s="42" t="n">
        <f aca="false">YEAR(A2637)</f>
        <v>2024</v>
      </c>
    </row>
    <row r="2638" customFormat="false" ht="15" hidden="false" customHeight="false" outlineLevel="0" collapsed="false">
      <c r="A2638" s="38" t="n">
        <v>45313</v>
      </c>
      <c r="B2638" s="39" t="n">
        <v>1810</v>
      </c>
      <c r="C2638" s="40" t="n">
        <v>69373344.55</v>
      </c>
      <c r="D2638" s="40" t="n">
        <f aca="false">MAX(D2637,C2638)</f>
        <v>111220847.9</v>
      </c>
      <c r="E2638" s="41" t="n">
        <f aca="false">C2638/D2638-1</f>
        <v>-0.376255928093855</v>
      </c>
      <c r="F2638" s="42" t="n">
        <f aca="false">YEAR(A2638)</f>
        <v>2024</v>
      </c>
    </row>
    <row r="2639" customFormat="false" ht="15" hidden="false" customHeight="false" outlineLevel="0" collapsed="false">
      <c r="A2639" s="38" t="n">
        <v>45314</v>
      </c>
      <c r="B2639" s="39" t="n">
        <v>1823.5</v>
      </c>
      <c r="C2639" s="40" t="n">
        <v>67588914.55</v>
      </c>
      <c r="D2639" s="40" t="n">
        <f aca="false">MAX(D2638,C2639)</f>
        <v>111220847.9</v>
      </c>
      <c r="E2639" s="41" t="n">
        <f aca="false">C2639/D2639-1</f>
        <v>-0.392299952516366</v>
      </c>
      <c r="F2639" s="42" t="n">
        <f aca="false">YEAR(A2639)</f>
        <v>2024</v>
      </c>
    </row>
    <row r="2640" customFormat="false" ht="15" hidden="false" customHeight="false" outlineLevel="0" collapsed="false">
      <c r="A2640" s="38" t="n">
        <v>45315</v>
      </c>
      <c r="B2640" s="39" t="n">
        <v>1850</v>
      </c>
      <c r="C2640" s="40" t="n">
        <v>64086144.55</v>
      </c>
      <c r="D2640" s="40" t="n">
        <f aca="false">MAX(D2639,C2640)</f>
        <v>111220847.9</v>
      </c>
      <c r="E2640" s="41" t="n">
        <f aca="false">C2640/D2640-1</f>
        <v>-0.423793778234629</v>
      </c>
      <c r="F2640" s="42" t="n">
        <f aca="false">YEAR(A2640)</f>
        <v>2024</v>
      </c>
    </row>
    <row r="2641" customFormat="false" ht="15" hidden="false" customHeight="false" outlineLevel="0" collapsed="false">
      <c r="A2641" s="38" t="n">
        <v>45316</v>
      </c>
      <c r="B2641" s="39" t="n">
        <v>1832</v>
      </c>
      <c r="C2641" s="40" t="n">
        <v>66465384.55</v>
      </c>
      <c r="D2641" s="40" t="n">
        <f aca="false">MAX(D2640,C2641)</f>
        <v>111220847.9</v>
      </c>
      <c r="E2641" s="41" t="n">
        <f aca="false">C2641/D2641-1</f>
        <v>-0.402401745671281</v>
      </c>
      <c r="F2641" s="42" t="n">
        <f aca="false">YEAR(A2641)</f>
        <v>2024</v>
      </c>
    </row>
    <row r="2642" customFormat="false" ht="15" hidden="false" customHeight="false" outlineLevel="0" collapsed="false">
      <c r="A2642" s="38" t="n">
        <v>45317</v>
      </c>
      <c r="B2642" s="39" t="n">
        <v>1775.5</v>
      </c>
      <c r="C2642" s="40" t="n">
        <v>73933554.55</v>
      </c>
      <c r="D2642" s="40" t="n">
        <f aca="false">MAX(D2641,C2642)</f>
        <v>111220847.9</v>
      </c>
      <c r="E2642" s="41" t="n">
        <f aca="false">C2642/D2642-1</f>
        <v>-0.335254532347438</v>
      </c>
      <c r="F2642" s="42" t="n">
        <f aca="false">YEAR(A2642)</f>
        <v>2024</v>
      </c>
    </row>
    <row r="2643" customFormat="false" ht="15" hidden="false" customHeight="false" outlineLevel="0" collapsed="false">
      <c r="A2643" s="38" t="n">
        <v>45320</v>
      </c>
      <c r="B2643" s="39" t="n">
        <v>1777</v>
      </c>
      <c r="C2643" s="40" t="n">
        <v>73735284.55</v>
      </c>
      <c r="D2643" s="40" t="n">
        <f aca="false">MAX(D2642,C2643)</f>
        <v>111220847.9</v>
      </c>
      <c r="E2643" s="41" t="n">
        <f aca="false">C2643/D2643-1</f>
        <v>-0.337037201727717</v>
      </c>
      <c r="F2643" s="42" t="n">
        <f aca="false">YEAR(A2643)</f>
        <v>2024</v>
      </c>
    </row>
    <row r="2644" customFormat="false" ht="15" hidden="false" customHeight="false" outlineLevel="0" collapsed="false">
      <c r="A2644" s="38" t="n">
        <v>45321</v>
      </c>
      <c r="B2644" s="39" t="n">
        <v>1748.5</v>
      </c>
      <c r="C2644" s="40" t="n">
        <v>77502414.55</v>
      </c>
      <c r="D2644" s="40" t="n">
        <f aca="false">MAX(D2643,C2644)</f>
        <v>111220847.9</v>
      </c>
      <c r="E2644" s="41" t="n">
        <f aca="false">C2644/D2644-1</f>
        <v>-0.303166483502416</v>
      </c>
      <c r="F2644" s="42" t="n">
        <f aca="false">YEAR(A2644)</f>
        <v>2024</v>
      </c>
    </row>
    <row r="2645" customFormat="false" ht="15" hidden="false" customHeight="false" outlineLevel="0" collapsed="false">
      <c r="A2645" s="38" t="n">
        <v>45322</v>
      </c>
      <c r="B2645" s="39" t="n">
        <v>1701.5</v>
      </c>
      <c r="C2645" s="40" t="n">
        <v>83714874.55</v>
      </c>
      <c r="D2645" s="40" t="n">
        <f aca="false">MAX(D2644,C2645)</f>
        <v>111220847.9</v>
      </c>
      <c r="E2645" s="41" t="n">
        <f aca="false">C2645/D2645-1</f>
        <v>-0.247309509587006</v>
      </c>
      <c r="F2645" s="42" t="n">
        <f aca="false">YEAR(A2645)</f>
        <v>2024</v>
      </c>
    </row>
    <row r="2646" customFormat="false" ht="15" hidden="false" customHeight="false" outlineLevel="0" collapsed="false">
      <c r="A2646" s="38" t="n">
        <v>45323</v>
      </c>
      <c r="B2646" s="39" t="n">
        <v>1724</v>
      </c>
      <c r="C2646" s="40" t="n">
        <v>80740824.55</v>
      </c>
      <c r="D2646" s="40" t="n">
        <f aca="false">MAX(D2645,C2646)</f>
        <v>111220847.9</v>
      </c>
      <c r="E2646" s="41" t="n">
        <f aca="false">C2646/D2646-1</f>
        <v>-0.274049550291192</v>
      </c>
      <c r="F2646" s="42" t="n">
        <f aca="false">YEAR(A2646)</f>
        <v>2024</v>
      </c>
    </row>
    <row r="2647" customFormat="false" ht="15" hidden="false" customHeight="false" outlineLevel="0" collapsed="false">
      <c r="A2647" s="38" t="n">
        <v>45324</v>
      </c>
      <c r="B2647" s="39" t="n">
        <v>1706.5</v>
      </c>
      <c r="C2647" s="40" t="n">
        <v>83053974.55</v>
      </c>
      <c r="D2647" s="40" t="n">
        <f aca="false">MAX(D2646,C2647)</f>
        <v>111220847.9</v>
      </c>
      <c r="E2647" s="41" t="n">
        <f aca="false">C2647/D2647-1</f>
        <v>-0.253251740854603</v>
      </c>
      <c r="F2647" s="42" t="n">
        <f aca="false">YEAR(A2647)</f>
        <v>2024</v>
      </c>
    </row>
    <row r="2648" customFormat="false" ht="15" hidden="false" customHeight="false" outlineLevel="0" collapsed="false">
      <c r="A2648" s="38" t="n">
        <v>45327</v>
      </c>
      <c r="B2648" s="39" t="n">
        <v>1706</v>
      </c>
      <c r="C2648" s="40" t="n">
        <v>83120064.55</v>
      </c>
      <c r="D2648" s="40" t="n">
        <f aca="false">MAX(D2647,C2648)</f>
        <v>111220847.9</v>
      </c>
      <c r="E2648" s="41" t="n">
        <f aca="false">C2648/D2648-1</f>
        <v>-0.252657517727843</v>
      </c>
      <c r="F2648" s="42" t="n">
        <f aca="false">YEAR(A2648)</f>
        <v>2024</v>
      </c>
    </row>
    <row r="2649" customFormat="false" ht="15" hidden="false" customHeight="false" outlineLevel="0" collapsed="false">
      <c r="A2649" s="38" t="n">
        <v>45328</v>
      </c>
      <c r="B2649" s="39" t="n">
        <v>1713</v>
      </c>
      <c r="C2649" s="40" t="n">
        <v>82194804.55</v>
      </c>
      <c r="D2649" s="40" t="n">
        <f aca="false">MAX(D2648,C2649)</f>
        <v>111220847.9</v>
      </c>
      <c r="E2649" s="41" t="n">
        <f aca="false">C2649/D2649-1</f>
        <v>-0.260976641502479</v>
      </c>
      <c r="F2649" s="42" t="n">
        <f aca="false">YEAR(A2649)</f>
        <v>2024</v>
      </c>
    </row>
    <row r="2650" customFormat="false" ht="15" hidden="false" customHeight="false" outlineLevel="0" collapsed="false">
      <c r="A2650" s="38" t="n">
        <v>45329</v>
      </c>
      <c r="B2650" s="39" t="n">
        <v>1698.5</v>
      </c>
      <c r="C2650" s="40" t="n">
        <v>84111414.55</v>
      </c>
      <c r="D2650" s="40" t="n">
        <f aca="false">MAX(D2649,C2650)</f>
        <v>111220847.9</v>
      </c>
      <c r="E2650" s="41" t="n">
        <f aca="false">C2650/D2650-1</f>
        <v>-0.243744170826448</v>
      </c>
      <c r="F2650" s="42" t="n">
        <f aca="false">YEAR(A2650)</f>
        <v>2024</v>
      </c>
    </row>
    <row r="2651" customFormat="false" ht="15" hidden="false" customHeight="false" outlineLevel="0" collapsed="false">
      <c r="A2651" s="38" t="n">
        <v>45330</v>
      </c>
      <c r="B2651" s="39" t="n">
        <v>1743.5</v>
      </c>
      <c r="C2651" s="40" t="n">
        <v>78163314.55</v>
      </c>
      <c r="D2651" s="40" t="n">
        <f aca="false">MAX(D2650,C2651)</f>
        <v>111220847.9</v>
      </c>
      <c r="E2651" s="41" t="n">
        <f aca="false">C2651/D2651-1</f>
        <v>-0.297224252234819</v>
      </c>
      <c r="F2651" s="42" t="n">
        <f aca="false">YEAR(A2651)</f>
        <v>2024</v>
      </c>
    </row>
    <row r="2652" customFormat="false" ht="15" hidden="false" customHeight="false" outlineLevel="0" collapsed="false">
      <c r="A2652" s="38" t="n">
        <v>45341</v>
      </c>
      <c r="B2652" s="39" t="n">
        <v>1646</v>
      </c>
      <c r="C2652" s="40" t="n">
        <v>91050864.55</v>
      </c>
      <c r="D2652" s="40" t="n">
        <f aca="false">MAX(D2651,C2652)</f>
        <v>111220847.9</v>
      </c>
      <c r="E2652" s="41" t="n">
        <f aca="false">C2652/D2652-1</f>
        <v>-0.181350742516682</v>
      </c>
      <c r="F2652" s="42" t="n">
        <f aca="false">YEAR(A2652)</f>
        <v>2024</v>
      </c>
    </row>
    <row r="2653" customFormat="false" ht="15" hidden="false" customHeight="false" outlineLevel="0" collapsed="false">
      <c r="A2653" s="38" t="n">
        <v>45342</v>
      </c>
      <c r="B2653" s="39" t="n">
        <v>1645</v>
      </c>
      <c r="C2653" s="40" t="n">
        <v>91183044.55</v>
      </c>
      <c r="D2653" s="40" t="n">
        <f aca="false">MAX(D2652,C2653)</f>
        <v>111220847.9</v>
      </c>
      <c r="E2653" s="41" t="n">
        <f aca="false">C2653/D2653-1</f>
        <v>-0.180162296263163</v>
      </c>
      <c r="F2653" s="42" t="n">
        <f aca="false">YEAR(A2653)</f>
        <v>2024</v>
      </c>
    </row>
    <row r="2654" customFormat="false" ht="15" hidden="false" customHeight="false" outlineLevel="0" collapsed="false">
      <c r="A2654" s="38" t="n">
        <v>45343</v>
      </c>
      <c r="B2654" s="39" t="n">
        <v>1745</v>
      </c>
      <c r="C2654" s="40" t="n">
        <v>77965044.55</v>
      </c>
      <c r="D2654" s="40" t="n">
        <f aca="false">MAX(D2653,C2654)</f>
        <v>111220847.9</v>
      </c>
      <c r="E2654" s="41" t="n">
        <f aca="false">C2654/D2654-1</f>
        <v>-0.299006921615098</v>
      </c>
      <c r="F2654" s="42" t="n">
        <f aca="false">YEAR(A2654)</f>
        <v>2024</v>
      </c>
    </row>
    <row r="2655" customFormat="false" ht="15" hidden="false" customHeight="false" outlineLevel="0" collapsed="false">
      <c r="A2655" s="38" t="n">
        <v>45344</v>
      </c>
      <c r="B2655" s="39" t="n">
        <v>1790</v>
      </c>
      <c r="C2655" s="40" t="n">
        <v>72016944.55</v>
      </c>
      <c r="D2655" s="40" t="n">
        <f aca="false">MAX(D2654,C2655)</f>
        <v>111220847.9</v>
      </c>
      <c r="E2655" s="41" t="n">
        <f aca="false">C2655/D2655-1</f>
        <v>-0.352487003023468</v>
      </c>
      <c r="F2655" s="42" t="n">
        <f aca="false">YEAR(A2655)</f>
        <v>2024</v>
      </c>
    </row>
    <row r="2656" customFormat="false" ht="15" hidden="false" customHeight="false" outlineLevel="0" collapsed="false">
      <c r="A2656" s="38" t="n">
        <v>45345</v>
      </c>
      <c r="B2656" s="39" t="n">
        <v>1762</v>
      </c>
      <c r="C2656" s="40" t="n">
        <v>75717984.55</v>
      </c>
      <c r="D2656" s="40" t="n">
        <f aca="false">MAX(D2655,C2656)</f>
        <v>111220847.9</v>
      </c>
      <c r="E2656" s="41" t="n">
        <f aca="false">C2656/D2656-1</f>
        <v>-0.319210507924927</v>
      </c>
      <c r="F2656" s="42" t="n">
        <f aca="false">YEAR(A2656)</f>
        <v>2024</v>
      </c>
    </row>
    <row r="2657" customFormat="false" ht="15" hidden="false" customHeight="false" outlineLevel="0" collapsed="false">
      <c r="A2657" s="38" t="n">
        <v>45348</v>
      </c>
      <c r="B2657" s="39" t="n">
        <v>1699</v>
      </c>
      <c r="C2657" s="40" t="n">
        <v>84045324.55</v>
      </c>
      <c r="D2657" s="40" t="n">
        <f aca="false">MAX(D2656,C2657)</f>
        <v>111220847.9</v>
      </c>
      <c r="E2657" s="41" t="n">
        <f aca="false">C2657/D2657-1</f>
        <v>-0.244338393953208</v>
      </c>
      <c r="F2657" s="42" t="n">
        <f aca="false">YEAR(A2657)</f>
        <v>2024</v>
      </c>
    </row>
    <row r="2658" customFormat="false" ht="15" hidden="false" customHeight="false" outlineLevel="0" collapsed="false">
      <c r="A2658" s="38" t="n">
        <v>45349</v>
      </c>
      <c r="B2658" s="39" t="n">
        <v>1766.5</v>
      </c>
      <c r="C2658" s="40" t="n">
        <v>75123174.55</v>
      </c>
      <c r="D2658" s="40" t="n">
        <f aca="false">MAX(D2657,C2658)</f>
        <v>111220847.9</v>
      </c>
      <c r="E2658" s="41" t="n">
        <f aca="false">C2658/D2658-1</f>
        <v>-0.324558516065764</v>
      </c>
      <c r="F2658" s="42" t="n">
        <f aca="false">YEAR(A2658)</f>
        <v>2024</v>
      </c>
    </row>
    <row r="2659" customFormat="false" ht="15" hidden="false" customHeight="false" outlineLevel="0" collapsed="false">
      <c r="A2659" s="38" t="n">
        <v>45350</v>
      </c>
      <c r="B2659" s="39" t="n">
        <v>1768.5</v>
      </c>
      <c r="C2659" s="40" t="n">
        <v>74858814.55</v>
      </c>
      <c r="D2659" s="40" t="n">
        <f aca="false">MAX(D2658,C2659)</f>
        <v>111220847.9</v>
      </c>
      <c r="E2659" s="41" t="n">
        <f aca="false">C2659/D2659-1</f>
        <v>-0.326935408572802</v>
      </c>
      <c r="F2659" s="42" t="n">
        <f aca="false">YEAR(A2659)</f>
        <v>2024</v>
      </c>
    </row>
    <row r="2660" customFormat="false" ht="15" hidden="false" customHeight="false" outlineLevel="0" collapsed="false">
      <c r="A2660" s="38" t="n">
        <v>45351</v>
      </c>
      <c r="B2660" s="39" t="n">
        <v>1787.5</v>
      </c>
      <c r="C2660" s="40" t="n">
        <v>72347394.55</v>
      </c>
      <c r="D2660" s="40" t="n">
        <f aca="false">MAX(D2659,C2660)</f>
        <v>111220847.9</v>
      </c>
      <c r="E2660" s="41" t="n">
        <f aca="false">C2660/D2660-1</f>
        <v>-0.34951588738967</v>
      </c>
      <c r="F2660" s="42" t="n">
        <f aca="false">YEAR(A2660)</f>
        <v>2024</v>
      </c>
    </row>
    <row r="2661" customFormat="false" ht="15" hidden="false" customHeight="false" outlineLevel="0" collapsed="false">
      <c r="A2661" s="38" t="n">
        <v>45352</v>
      </c>
      <c r="B2661" s="39" t="n">
        <v>1777</v>
      </c>
      <c r="C2661" s="40" t="n">
        <v>73735284.55</v>
      </c>
      <c r="D2661" s="40" t="n">
        <f aca="false">MAX(D2660,C2661)</f>
        <v>111220847.9</v>
      </c>
      <c r="E2661" s="41" t="n">
        <f aca="false">C2661/D2661-1</f>
        <v>-0.337037201727717</v>
      </c>
      <c r="F2661" s="42" t="n">
        <f aca="false">YEAR(A2661)</f>
        <v>2024</v>
      </c>
    </row>
    <row r="2662" customFormat="false" ht="15" hidden="false" customHeight="false" outlineLevel="0" collapsed="false">
      <c r="A2662" s="38" t="n">
        <v>45355</v>
      </c>
      <c r="B2662" s="39" t="n">
        <v>1786</v>
      </c>
      <c r="C2662" s="40" t="n">
        <v>74571030.05</v>
      </c>
      <c r="D2662" s="40" t="n">
        <f aca="false">MAX(D2661,C2662)</f>
        <v>111220847.9</v>
      </c>
      <c r="E2662" s="41" t="n">
        <f aca="false">C2662/D2662-1</f>
        <v>-0.329522913572393</v>
      </c>
      <c r="F2662" s="42" t="n">
        <f aca="false">YEAR(A2662)</f>
        <v>2024</v>
      </c>
    </row>
    <row r="2663" customFormat="false" ht="15" hidden="false" customHeight="false" outlineLevel="0" collapsed="false">
      <c r="A2663" s="38" t="n">
        <v>45356</v>
      </c>
      <c r="B2663" s="39" t="n">
        <v>1737</v>
      </c>
      <c r="C2663" s="40" t="n">
        <v>74571030.05</v>
      </c>
      <c r="D2663" s="40" t="n">
        <f aca="false">MAX(D2662,C2663)</f>
        <v>111220847.9</v>
      </c>
      <c r="E2663" s="41" t="n">
        <f aca="false">C2663/D2663-1</f>
        <v>-0.329522913572393</v>
      </c>
      <c r="F2663" s="42" t="n">
        <f aca="false">YEAR(A2663)</f>
        <v>2024</v>
      </c>
    </row>
    <row r="2664" customFormat="false" ht="15" hidden="false" customHeight="false" outlineLevel="0" collapsed="false">
      <c r="A2664" s="38" t="n">
        <v>45357</v>
      </c>
      <c r="B2664" s="39" t="n">
        <v>1718.5</v>
      </c>
      <c r="C2664" s="40" t="n">
        <v>74571030.05</v>
      </c>
      <c r="D2664" s="40" t="n">
        <f aca="false">MAX(D2663,C2664)</f>
        <v>111220847.9</v>
      </c>
      <c r="E2664" s="41" t="n">
        <f aca="false">C2664/D2664-1</f>
        <v>-0.329522913572393</v>
      </c>
      <c r="F2664" s="42" t="n">
        <f aca="false">YEAR(A2664)</f>
        <v>2024</v>
      </c>
    </row>
    <row r="2665" customFormat="false" ht="15" hidden="false" customHeight="false" outlineLevel="0" collapsed="false">
      <c r="A2665" s="38" t="n">
        <v>45358</v>
      </c>
      <c r="B2665" s="39" t="n">
        <v>1728</v>
      </c>
      <c r="C2665" s="40" t="n">
        <v>74571030.05</v>
      </c>
      <c r="D2665" s="40" t="n">
        <f aca="false">MAX(D2664,C2665)</f>
        <v>111220847.9</v>
      </c>
      <c r="E2665" s="41" t="n">
        <f aca="false">C2665/D2665-1</f>
        <v>-0.329522913572393</v>
      </c>
      <c r="F2665" s="42" t="n">
        <f aca="false">YEAR(A2665)</f>
        <v>2024</v>
      </c>
    </row>
    <row r="2666" customFormat="false" ht="15" hidden="false" customHeight="false" outlineLevel="0" collapsed="false">
      <c r="A2666" s="38" t="n">
        <v>45359</v>
      </c>
      <c r="B2666" s="39" t="n">
        <v>1731</v>
      </c>
      <c r="C2666" s="40" t="n">
        <v>74571030.05</v>
      </c>
      <c r="D2666" s="40" t="n">
        <f aca="false">MAX(D2665,C2666)</f>
        <v>111220847.9</v>
      </c>
      <c r="E2666" s="41" t="n">
        <f aca="false">C2666/D2666-1</f>
        <v>-0.329522913572393</v>
      </c>
      <c r="F2666" s="42" t="n">
        <f aca="false">YEAR(A2666)</f>
        <v>2024</v>
      </c>
    </row>
    <row r="2667" customFormat="false" ht="15" hidden="false" customHeight="false" outlineLevel="0" collapsed="false">
      <c r="A2667" s="38" t="n">
        <v>45362</v>
      </c>
      <c r="B2667" s="39" t="n">
        <v>1674</v>
      </c>
      <c r="C2667" s="40" t="n">
        <v>74571030.05</v>
      </c>
      <c r="D2667" s="40" t="n">
        <f aca="false">MAX(D2666,C2667)</f>
        <v>111220847.9</v>
      </c>
      <c r="E2667" s="41" t="n">
        <f aca="false">C2667/D2667-1</f>
        <v>-0.329522913572393</v>
      </c>
      <c r="F2667" s="42" t="n">
        <f aca="false">YEAR(A2667)</f>
        <v>2024</v>
      </c>
    </row>
    <row r="2668" customFormat="false" ht="15" hidden="false" customHeight="false" outlineLevel="0" collapsed="false">
      <c r="A2668" s="38" t="n">
        <v>45363</v>
      </c>
      <c r="B2668" s="39" t="n">
        <v>1707</v>
      </c>
      <c r="C2668" s="40" t="n">
        <v>74571030.05</v>
      </c>
      <c r="D2668" s="40" t="n">
        <f aca="false">MAX(D2667,C2668)</f>
        <v>111220847.9</v>
      </c>
      <c r="E2668" s="41" t="n">
        <f aca="false">C2668/D2668-1</f>
        <v>-0.329522913572393</v>
      </c>
      <c r="F2668" s="42" t="n">
        <f aca="false">YEAR(A2668)</f>
        <v>2024</v>
      </c>
    </row>
    <row r="2669" customFormat="false" ht="15" hidden="false" customHeight="false" outlineLevel="0" collapsed="false">
      <c r="A2669" s="38" t="n">
        <v>45364</v>
      </c>
      <c r="B2669" s="39" t="n">
        <v>1645</v>
      </c>
      <c r="C2669" s="40" t="n">
        <v>74571030.05</v>
      </c>
      <c r="D2669" s="40" t="n">
        <f aca="false">MAX(D2668,C2669)</f>
        <v>111220847.9</v>
      </c>
      <c r="E2669" s="41" t="n">
        <f aca="false">C2669/D2669-1</f>
        <v>-0.329522913572393</v>
      </c>
      <c r="F2669" s="42" t="n">
        <f aca="false">YEAR(A2669)</f>
        <v>2024</v>
      </c>
    </row>
    <row r="2670" customFormat="false" ht="15" hidden="false" customHeight="false" outlineLevel="0" collapsed="false">
      <c r="A2670" s="38" t="n">
        <v>45365</v>
      </c>
      <c r="B2670" s="39" t="n">
        <v>1610</v>
      </c>
      <c r="C2670" s="40" t="n">
        <v>74571030.05</v>
      </c>
      <c r="D2670" s="40" t="n">
        <f aca="false">MAX(D2669,C2670)</f>
        <v>111220847.9</v>
      </c>
      <c r="E2670" s="41" t="n">
        <f aca="false">C2670/D2670-1</f>
        <v>-0.329522913572393</v>
      </c>
      <c r="F2670" s="42" t="n">
        <f aca="false">YEAR(A2670)</f>
        <v>2024</v>
      </c>
    </row>
    <row r="2671" customFormat="false" ht="15" hidden="false" customHeight="false" outlineLevel="0" collapsed="false">
      <c r="A2671" s="38" t="n">
        <v>45366</v>
      </c>
      <c r="B2671" s="39" t="n">
        <v>1577</v>
      </c>
      <c r="C2671" s="40" t="n">
        <v>74571030.05</v>
      </c>
      <c r="D2671" s="40" t="n">
        <f aca="false">MAX(D2670,C2671)</f>
        <v>111220847.9</v>
      </c>
      <c r="E2671" s="41" t="n">
        <f aca="false">C2671/D2671-1</f>
        <v>-0.329522913572393</v>
      </c>
      <c r="F2671" s="42" t="n">
        <f aca="false">YEAR(A2671)</f>
        <v>2024</v>
      </c>
    </row>
    <row r="2672" customFormat="false" ht="15" hidden="false" customHeight="false" outlineLevel="0" collapsed="false">
      <c r="A2672" s="38" t="n">
        <v>45369</v>
      </c>
      <c r="B2672" s="39" t="n">
        <v>1603</v>
      </c>
      <c r="C2672" s="40" t="n">
        <v>74571030.05</v>
      </c>
      <c r="D2672" s="40" t="n">
        <f aca="false">MAX(D2671,C2672)</f>
        <v>111220847.9</v>
      </c>
      <c r="E2672" s="41" t="n">
        <f aca="false">C2672/D2672-1</f>
        <v>-0.329522913572393</v>
      </c>
      <c r="F2672" s="42" t="n">
        <f aca="false">YEAR(A2672)</f>
        <v>2024</v>
      </c>
    </row>
    <row r="2673" customFormat="false" ht="15" hidden="false" customHeight="false" outlineLevel="0" collapsed="false">
      <c r="A2673" s="38" t="n">
        <v>45370</v>
      </c>
      <c r="B2673" s="39" t="n">
        <v>1642.5</v>
      </c>
      <c r="C2673" s="40" t="n">
        <v>74571030.05</v>
      </c>
      <c r="D2673" s="40" t="n">
        <f aca="false">MAX(D2672,C2673)</f>
        <v>111220847.9</v>
      </c>
      <c r="E2673" s="41" t="n">
        <f aca="false">C2673/D2673-1</f>
        <v>-0.329522913572393</v>
      </c>
      <c r="F2673" s="42" t="n">
        <f aca="false">YEAR(A2673)</f>
        <v>2024</v>
      </c>
    </row>
    <row r="2674" customFormat="false" ht="15" hidden="false" customHeight="false" outlineLevel="0" collapsed="false">
      <c r="A2674" s="38" t="n">
        <v>45371</v>
      </c>
      <c r="B2674" s="39" t="n">
        <v>1646.5</v>
      </c>
      <c r="C2674" s="40" t="n">
        <v>74571030.05</v>
      </c>
      <c r="D2674" s="40" t="n">
        <f aca="false">MAX(D2673,C2674)</f>
        <v>111220847.9</v>
      </c>
      <c r="E2674" s="41" t="n">
        <f aca="false">C2674/D2674-1</f>
        <v>-0.329522913572393</v>
      </c>
      <c r="F2674" s="42" t="n">
        <f aca="false">YEAR(A2674)</f>
        <v>2024</v>
      </c>
    </row>
    <row r="2675" customFormat="false" ht="15" hidden="false" customHeight="false" outlineLevel="0" collapsed="false">
      <c r="A2675" s="38" t="n">
        <v>45372</v>
      </c>
      <c r="B2675" s="39" t="n">
        <v>1664.5</v>
      </c>
      <c r="C2675" s="40" t="n">
        <v>74571030.05</v>
      </c>
      <c r="D2675" s="40" t="n">
        <f aca="false">MAX(D2674,C2675)</f>
        <v>111220847.9</v>
      </c>
      <c r="E2675" s="41" t="n">
        <f aca="false">C2675/D2675-1</f>
        <v>-0.329522913572393</v>
      </c>
      <c r="F2675" s="42" t="n">
        <f aca="false">YEAR(A2675)</f>
        <v>2024</v>
      </c>
    </row>
    <row r="2676" customFormat="false" ht="15" hidden="false" customHeight="false" outlineLevel="0" collapsed="false">
      <c r="A2676" s="38" t="n">
        <v>45373</v>
      </c>
      <c r="B2676" s="39" t="n">
        <v>1671.5</v>
      </c>
      <c r="C2676" s="40" t="n">
        <v>74571030.05</v>
      </c>
      <c r="D2676" s="40" t="n">
        <f aca="false">MAX(D2675,C2676)</f>
        <v>111220847.9</v>
      </c>
      <c r="E2676" s="41" t="n">
        <f aca="false">C2676/D2676-1</f>
        <v>-0.329522913572393</v>
      </c>
      <c r="F2676" s="42" t="n">
        <f aca="false">YEAR(A2676)</f>
        <v>2024</v>
      </c>
    </row>
    <row r="2677" customFormat="false" ht="15" hidden="false" customHeight="false" outlineLevel="0" collapsed="false">
      <c r="A2677" s="38" t="n">
        <v>45376</v>
      </c>
      <c r="B2677" s="39" t="n">
        <v>1661</v>
      </c>
      <c r="C2677" s="40" t="n">
        <v>74571030.05</v>
      </c>
      <c r="D2677" s="40" t="n">
        <f aca="false">MAX(D2676,C2677)</f>
        <v>111220847.9</v>
      </c>
      <c r="E2677" s="41" t="n">
        <f aca="false">C2677/D2677-1</f>
        <v>-0.329522913572393</v>
      </c>
      <c r="F2677" s="42" t="n">
        <f aca="false">YEAR(A2677)</f>
        <v>2024</v>
      </c>
    </row>
    <row r="2678" customFormat="false" ht="15" hidden="false" customHeight="false" outlineLevel="0" collapsed="false">
      <c r="A2678" s="38" t="n">
        <v>45377</v>
      </c>
      <c r="B2678" s="39" t="n">
        <v>1623.5</v>
      </c>
      <c r="C2678" s="40" t="n">
        <v>74571030.05</v>
      </c>
      <c r="D2678" s="40" t="n">
        <f aca="false">MAX(D2677,C2678)</f>
        <v>111220847.9</v>
      </c>
      <c r="E2678" s="41" t="n">
        <f aca="false">C2678/D2678-1</f>
        <v>-0.329522913572393</v>
      </c>
      <c r="F2678" s="42" t="n">
        <f aca="false">YEAR(A2678)</f>
        <v>2024</v>
      </c>
    </row>
    <row r="2679" customFormat="false" ht="15" hidden="false" customHeight="false" outlineLevel="0" collapsed="false">
      <c r="A2679" s="38" t="n">
        <v>45378</v>
      </c>
      <c r="B2679" s="39" t="n">
        <v>1584.5</v>
      </c>
      <c r="C2679" s="40" t="n">
        <v>74571030.05</v>
      </c>
      <c r="D2679" s="40" t="n">
        <f aca="false">MAX(D2678,C2679)</f>
        <v>111220847.9</v>
      </c>
      <c r="E2679" s="41" t="n">
        <f aca="false">C2679/D2679-1</f>
        <v>-0.329522913572393</v>
      </c>
      <c r="F2679" s="42" t="n">
        <f aca="false">YEAR(A2679)</f>
        <v>2024</v>
      </c>
    </row>
    <row r="2680" customFormat="false" ht="15" hidden="false" customHeight="false" outlineLevel="0" collapsed="false">
      <c r="A2680" s="38" t="n">
        <v>45379</v>
      </c>
      <c r="B2680" s="39" t="n">
        <v>1584</v>
      </c>
      <c r="C2680" s="40" t="n">
        <v>74571030.05</v>
      </c>
      <c r="D2680" s="40" t="n">
        <f aca="false">MAX(D2679,C2680)</f>
        <v>111220847.9</v>
      </c>
      <c r="E2680" s="41" t="n">
        <f aca="false">C2680/D2680-1</f>
        <v>-0.329522913572393</v>
      </c>
      <c r="F2680" s="42" t="n">
        <f aca="false">YEAR(A2680)</f>
        <v>2024</v>
      </c>
    </row>
    <row r="2681" customFormat="false" ht="15" hidden="false" customHeight="false" outlineLevel="0" collapsed="false">
      <c r="A2681" s="38" t="n">
        <v>45380</v>
      </c>
      <c r="B2681" s="39" t="n">
        <v>1507</v>
      </c>
      <c r="C2681" s="40" t="n">
        <v>88234213.85</v>
      </c>
      <c r="D2681" s="40" t="n">
        <f aca="false">MAX(D2680,C2681)</f>
        <v>111220847.9</v>
      </c>
      <c r="E2681" s="41" t="n">
        <f aca="false">C2681/D2681-1</f>
        <v>-0.206675587212458</v>
      </c>
      <c r="F2681" s="42" t="n">
        <f aca="false">YEAR(A2681)</f>
        <v>2024</v>
      </c>
    </row>
    <row r="2682" customFormat="false" ht="15" hidden="false" customHeight="false" outlineLevel="0" collapsed="false">
      <c r="A2682" s="38" t="n">
        <v>45383</v>
      </c>
      <c r="B2682" s="39" t="n">
        <v>1506</v>
      </c>
      <c r="C2682" s="40" t="n">
        <v>88431253.85</v>
      </c>
      <c r="D2682" s="40" t="n">
        <f aca="false">MAX(D2681,C2682)</f>
        <v>111220847.9</v>
      </c>
      <c r="E2682" s="41" t="n">
        <f aca="false">C2682/D2682-1</f>
        <v>-0.20490397690989</v>
      </c>
      <c r="F2682" s="42" t="n">
        <f aca="false">YEAR(A2682)</f>
        <v>2024</v>
      </c>
    </row>
    <row r="2683" customFormat="false" ht="15" hidden="false" customHeight="false" outlineLevel="0" collapsed="false">
      <c r="A2683" s="38" t="n">
        <v>45384</v>
      </c>
      <c r="B2683" s="39" t="n">
        <v>1483</v>
      </c>
      <c r="C2683" s="40" t="n">
        <v>92963173.85</v>
      </c>
      <c r="D2683" s="40" t="n">
        <f aca="false">MAX(D2682,C2683)</f>
        <v>111220847.9</v>
      </c>
      <c r="E2683" s="41" t="n">
        <f aca="false">C2683/D2683-1</f>
        <v>-0.164156939950824</v>
      </c>
      <c r="F2683" s="42" t="n">
        <f aca="false">YEAR(A2683)</f>
        <v>2024</v>
      </c>
    </row>
    <row r="2684" customFormat="false" ht="15" hidden="false" customHeight="false" outlineLevel="0" collapsed="false">
      <c r="A2684" s="38" t="n">
        <v>45385</v>
      </c>
      <c r="B2684" s="39" t="n">
        <v>1500.5</v>
      </c>
      <c r="C2684" s="40" t="n">
        <v>89514973.85</v>
      </c>
      <c r="D2684" s="40" t="n">
        <f aca="false">MAX(D2683,C2684)</f>
        <v>111220847.9</v>
      </c>
      <c r="E2684" s="41" t="n">
        <f aca="false">C2684/D2684-1</f>
        <v>-0.195160120245766</v>
      </c>
      <c r="F2684" s="42" t="n">
        <f aca="false">YEAR(A2684)</f>
        <v>2024</v>
      </c>
    </row>
    <row r="2685" customFormat="false" ht="15" hidden="false" customHeight="false" outlineLevel="0" collapsed="false">
      <c r="A2685" s="38" t="n">
        <v>45390</v>
      </c>
      <c r="B2685" s="39" t="n">
        <v>1529.5</v>
      </c>
      <c r="C2685" s="40" t="n">
        <v>83800813.85</v>
      </c>
      <c r="D2685" s="40" t="n">
        <f aca="false">MAX(D2684,C2685)</f>
        <v>111220847.9</v>
      </c>
      <c r="E2685" s="41" t="n">
        <f aca="false">C2685/D2685-1</f>
        <v>-0.246536819020241</v>
      </c>
      <c r="F2685" s="42" t="n">
        <f aca="false">YEAR(A2685)</f>
        <v>2024</v>
      </c>
    </row>
    <row r="2686" customFormat="false" ht="15" hidden="false" customHeight="false" outlineLevel="0" collapsed="false">
      <c r="A2686" s="38" t="n">
        <v>45391</v>
      </c>
      <c r="B2686" s="39" t="n">
        <v>1566.5</v>
      </c>
      <c r="C2686" s="40" t="n">
        <v>76510333.85</v>
      </c>
      <c r="D2686" s="40" t="n">
        <f aca="false">MAX(D2685,C2686)</f>
        <v>111220847.9</v>
      </c>
      <c r="E2686" s="41" t="n">
        <f aca="false">C2686/D2686-1</f>
        <v>-0.31208640021526</v>
      </c>
      <c r="F2686" s="42" t="n">
        <f aca="false">YEAR(A2686)</f>
        <v>2024</v>
      </c>
    </row>
    <row r="2687" customFormat="false" ht="15" hidden="false" customHeight="false" outlineLevel="0" collapsed="false">
      <c r="A2687" s="38" t="n">
        <v>45392</v>
      </c>
      <c r="B2687" s="39" t="n">
        <v>1566.5</v>
      </c>
      <c r="C2687" s="40" t="n">
        <v>76510333.85</v>
      </c>
      <c r="D2687" s="40" t="n">
        <f aca="false">MAX(D2686,C2687)</f>
        <v>111220847.9</v>
      </c>
      <c r="E2687" s="41" t="n">
        <f aca="false">C2687/D2687-1</f>
        <v>-0.31208640021526</v>
      </c>
      <c r="F2687" s="42" t="n">
        <f aca="false">YEAR(A2687)</f>
        <v>2024</v>
      </c>
    </row>
    <row r="2688" customFormat="false" ht="15" hidden="false" customHeight="false" outlineLevel="0" collapsed="false">
      <c r="A2688" s="38" t="n">
        <v>45393</v>
      </c>
      <c r="B2688" s="39" t="n">
        <v>1619.5</v>
      </c>
      <c r="C2688" s="40" t="n">
        <v>66067213.85</v>
      </c>
      <c r="D2688" s="40" t="n">
        <f aca="false">MAX(D2687,C2688)</f>
        <v>111220847.9</v>
      </c>
      <c r="E2688" s="41" t="n">
        <f aca="false">C2688/D2688-1</f>
        <v>-0.40598174625137</v>
      </c>
      <c r="F2688" s="42" t="n">
        <f aca="false">YEAR(A2688)</f>
        <v>2024</v>
      </c>
    </row>
    <row r="2689" customFormat="false" ht="15" hidden="false" customHeight="false" outlineLevel="0" collapsed="false">
      <c r="A2689" s="38" t="n">
        <v>45394</v>
      </c>
      <c r="B2689" s="39" t="n">
        <v>1680</v>
      </c>
      <c r="C2689" s="40" t="n">
        <v>54146293.85</v>
      </c>
      <c r="D2689" s="40" t="n">
        <f aca="false">MAX(D2688,C2689)</f>
        <v>111220847.9</v>
      </c>
      <c r="E2689" s="41" t="n">
        <f aca="false">C2689/D2689-1</f>
        <v>-0.51316416955674</v>
      </c>
      <c r="F2689" s="42" t="n">
        <f aca="false">YEAR(A2689)</f>
        <v>2024</v>
      </c>
    </row>
    <row r="2690" customFormat="false" ht="15" hidden="false" customHeight="false" outlineLevel="0" collapsed="false">
      <c r="A2690" s="38" t="n">
        <v>45397</v>
      </c>
      <c r="B2690" s="39" t="n">
        <v>1712</v>
      </c>
      <c r="C2690" s="40" t="n">
        <v>47841013.85</v>
      </c>
      <c r="D2690" s="40" t="n">
        <f aca="false">MAX(D2689,C2690)</f>
        <v>111220847.9</v>
      </c>
      <c r="E2690" s="41" t="n">
        <f aca="false">C2690/D2690-1</f>
        <v>-0.569855699238919</v>
      </c>
      <c r="F2690" s="42" t="n">
        <f aca="false">YEAR(A2690)</f>
        <v>2024</v>
      </c>
    </row>
    <row r="2691" customFormat="false" ht="15" hidden="false" customHeight="false" outlineLevel="0" collapsed="false">
      <c r="A2691" s="38" t="n">
        <v>45398</v>
      </c>
      <c r="B2691" s="39" t="n">
        <v>1719.5</v>
      </c>
      <c r="C2691" s="40" t="n">
        <v>47216068.65</v>
      </c>
      <c r="D2691" s="40" t="n">
        <f aca="false">MAX(D2690,C2691)</f>
        <v>111220847.9</v>
      </c>
      <c r="E2691" s="41" t="n">
        <f aca="false">C2691/D2691-1</f>
        <v>-0.575474656581898</v>
      </c>
      <c r="F2691" s="42" t="n">
        <f aca="false">YEAR(A2691)</f>
        <v>2024</v>
      </c>
    </row>
    <row r="2692" customFormat="false" ht="15" hidden="false" customHeight="false" outlineLevel="0" collapsed="false">
      <c r="A2692" s="38" t="n">
        <v>45399</v>
      </c>
      <c r="B2692" s="39" t="n">
        <v>1767</v>
      </c>
      <c r="C2692" s="40" t="n">
        <v>47216068.65</v>
      </c>
      <c r="D2692" s="40" t="n">
        <f aca="false">MAX(D2691,C2692)</f>
        <v>111220847.9</v>
      </c>
      <c r="E2692" s="41" t="n">
        <f aca="false">C2692/D2692-1</f>
        <v>-0.575474656581898</v>
      </c>
      <c r="F2692" s="42" t="n">
        <f aca="false">YEAR(A2692)</f>
        <v>2024</v>
      </c>
    </row>
    <row r="2693" customFormat="false" ht="15" hidden="false" customHeight="false" outlineLevel="0" collapsed="false">
      <c r="A2693" s="38" t="n">
        <v>45400</v>
      </c>
      <c r="B2693" s="39" t="n">
        <v>1776.5</v>
      </c>
      <c r="C2693" s="40" t="n">
        <v>47216068.65</v>
      </c>
      <c r="D2693" s="40" t="n">
        <f aca="false">MAX(D2692,C2693)</f>
        <v>111220847.9</v>
      </c>
      <c r="E2693" s="41" t="n">
        <f aca="false">C2693/D2693-1</f>
        <v>-0.575474656581898</v>
      </c>
      <c r="F2693" s="42" t="n">
        <f aca="false">YEAR(A2693)</f>
        <v>2024</v>
      </c>
    </row>
    <row r="2694" customFormat="false" ht="15" hidden="false" customHeight="false" outlineLevel="0" collapsed="false">
      <c r="A2694" s="38" t="n">
        <v>45401</v>
      </c>
      <c r="B2694" s="39" t="n">
        <v>1784</v>
      </c>
      <c r="C2694" s="40" t="n">
        <v>47216068.65</v>
      </c>
      <c r="D2694" s="40" t="n">
        <f aca="false">MAX(D2693,C2694)</f>
        <v>111220847.9</v>
      </c>
      <c r="E2694" s="41" t="n">
        <f aca="false">C2694/D2694-1</f>
        <v>-0.575474656581898</v>
      </c>
      <c r="F2694" s="42" t="n">
        <f aca="false">YEAR(A2694)</f>
        <v>2024</v>
      </c>
    </row>
    <row r="2695" customFormat="false" ht="15" hidden="false" customHeight="false" outlineLevel="0" collapsed="false">
      <c r="A2695" s="38" t="n">
        <v>45404</v>
      </c>
      <c r="B2695" s="39" t="n">
        <v>1771.5</v>
      </c>
      <c r="C2695" s="40" t="n">
        <v>47216068.65</v>
      </c>
      <c r="D2695" s="40" t="n">
        <f aca="false">MAX(D2694,C2695)</f>
        <v>111220847.9</v>
      </c>
      <c r="E2695" s="41" t="n">
        <f aca="false">C2695/D2695-1</f>
        <v>-0.575474656581898</v>
      </c>
      <c r="F2695" s="42" t="n">
        <f aca="false">YEAR(A2695)</f>
        <v>2024</v>
      </c>
    </row>
    <row r="2696" customFormat="false" ht="15" hidden="false" customHeight="false" outlineLevel="0" collapsed="false">
      <c r="A2696" s="38" t="n">
        <v>45405</v>
      </c>
      <c r="B2696" s="39" t="n">
        <v>1718</v>
      </c>
      <c r="C2696" s="40" t="n">
        <v>47216068.65</v>
      </c>
      <c r="D2696" s="40" t="n">
        <f aca="false">MAX(D2695,C2696)</f>
        <v>111220847.9</v>
      </c>
      <c r="E2696" s="41" t="n">
        <f aca="false">C2696/D2696-1</f>
        <v>-0.575474656581898</v>
      </c>
      <c r="F2696" s="42" t="n">
        <f aca="false">YEAR(A2696)</f>
        <v>2024</v>
      </c>
    </row>
    <row r="2697" customFormat="false" ht="15" hidden="false" customHeight="false" outlineLevel="0" collapsed="false">
      <c r="A2697" s="38" t="n">
        <v>45406</v>
      </c>
      <c r="B2697" s="39" t="n">
        <v>1771.5</v>
      </c>
      <c r="C2697" s="40" t="n">
        <v>47216068.65</v>
      </c>
      <c r="D2697" s="40" t="n">
        <f aca="false">MAX(D2696,C2697)</f>
        <v>111220847.9</v>
      </c>
      <c r="E2697" s="41" t="n">
        <f aca="false">C2697/D2697-1</f>
        <v>-0.575474656581898</v>
      </c>
      <c r="F2697" s="42" t="n">
        <f aca="false">YEAR(A2697)</f>
        <v>2024</v>
      </c>
    </row>
    <row r="2698" customFormat="false" ht="15" hidden="false" customHeight="false" outlineLevel="0" collapsed="false">
      <c r="A2698" s="38" t="n">
        <v>45407</v>
      </c>
      <c r="B2698" s="39" t="n">
        <v>1789.5</v>
      </c>
      <c r="C2698" s="40" t="n">
        <v>47216068.65</v>
      </c>
      <c r="D2698" s="40" t="n">
        <f aca="false">MAX(D2697,C2698)</f>
        <v>111220847.9</v>
      </c>
      <c r="E2698" s="41" t="n">
        <f aca="false">C2698/D2698-1</f>
        <v>-0.575474656581898</v>
      </c>
      <c r="F2698" s="42" t="n">
        <f aca="false">YEAR(A2698)</f>
        <v>2024</v>
      </c>
    </row>
    <row r="2699" customFormat="false" ht="15" hidden="false" customHeight="false" outlineLevel="0" collapsed="false">
      <c r="A2699" s="38" t="n">
        <v>45408</v>
      </c>
      <c r="B2699" s="39" t="n">
        <v>1804</v>
      </c>
      <c r="C2699" s="40" t="n">
        <v>47216068.65</v>
      </c>
      <c r="D2699" s="40" t="n">
        <f aca="false">MAX(D2698,C2699)</f>
        <v>111220847.9</v>
      </c>
      <c r="E2699" s="41" t="n">
        <f aca="false">C2699/D2699-1</f>
        <v>-0.575474656581898</v>
      </c>
      <c r="F2699" s="42" t="n">
        <f aca="false">YEAR(A2699)</f>
        <v>2024</v>
      </c>
    </row>
    <row r="2700" customFormat="false" ht="15" hidden="false" customHeight="false" outlineLevel="0" collapsed="false">
      <c r="A2700" s="38" t="n">
        <v>45411</v>
      </c>
      <c r="B2700" s="39" t="n">
        <v>1798</v>
      </c>
      <c r="C2700" s="40" t="n">
        <v>47216068.65</v>
      </c>
      <c r="D2700" s="40" t="n">
        <f aca="false">MAX(D2699,C2700)</f>
        <v>111220847.9</v>
      </c>
      <c r="E2700" s="41" t="n">
        <f aca="false">C2700/D2700-1</f>
        <v>-0.575474656581898</v>
      </c>
      <c r="F2700" s="42" t="n">
        <f aca="false">YEAR(A2700)</f>
        <v>2024</v>
      </c>
    </row>
    <row r="2701" customFormat="false" ht="15" hidden="false" customHeight="false" outlineLevel="0" collapsed="false">
      <c r="A2701" s="38" t="n">
        <v>45412</v>
      </c>
      <c r="B2701" s="39" t="n">
        <v>1797.5</v>
      </c>
      <c r="C2701" s="40" t="n">
        <v>47216068.65</v>
      </c>
      <c r="D2701" s="40" t="n">
        <f aca="false">MAX(D2700,C2701)</f>
        <v>111220847.9</v>
      </c>
      <c r="E2701" s="41" t="n">
        <f aca="false">C2701/D2701-1</f>
        <v>-0.575474656581898</v>
      </c>
      <c r="F2701" s="42" t="n">
        <f aca="false">YEAR(A2701)</f>
        <v>2024</v>
      </c>
    </row>
    <row r="2702" customFormat="false" ht="15" hidden="false" customHeight="false" outlineLevel="0" collapsed="false">
      <c r="A2702" s="38" t="n">
        <v>45418</v>
      </c>
      <c r="B2702" s="39" t="n">
        <v>1866.5</v>
      </c>
      <c r="C2702" s="40" t="n">
        <v>47216068.65</v>
      </c>
      <c r="D2702" s="40" t="n">
        <f aca="false">MAX(D2701,C2702)</f>
        <v>111220847.9</v>
      </c>
      <c r="E2702" s="41" t="n">
        <f aca="false">C2702/D2702-1</f>
        <v>-0.575474656581898</v>
      </c>
      <c r="F2702" s="42" t="n">
        <f aca="false">YEAR(A2702)</f>
        <v>2024</v>
      </c>
    </row>
    <row r="2703" customFormat="false" ht="15" hidden="false" customHeight="false" outlineLevel="0" collapsed="false">
      <c r="A2703" s="38" t="n">
        <v>45419</v>
      </c>
      <c r="B2703" s="39" t="n">
        <v>1847.5</v>
      </c>
      <c r="C2703" s="40" t="n">
        <v>47216068.65</v>
      </c>
      <c r="D2703" s="40" t="n">
        <f aca="false">MAX(D2702,C2703)</f>
        <v>111220847.9</v>
      </c>
      <c r="E2703" s="41" t="n">
        <f aca="false">C2703/D2703-1</f>
        <v>-0.575474656581898</v>
      </c>
      <c r="F2703" s="42" t="n">
        <f aca="false">YEAR(A2703)</f>
        <v>2024</v>
      </c>
    </row>
    <row r="2704" customFormat="false" ht="15" hidden="false" customHeight="false" outlineLevel="0" collapsed="false">
      <c r="A2704" s="38" t="n">
        <v>45420</v>
      </c>
      <c r="B2704" s="39" t="n">
        <v>1776</v>
      </c>
      <c r="C2704" s="40" t="n">
        <v>47216068.65</v>
      </c>
      <c r="D2704" s="40" t="n">
        <f aca="false">MAX(D2703,C2704)</f>
        <v>111220847.9</v>
      </c>
      <c r="E2704" s="41" t="n">
        <f aca="false">C2704/D2704-1</f>
        <v>-0.575474656581898</v>
      </c>
      <c r="F2704" s="42" t="n">
        <f aca="false">YEAR(A2704)</f>
        <v>2024</v>
      </c>
    </row>
    <row r="2705" customFormat="false" ht="15" hidden="false" customHeight="false" outlineLevel="0" collapsed="false">
      <c r="A2705" s="38" t="n">
        <v>45421</v>
      </c>
      <c r="B2705" s="39" t="n">
        <v>1767.5</v>
      </c>
      <c r="C2705" s="40" t="n">
        <v>47216068.65</v>
      </c>
      <c r="D2705" s="40" t="n">
        <f aca="false">MAX(D2704,C2705)</f>
        <v>111220847.9</v>
      </c>
      <c r="E2705" s="41" t="n">
        <f aca="false">C2705/D2705-1</f>
        <v>-0.575474656581898</v>
      </c>
      <c r="F2705" s="42" t="n">
        <f aca="false">YEAR(A2705)</f>
        <v>2024</v>
      </c>
    </row>
    <row r="2706" customFormat="false" ht="15" hidden="false" customHeight="false" outlineLevel="0" collapsed="false">
      <c r="A2706" s="38" t="n">
        <v>45422</v>
      </c>
      <c r="B2706" s="39" t="n">
        <v>1750.5</v>
      </c>
      <c r="C2706" s="40" t="n">
        <v>47216068.65</v>
      </c>
      <c r="D2706" s="40" t="n">
        <f aca="false">MAX(D2705,C2706)</f>
        <v>111220847.9</v>
      </c>
      <c r="E2706" s="41" t="n">
        <f aca="false">C2706/D2706-1</f>
        <v>-0.575474656581898</v>
      </c>
      <c r="F2706" s="42" t="n">
        <f aca="false">YEAR(A2706)</f>
        <v>2024</v>
      </c>
    </row>
    <row r="2707" customFormat="false" ht="15" hidden="false" customHeight="false" outlineLevel="0" collapsed="false">
      <c r="A2707" s="38" t="n">
        <v>45425</v>
      </c>
      <c r="B2707" s="39" t="n">
        <v>1732.5</v>
      </c>
      <c r="C2707" s="40" t="n">
        <v>47216068.65</v>
      </c>
      <c r="D2707" s="40" t="n">
        <f aca="false">MAX(D2706,C2707)</f>
        <v>111220847.9</v>
      </c>
      <c r="E2707" s="41" t="n">
        <f aca="false">C2707/D2707-1</f>
        <v>-0.575474656581898</v>
      </c>
      <c r="F2707" s="42" t="n">
        <f aca="false">YEAR(A2707)</f>
        <v>2024</v>
      </c>
    </row>
    <row r="2708" customFormat="false" ht="15" hidden="false" customHeight="false" outlineLevel="0" collapsed="false">
      <c r="A2708" s="38" t="n">
        <v>45426</v>
      </c>
      <c r="B2708" s="39" t="n">
        <v>1664</v>
      </c>
      <c r="C2708" s="40" t="n">
        <v>47216068.65</v>
      </c>
      <c r="D2708" s="40" t="n">
        <f aca="false">MAX(D2707,C2708)</f>
        <v>111220847.9</v>
      </c>
      <c r="E2708" s="41" t="n">
        <f aca="false">C2708/D2708-1</f>
        <v>-0.575474656581898</v>
      </c>
      <c r="F2708" s="42" t="n">
        <f aca="false">YEAR(A2708)</f>
        <v>2024</v>
      </c>
    </row>
    <row r="2709" customFormat="false" ht="15" hidden="false" customHeight="false" outlineLevel="0" collapsed="false">
      <c r="A2709" s="38" t="n">
        <v>45427</v>
      </c>
      <c r="B2709" s="39" t="n">
        <v>1665.5</v>
      </c>
      <c r="C2709" s="40" t="n">
        <v>47216068.65</v>
      </c>
      <c r="D2709" s="40" t="n">
        <f aca="false">MAX(D2708,C2709)</f>
        <v>111220847.9</v>
      </c>
      <c r="E2709" s="41" t="n">
        <f aca="false">C2709/D2709-1</f>
        <v>-0.575474656581898</v>
      </c>
      <c r="F2709" s="42" t="n">
        <f aca="false">YEAR(A2709)</f>
        <v>2024</v>
      </c>
    </row>
    <row r="2710" customFormat="false" ht="15" hidden="false" customHeight="false" outlineLevel="0" collapsed="false">
      <c r="A2710" s="38" t="n">
        <v>45428</v>
      </c>
      <c r="B2710" s="39" t="n">
        <v>1723.5</v>
      </c>
      <c r="C2710" s="40" t="n">
        <v>47216068.65</v>
      </c>
      <c r="D2710" s="40" t="n">
        <f aca="false">MAX(D2709,C2710)</f>
        <v>111220847.9</v>
      </c>
      <c r="E2710" s="41" t="n">
        <f aca="false">C2710/D2710-1</f>
        <v>-0.575474656581898</v>
      </c>
      <c r="F2710" s="42" t="n">
        <f aca="false">YEAR(A2710)</f>
        <v>2024</v>
      </c>
    </row>
    <row r="2711" customFormat="false" ht="15" hidden="false" customHeight="false" outlineLevel="0" collapsed="false">
      <c r="A2711" s="38" t="n">
        <v>45429</v>
      </c>
      <c r="B2711" s="39" t="n">
        <v>1728</v>
      </c>
      <c r="C2711" s="40" t="n">
        <v>47216068.65</v>
      </c>
      <c r="D2711" s="40" t="n">
        <f aca="false">MAX(D2710,C2711)</f>
        <v>111220847.9</v>
      </c>
      <c r="E2711" s="41" t="n">
        <f aca="false">C2711/D2711-1</f>
        <v>-0.575474656581898</v>
      </c>
      <c r="F2711" s="42" t="n">
        <f aca="false">YEAR(A2711)</f>
        <v>2024</v>
      </c>
    </row>
    <row r="2712" customFormat="false" ht="15" hidden="false" customHeight="false" outlineLevel="0" collapsed="false">
      <c r="A2712" s="38" t="n">
        <v>45432</v>
      </c>
      <c r="B2712" s="39" t="n">
        <v>1748</v>
      </c>
      <c r="C2712" s="40" t="n">
        <v>47216068.65</v>
      </c>
      <c r="D2712" s="40" t="n">
        <f aca="false">MAX(D2711,C2712)</f>
        <v>111220847.9</v>
      </c>
      <c r="E2712" s="41" t="n">
        <f aca="false">C2712/D2712-1</f>
        <v>-0.575474656581898</v>
      </c>
      <c r="F2712" s="42" t="n">
        <f aca="false">YEAR(A2712)</f>
        <v>2024</v>
      </c>
    </row>
    <row r="2713" customFormat="false" ht="15" hidden="false" customHeight="false" outlineLevel="0" collapsed="false">
      <c r="A2713" s="38" t="n">
        <v>45433</v>
      </c>
      <c r="B2713" s="39" t="n">
        <v>1742</v>
      </c>
      <c r="C2713" s="40" t="n">
        <v>47216068.65</v>
      </c>
      <c r="D2713" s="40" t="n">
        <f aca="false">MAX(D2712,C2713)</f>
        <v>111220847.9</v>
      </c>
      <c r="E2713" s="41" t="n">
        <f aca="false">C2713/D2713-1</f>
        <v>-0.575474656581898</v>
      </c>
      <c r="F2713" s="42" t="n">
        <f aca="false">YEAR(A2713)</f>
        <v>2024</v>
      </c>
    </row>
    <row r="2714" customFormat="false" ht="15" hidden="false" customHeight="false" outlineLevel="0" collapsed="false">
      <c r="A2714" s="38" t="n">
        <v>45434</v>
      </c>
      <c r="B2714" s="39" t="n">
        <v>1805.5</v>
      </c>
      <c r="C2714" s="40" t="n">
        <v>47216068.65</v>
      </c>
      <c r="D2714" s="40" t="n">
        <f aca="false">MAX(D2713,C2714)</f>
        <v>111220847.9</v>
      </c>
      <c r="E2714" s="41" t="n">
        <f aca="false">C2714/D2714-1</f>
        <v>-0.575474656581898</v>
      </c>
      <c r="F2714" s="42" t="n">
        <f aca="false">YEAR(A2714)</f>
        <v>2024</v>
      </c>
    </row>
    <row r="2715" customFormat="false" ht="15" hidden="false" customHeight="false" outlineLevel="0" collapsed="false">
      <c r="A2715" s="38" t="n">
        <v>45435</v>
      </c>
      <c r="B2715" s="39" t="n">
        <v>1791.5</v>
      </c>
      <c r="C2715" s="40" t="n">
        <v>47216068.65</v>
      </c>
      <c r="D2715" s="40" t="n">
        <f aca="false">MAX(D2714,C2715)</f>
        <v>111220847.9</v>
      </c>
      <c r="E2715" s="41" t="n">
        <f aca="false">C2715/D2715-1</f>
        <v>-0.575474656581898</v>
      </c>
      <c r="F2715" s="42" t="n">
        <f aca="false">YEAR(A2715)</f>
        <v>2024</v>
      </c>
    </row>
    <row r="2716" customFormat="false" ht="15" hidden="false" customHeight="false" outlineLevel="0" collapsed="false">
      <c r="A2716" s="38" t="n">
        <v>45436</v>
      </c>
      <c r="B2716" s="39" t="n">
        <v>1820</v>
      </c>
      <c r="C2716" s="40" t="n">
        <v>47216068.65</v>
      </c>
      <c r="D2716" s="40" t="n">
        <f aca="false">MAX(D2715,C2716)</f>
        <v>111220847.9</v>
      </c>
      <c r="E2716" s="41" t="n">
        <f aca="false">C2716/D2716-1</f>
        <v>-0.575474656581898</v>
      </c>
      <c r="F2716" s="42" t="n">
        <f aca="false">YEAR(A2716)</f>
        <v>2024</v>
      </c>
    </row>
    <row r="2717" customFormat="false" ht="15" hidden="false" customHeight="false" outlineLevel="0" collapsed="false">
      <c r="A2717" s="38" t="n">
        <v>45439</v>
      </c>
      <c r="B2717" s="39" t="n">
        <v>1758</v>
      </c>
      <c r="C2717" s="40" t="n">
        <v>47216068.65</v>
      </c>
      <c r="D2717" s="40" t="n">
        <f aca="false">MAX(D2716,C2717)</f>
        <v>111220847.9</v>
      </c>
      <c r="E2717" s="41" t="n">
        <f aca="false">C2717/D2717-1</f>
        <v>-0.575474656581898</v>
      </c>
      <c r="F2717" s="42" t="n">
        <f aca="false">YEAR(A2717)</f>
        <v>2024</v>
      </c>
    </row>
    <row r="2718" customFormat="false" ht="15" hidden="false" customHeight="false" outlineLevel="0" collapsed="false">
      <c r="A2718" s="38" t="n">
        <v>45440</v>
      </c>
      <c r="B2718" s="39" t="n">
        <v>1711</v>
      </c>
      <c r="C2718" s="40" t="n">
        <v>47216068.65</v>
      </c>
      <c r="D2718" s="40" t="n">
        <f aca="false">MAX(D2717,C2718)</f>
        <v>111220847.9</v>
      </c>
      <c r="E2718" s="41" t="n">
        <f aca="false">C2718/D2718-1</f>
        <v>-0.575474656581898</v>
      </c>
      <c r="F2718" s="42" t="n">
        <f aca="false">YEAR(A2718)</f>
        <v>2024</v>
      </c>
    </row>
    <row r="2719" customFormat="false" ht="15" hidden="false" customHeight="false" outlineLevel="0" collapsed="false">
      <c r="A2719" s="38" t="n">
        <v>45441</v>
      </c>
      <c r="B2719" s="39" t="n">
        <v>1735</v>
      </c>
      <c r="C2719" s="40" t="n">
        <v>45250221.91</v>
      </c>
      <c r="D2719" s="40" t="n">
        <f aca="false">MAX(D2718,C2719)</f>
        <v>111220847.9</v>
      </c>
      <c r="E2719" s="41" t="n">
        <f aca="false">C2719/D2719-1</f>
        <v>-0.593149820700117</v>
      </c>
      <c r="F2719" s="42" t="n">
        <f aca="false">YEAR(A2719)</f>
        <v>2024</v>
      </c>
    </row>
    <row r="2720" customFormat="false" ht="15" hidden="false" customHeight="false" outlineLevel="0" collapsed="false">
      <c r="A2720" s="38" t="n">
        <v>45442</v>
      </c>
      <c r="B2720" s="39" t="n">
        <v>1689</v>
      </c>
      <c r="C2720" s="40" t="n">
        <v>50516301.91</v>
      </c>
      <c r="D2720" s="40" t="n">
        <f aca="false">MAX(D2719,C2720)</f>
        <v>111220847.9</v>
      </c>
      <c r="E2720" s="41" t="n">
        <f aca="false">C2720/D2720-1</f>
        <v>-0.545801863015648</v>
      </c>
      <c r="F2720" s="42" t="n">
        <f aca="false">YEAR(A2720)</f>
        <v>2024</v>
      </c>
    </row>
    <row r="2721" customFormat="false" ht="15" hidden="false" customHeight="false" outlineLevel="0" collapsed="false">
      <c r="A2721" s="38" t="n">
        <v>45443</v>
      </c>
      <c r="B2721" s="39" t="n">
        <v>1680.5</v>
      </c>
      <c r="C2721" s="40" t="n">
        <v>51489381.91</v>
      </c>
      <c r="D2721" s="40" t="n">
        <f aca="false">MAX(D2720,C2721)</f>
        <v>111220847.9</v>
      </c>
      <c r="E2721" s="41" t="n">
        <f aca="false">C2721/D2721-1</f>
        <v>-0.5370527838783</v>
      </c>
      <c r="F2721" s="42" t="n">
        <f aca="false">YEAR(A2721)</f>
        <v>2024</v>
      </c>
    </row>
    <row r="2722" customFormat="false" ht="15" hidden="false" customHeight="false" outlineLevel="0" collapsed="false">
      <c r="A2722" s="38" t="n">
        <v>45446</v>
      </c>
      <c r="B2722" s="39" t="n">
        <v>1706</v>
      </c>
      <c r="C2722" s="40" t="n">
        <v>48570141.91</v>
      </c>
      <c r="D2722" s="40" t="n">
        <f aca="false">MAX(D2721,C2722)</f>
        <v>111220847.9</v>
      </c>
      <c r="E2722" s="41" t="n">
        <f aca="false">C2722/D2722-1</f>
        <v>-0.563300021290343</v>
      </c>
      <c r="F2722" s="42" t="n">
        <f aca="false">YEAR(A2722)</f>
        <v>2024</v>
      </c>
    </row>
    <row r="2723" customFormat="false" ht="15" hidden="false" customHeight="false" outlineLevel="0" collapsed="false">
      <c r="A2723" s="38" t="n">
        <v>45447</v>
      </c>
      <c r="B2723" s="39" t="n">
        <v>1682</v>
      </c>
      <c r="C2723" s="40" t="n">
        <v>51317661.91</v>
      </c>
      <c r="D2723" s="40" t="n">
        <f aca="false">MAX(D2722,C2723)</f>
        <v>111220847.9</v>
      </c>
      <c r="E2723" s="41" t="n">
        <f aca="false">C2723/D2723-1</f>
        <v>-0.538596739020185</v>
      </c>
      <c r="F2723" s="42" t="n">
        <f aca="false">YEAR(A2723)</f>
        <v>2024</v>
      </c>
    </row>
    <row r="2724" customFormat="false" ht="15" hidden="false" customHeight="false" outlineLevel="0" collapsed="false">
      <c r="A2724" s="38" t="n">
        <v>45448</v>
      </c>
      <c r="B2724" s="39" t="n">
        <v>1663</v>
      </c>
      <c r="C2724" s="40" t="n">
        <v>53492781.91</v>
      </c>
      <c r="D2724" s="40" t="n">
        <f aca="false">MAX(D2723,C2724)</f>
        <v>111220847.9</v>
      </c>
      <c r="E2724" s="41" t="n">
        <f aca="false">C2724/D2724-1</f>
        <v>-0.519039973889643</v>
      </c>
      <c r="F2724" s="42" t="n">
        <f aca="false">YEAR(A2724)</f>
        <v>2024</v>
      </c>
    </row>
    <row r="2725" customFormat="false" ht="15" hidden="false" customHeight="false" outlineLevel="0" collapsed="false">
      <c r="A2725" s="38" t="n">
        <v>45449</v>
      </c>
      <c r="B2725" s="39" t="n">
        <v>1649</v>
      </c>
      <c r="C2725" s="40" t="n">
        <v>55095501.91</v>
      </c>
      <c r="D2725" s="40" t="n">
        <f aca="false">MAX(D2724,C2725)</f>
        <v>111220847.9</v>
      </c>
      <c r="E2725" s="41" t="n">
        <f aca="false">C2725/D2725-1</f>
        <v>-0.504629725898718</v>
      </c>
      <c r="F2725" s="42" t="n">
        <f aca="false">YEAR(A2725)</f>
        <v>2024</v>
      </c>
    </row>
    <row r="2726" customFormat="false" ht="15" hidden="false" customHeight="false" outlineLevel="0" collapsed="false">
      <c r="A2726" s="38" t="n">
        <v>45450</v>
      </c>
      <c r="B2726" s="39" t="n">
        <v>1648.5</v>
      </c>
      <c r="C2726" s="40" t="n">
        <v>55152741.91</v>
      </c>
      <c r="D2726" s="40" t="n">
        <f aca="false">MAX(D2725,C2726)</f>
        <v>111220847.9</v>
      </c>
      <c r="E2726" s="41" t="n">
        <f aca="false">C2726/D2726-1</f>
        <v>-0.504115074184756</v>
      </c>
      <c r="F2726" s="42" t="n">
        <f aca="false">YEAR(A2726)</f>
        <v>2024</v>
      </c>
    </row>
    <row r="2727" customFormat="false" ht="15" hidden="false" customHeight="false" outlineLevel="0" collapsed="false">
      <c r="A2727" s="38" t="n">
        <v>45454</v>
      </c>
      <c r="B2727" s="39" t="n">
        <v>1614</v>
      </c>
      <c r="C2727" s="40" t="n">
        <v>59102301.91</v>
      </c>
      <c r="D2727" s="40" t="n">
        <f aca="false">MAX(D2726,C2727)</f>
        <v>111220847.9</v>
      </c>
      <c r="E2727" s="41" t="n">
        <f aca="false">C2727/D2727-1</f>
        <v>-0.468604105921404</v>
      </c>
      <c r="F2727" s="42" t="n">
        <f aca="false">YEAR(A2727)</f>
        <v>2024</v>
      </c>
    </row>
    <row r="2728" customFormat="false" ht="15" hidden="false" customHeight="false" outlineLevel="0" collapsed="false">
      <c r="A2728" s="38" t="n">
        <v>45455</v>
      </c>
      <c r="B2728" s="39" t="n">
        <v>1640.5</v>
      </c>
      <c r="C2728" s="40" t="n">
        <v>56068581.91</v>
      </c>
      <c r="D2728" s="40" t="n">
        <f aca="false">MAX(D2727,C2728)</f>
        <v>111220847.9</v>
      </c>
      <c r="E2728" s="41" t="n">
        <f aca="false">C2728/D2728-1</f>
        <v>-0.49588064676137</v>
      </c>
      <c r="F2728" s="42" t="n">
        <f aca="false">YEAR(A2728)</f>
        <v>2024</v>
      </c>
    </row>
    <row r="2729" customFormat="false" ht="15" hidden="false" customHeight="false" outlineLevel="0" collapsed="false">
      <c r="A2729" s="38" t="n">
        <v>45456</v>
      </c>
      <c r="B2729" s="39" t="n">
        <v>1632</v>
      </c>
      <c r="C2729" s="40" t="n">
        <v>57041661.91</v>
      </c>
      <c r="D2729" s="40" t="n">
        <f aca="false">MAX(D2728,C2729)</f>
        <v>111220847.9</v>
      </c>
      <c r="E2729" s="41" t="n">
        <f aca="false">C2729/D2729-1</f>
        <v>-0.487131567624023</v>
      </c>
      <c r="F2729" s="42" t="n">
        <f aca="false">YEAR(A2729)</f>
        <v>2024</v>
      </c>
    </row>
    <row r="2730" customFormat="false" ht="15" hidden="false" customHeight="false" outlineLevel="0" collapsed="false">
      <c r="A2730" s="38" t="n">
        <v>45457</v>
      </c>
      <c r="B2730" s="39" t="n">
        <v>1672.5</v>
      </c>
      <c r="C2730" s="40" t="n">
        <v>52405221.91</v>
      </c>
      <c r="D2730" s="40" t="n">
        <f aca="false">MAX(D2729,C2730)</f>
        <v>111220847.9</v>
      </c>
      <c r="E2730" s="41" t="n">
        <f aca="false">C2730/D2730-1</f>
        <v>-0.528818356454914</v>
      </c>
      <c r="F2730" s="42" t="n">
        <f aca="false">YEAR(A2730)</f>
        <v>2024</v>
      </c>
    </row>
    <row r="2731" customFormat="false" ht="15" hidden="false" customHeight="false" outlineLevel="0" collapsed="false">
      <c r="A2731" s="38" t="n">
        <v>45460</v>
      </c>
      <c r="B2731" s="39" t="n">
        <v>1645</v>
      </c>
      <c r="C2731" s="40" t="n">
        <v>55553421.91</v>
      </c>
      <c r="D2731" s="40" t="n">
        <f aca="false">MAX(D2730,C2731)</f>
        <v>111220847.9</v>
      </c>
      <c r="E2731" s="41" t="n">
        <f aca="false">C2731/D2731-1</f>
        <v>-0.500512512187025</v>
      </c>
      <c r="F2731" s="42" t="n">
        <f aca="false">YEAR(A2731)</f>
        <v>2024</v>
      </c>
    </row>
    <row r="2732" customFormat="false" ht="15" hidden="false" customHeight="false" outlineLevel="0" collapsed="false">
      <c r="A2732" s="38" t="n">
        <v>45461</v>
      </c>
      <c r="B2732" s="39" t="n">
        <v>1630</v>
      </c>
      <c r="C2732" s="40" t="n">
        <v>57270621.91</v>
      </c>
      <c r="D2732" s="40" t="n">
        <f aca="false">MAX(D2731,C2732)</f>
        <v>111220847.9</v>
      </c>
      <c r="E2732" s="41" t="n">
        <f aca="false">C2732/D2732-1</f>
        <v>-0.485072960768176</v>
      </c>
      <c r="F2732" s="42" t="n">
        <f aca="false">YEAR(A2732)</f>
        <v>2024</v>
      </c>
    </row>
    <row r="2733" customFormat="false" ht="15" hidden="false" customHeight="false" outlineLevel="0" collapsed="false">
      <c r="A2733" s="38" t="n">
        <v>45462</v>
      </c>
      <c r="B2733" s="39" t="n">
        <v>1631.5</v>
      </c>
      <c r="C2733" s="40" t="n">
        <v>57098901.91</v>
      </c>
      <c r="D2733" s="40" t="n">
        <f aca="false">MAX(D2732,C2733)</f>
        <v>111220847.9</v>
      </c>
      <c r="E2733" s="41" t="n">
        <f aca="false">C2733/D2733-1</f>
        <v>-0.486616915910061</v>
      </c>
      <c r="F2733" s="42" t="n">
        <f aca="false">YEAR(A2733)</f>
        <v>2024</v>
      </c>
    </row>
    <row r="2734" customFormat="false" ht="15" hidden="false" customHeight="false" outlineLevel="0" collapsed="false">
      <c r="A2734" s="38" t="n">
        <v>45463</v>
      </c>
      <c r="B2734" s="39" t="n">
        <v>1602.5</v>
      </c>
      <c r="C2734" s="40" t="n">
        <v>60418821.91</v>
      </c>
      <c r="D2734" s="40" t="n">
        <f aca="false">MAX(D2733,C2734)</f>
        <v>111220847.9</v>
      </c>
      <c r="E2734" s="41" t="n">
        <f aca="false">C2734/D2734-1</f>
        <v>-0.456767116500287</v>
      </c>
      <c r="F2734" s="42" t="n">
        <f aca="false">YEAR(A2734)</f>
        <v>2024</v>
      </c>
    </row>
    <row r="2735" customFormat="false" ht="15" hidden="false" customHeight="false" outlineLevel="0" collapsed="false">
      <c r="A2735" s="38" t="n">
        <v>45464</v>
      </c>
      <c r="B2735" s="39" t="n">
        <v>1575.5</v>
      </c>
      <c r="C2735" s="40" t="n">
        <v>63509781.91</v>
      </c>
      <c r="D2735" s="40" t="n">
        <f aca="false">MAX(D2734,C2735)</f>
        <v>111220847.9</v>
      </c>
      <c r="E2735" s="41" t="n">
        <f aca="false">C2735/D2735-1</f>
        <v>-0.428975923946359</v>
      </c>
      <c r="F2735" s="42" t="n">
        <f aca="false">YEAR(A2735)</f>
        <v>2024</v>
      </c>
    </row>
    <row r="2736" customFormat="false" ht="15" hidden="false" customHeight="false" outlineLevel="0" collapsed="false">
      <c r="A2736" s="38" t="n">
        <v>45467</v>
      </c>
      <c r="B2736" s="39" t="n">
        <v>1559</v>
      </c>
      <c r="C2736" s="40" t="n">
        <v>65398701.91</v>
      </c>
      <c r="D2736" s="40" t="n">
        <f aca="false">MAX(D2735,C2736)</f>
        <v>111220847.9</v>
      </c>
      <c r="E2736" s="41" t="n">
        <f aca="false">C2736/D2736-1</f>
        <v>-0.411992417385626</v>
      </c>
      <c r="F2736" s="42" t="n">
        <f aca="false">YEAR(A2736)</f>
        <v>2024</v>
      </c>
    </row>
    <row r="2737" customFormat="false" ht="15" hidden="false" customHeight="false" outlineLevel="0" collapsed="false">
      <c r="A2737" s="38" t="n">
        <v>45468</v>
      </c>
      <c r="B2737" s="39" t="n">
        <v>1563</v>
      </c>
      <c r="C2737" s="40" t="n">
        <v>64940781.91</v>
      </c>
      <c r="D2737" s="40" t="n">
        <f aca="false">MAX(D2736,C2737)</f>
        <v>111220847.9</v>
      </c>
      <c r="E2737" s="41" t="n">
        <f aca="false">C2737/D2737-1</f>
        <v>-0.416109631097319</v>
      </c>
      <c r="F2737" s="42" t="n">
        <f aca="false">YEAR(A2737)</f>
        <v>2024</v>
      </c>
    </row>
    <row r="2738" customFormat="false" ht="15" hidden="false" customHeight="false" outlineLevel="0" collapsed="false">
      <c r="A2738" s="38" t="n">
        <v>45469</v>
      </c>
      <c r="B2738" s="39" t="n">
        <v>1597</v>
      </c>
      <c r="C2738" s="40" t="n">
        <v>61048461.91</v>
      </c>
      <c r="D2738" s="40" t="n">
        <f aca="false">MAX(D2737,C2738)</f>
        <v>111220847.9</v>
      </c>
      <c r="E2738" s="41" t="n">
        <f aca="false">C2738/D2738-1</f>
        <v>-0.451105947646709</v>
      </c>
      <c r="F2738" s="42" t="n">
        <f aca="false">YEAR(A2738)</f>
        <v>2024</v>
      </c>
    </row>
    <row r="2739" customFormat="false" ht="15" hidden="false" customHeight="false" outlineLevel="0" collapsed="false">
      <c r="A2739" s="38" t="n">
        <v>45470</v>
      </c>
      <c r="B2739" s="39" t="n">
        <v>1572.5</v>
      </c>
      <c r="C2739" s="40" t="n">
        <v>63853221.91</v>
      </c>
      <c r="D2739" s="40" t="n">
        <f aca="false">MAX(D2738,C2739)</f>
        <v>111220847.9</v>
      </c>
      <c r="E2739" s="41" t="n">
        <f aca="false">C2739/D2739-1</f>
        <v>-0.42588801366259</v>
      </c>
      <c r="F2739" s="42" t="n">
        <f aca="false">YEAR(A2739)</f>
        <v>2024</v>
      </c>
    </row>
    <row r="2740" customFormat="false" ht="15" hidden="false" customHeight="false" outlineLevel="0" collapsed="false">
      <c r="A2740" s="38" t="n">
        <v>45471</v>
      </c>
      <c r="B2740" s="39" t="n">
        <v>1589</v>
      </c>
      <c r="C2740" s="40" t="n">
        <v>61964301.91</v>
      </c>
      <c r="D2740" s="40" t="n">
        <f aca="false">MAX(D2739,C2740)</f>
        <v>111220847.9</v>
      </c>
      <c r="E2740" s="41" t="n">
        <f aca="false">C2740/D2740-1</f>
        <v>-0.442871520223323</v>
      </c>
      <c r="F2740" s="42" t="n">
        <f aca="false">YEAR(A2740)</f>
        <v>2024</v>
      </c>
    </row>
    <row r="2741" customFormat="false" ht="15" hidden="false" customHeight="false" outlineLevel="0" collapsed="false">
      <c r="A2741" s="38" t="n">
        <v>45474</v>
      </c>
      <c r="B2741" s="39" t="n">
        <v>1619</v>
      </c>
      <c r="C2741" s="40" t="n">
        <v>58529901.91</v>
      </c>
      <c r="D2741" s="40" t="n">
        <f aca="false">MAX(D2740,C2741)</f>
        <v>111220847.9</v>
      </c>
      <c r="E2741" s="41" t="n">
        <f aca="false">C2741/D2741-1</f>
        <v>-0.473750623061021</v>
      </c>
      <c r="F2741" s="42" t="n">
        <f aca="false">YEAR(A2741)</f>
        <v>2024</v>
      </c>
    </row>
    <row r="2742" customFormat="false" ht="15" hidden="false" customHeight="false" outlineLevel="0" collapsed="false">
      <c r="A2742" s="38" t="n">
        <v>45475</v>
      </c>
      <c r="B2742" s="39" t="n">
        <v>1630</v>
      </c>
      <c r="C2742" s="40" t="n">
        <v>57270621.91</v>
      </c>
      <c r="D2742" s="40" t="n">
        <f aca="false">MAX(D2741,C2742)</f>
        <v>111220847.9</v>
      </c>
      <c r="E2742" s="41" t="n">
        <f aca="false">C2742/D2742-1</f>
        <v>-0.485072960768176</v>
      </c>
      <c r="F2742" s="42" t="n">
        <f aca="false">YEAR(A2742)</f>
        <v>2024</v>
      </c>
    </row>
    <row r="2743" customFormat="false" ht="15" hidden="false" customHeight="false" outlineLevel="0" collapsed="false">
      <c r="A2743" s="38" t="n">
        <v>45476</v>
      </c>
      <c r="B2743" s="39" t="n">
        <v>1650.5</v>
      </c>
      <c r="C2743" s="40" t="n">
        <v>54923781.91</v>
      </c>
      <c r="D2743" s="40" t="n">
        <f aca="false">MAX(D2742,C2743)</f>
        <v>111220847.9</v>
      </c>
      <c r="E2743" s="41" t="n">
        <f aca="false">C2743/D2743-1</f>
        <v>-0.506173681040603</v>
      </c>
      <c r="F2743" s="42" t="n">
        <f aca="false">YEAR(A2743)</f>
        <v>2024</v>
      </c>
    </row>
    <row r="2744" customFormat="false" ht="15" hidden="false" customHeight="false" outlineLevel="0" collapsed="false">
      <c r="A2744" s="38" t="n">
        <v>45477</v>
      </c>
      <c r="B2744" s="39" t="n">
        <v>1635</v>
      </c>
      <c r="C2744" s="40" t="n">
        <v>56698221.91</v>
      </c>
      <c r="D2744" s="40" t="n">
        <f aca="false">MAX(D2743,C2744)</f>
        <v>111220847.9</v>
      </c>
      <c r="E2744" s="41" t="n">
        <f aca="false">C2744/D2744-1</f>
        <v>-0.490219477907793</v>
      </c>
      <c r="F2744" s="42" t="n">
        <f aca="false">YEAR(A2744)</f>
        <v>2024</v>
      </c>
    </row>
    <row r="2745" customFormat="false" ht="15" hidden="false" customHeight="false" outlineLevel="0" collapsed="false">
      <c r="A2745" s="38" t="n">
        <v>45478</v>
      </c>
      <c r="B2745" s="39" t="n">
        <v>1577</v>
      </c>
      <c r="C2745" s="40" t="n">
        <v>63338061.91</v>
      </c>
      <c r="D2745" s="40" t="n">
        <f aca="false">MAX(D2744,C2745)</f>
        <v>111220847.9</v>
      </c>
      <c r="E2745" s="41" t="n">
        <f aca="false">C2745/D2745-1</f>
        <v>-0.430519879088244</v>
      </c>
      <c r="F2745" s="42" t="n">
        <f aca="false">YEAR(A2745)</f>
        <v>2024</v>
      </c>
    </row>
    <row r="2746" customFormat="false" ht="15" hidden="false" customHeight="false" outlineLevel="0" collapsed="false">
      <c r="A2746" s="38" t="n">
        <v>45481</v>
      </c>
      <c r="B2746" s="39" t="n">
        <v>1576</v>
      </c>
      <c r="C2746" s="40" t="n">
        <v>63452541.91</v>
      </c>
      <c r="D2746" s="40" t="n">
        <f aca="false">MAX(D2745,C2746)</f>
        <v>111220847.9</v>
      </c>
      <c r="E2746" s="41" t="n">
        <f aca="false">C2746/D2746-1</f>
        <v>-0.429490575660321</v>
      </c>
      <c r="F2746" s="42" t="n">
        <f aca="false">YEAR(A2746)</f>
        <v>2024</v>
      </c>
    </row>
    <row r="2747" customFormat="false" ht="15" hidden="false" customHeight="false" outlineLevel="0" collapsed="false">
      <c r="A2747" s="38" t="n">
        <v>45482</v>
      </c>
      <c r="B2747" s="39" t="n">
        <v>1583.5</v>
      </c>
      <c r="C2747" s="40" t="n">
        <v>62593941.91</v>
      </c>
      <c r="D2747" s="40" t="n">
        <f aca="false">MAX(D2746,C2747)</f>
        <v>111220847.9</v>
      </c>
      <c r="E2747" s="41" t="n">
        <f aca="false">C2747/D2747-1</f>
        <v>-0.437210351369745</v>
      </c>
      <c r="F2747" s="42" t="n">
        <f aca="false">YEAR(A2747)</f>
        <v>2024</v>
      </c>
    </row>
    <row r="2748" customFormat="false" ht="15" hidden="false" customHeight="false" outlineLevel="0" collapsed="false">
      <c r="A2748" s="38" t="n">
        <v>45483</v>
      </c>
      <c r="B2748" s="39" t="n">
        <v>1552</v>
      </c>
      <c r="C2748" s="40" t="n">
        <v>66200061.91</v>
      </c>
      <c r="D2748" s="40" t="n">
        <f aca="false">MAX(D2747,C2748)</f>
        <v>111220847.9</v>
      </c>
      <c r="E2748" s="41" t="n">
        <f aca="false">C2748/D2748-1</f>
        <v>-0.404787293390163</v>
      </c>
      <c r="F2748" s="42" t="n">
        <f aca="false">YEAR(A2748)</f>
        <v>2024</v>
      </c>
    </row>
    <row r="2749" customFormat="false" ht="15" hidden="false" customHeight="false" outlineLevel="0" collapsed="false">
      <c r="A2749" s="38" t="n">
        <v>45484</v>
      </c>
      <c r="B2749" s="39" t="n">
        <v>1581.5</v>
      </c>
      <c r="C2749" s="40" t="n">
        <v>62822901.91</v>
      </c>
      <c r="D2749" s="40" t="n">
        <f aca="false">MAX(D2748,C2749)</f>
        <v>111220847.9</v>
      </c>
      <c r="E2749" s="41" t="n">
        <f aca="false">C2749/D2749-1</f>
        <v>-0.435151744513899</v>
      </c>
      <c r="F2749" s="42" t="n">
        <f aca="false">YEAR(A2749)</f>
        <v>2024</v>
      </c>
    </row>
    <row r="2750" customFormat="false" ht="15" hidden="false" customHeight="false" outlineLevel="0" collapsed="false">
      <c r="A2750" s="38" t="n">
        <v>45485</v>
      </c>
      <c r="B2750" s="39" t="n">
        <v>1593</v>
      </c>
      <c r="C2750" s="40" t="n">
        <v>61506381.91</v>
      </c>
      <c r="D2750" s="40" t="n">
        <f aca="false">MAX(D2749,C2750)</f>
        <v>111220847.9</v>
      </c>
      <c r="E2750" s="41" t="n">
        <f aca="false">C2750/D2750-1</f>
        <v>-0.446988733935016</v>
      </c>
      <c r="F2750" s="42" t="n">
        <f aca="false">YEAR(A2750)</f>
        <v>2024</v>
      </c>
    </row>
    <row r="2751" customFormat="false" ht="15" hidden="false" customHeight="false" outlineLevel="0" collapsed="false">
      <c r="A2751" s="38" t="n">
        <v>45488</v>
      </c>
      <c r="B2751" s="39" t="n">
        <v>1602</v>
      </c>
      <c r="C2751" s="40" t="n">
        <v>60476061.91</v>
      </c>
      <c r="D2751" s="40" t="n">
        <f aca="false">MAX(D2750,C2751)</f>
        <v>111220847.9</v>
      </c>
      <c r="E2751" s="41" t="n">
        <f aca="false">C2751/D2751-1</f>
        <v>-0.456252464786325</v>
      </c>
      <c r="F2751" s="42" t="n">
        <f aca="false">YEAR(A2751)</f>
        <v>2024</v>
      </c>
    </row>
    <row r="2752" customFormat="false" ht="15" hidden="false" customHeight="false" outlineLevel="0" collapsed="false">
      <c r="A2752" s="38" t="n">
        <v>45489</v>
      </c>
      <c r="B2752" s="39" t="n">
        <v>1593.5</v>
      </c>
      <c r="C2752" s="40" t="n">
        <v>61449141.91</v>
      </c>
      <c r="D2752" s="40" t="n">
        <f aca="false">MAX(D2751,C2752)</f>
        <v>111220847.9</v>
      </c>
      <c r="E2752" s="41" t="n">
        <f aca="false">C2752/D2752-1</f>
        <v>-0.447503385648978</v>
      </c>
      <c r="F2752" s="42" t="n">
        <f aca="false">YEAR(A2752)</f>
        <v>2024</v>
      </c>
    </row>
    <row r="2753" customFormat="false" ht="15" hidden="false" customHeight="false" outlineLevel="0" collapsed="false">
      <c r="A2753" s="38" t="n">
        <v>45490</v>
      </c>
      <c r="B2753" s="39" t="n">
        <v>1578.5</v>
      </c>
      <c r="C2753" s="40" t="n">
        <v>63166341.91</v>
      </c>
      <c r="D2753" s="40" t="n">
        <f aca="false">MAX(D2752,C2753)</f>
        <v>111220847.9</v>
      </c>
      <c r="E2753" s="41" t="n">
        <f aca="false">C2753/D2753-1</f>
        <v>-0.432063834230129</v>
      </c>
      <c r="F2753" s="42" t="n">
        <f aca="false">YEAR(A2753)</f>
        <v>2024</v>
      </c>
    </row>
    <row r="2754" customFormat="false" ht="15" hidden="false" customHeight="false" outlineLevel="0" collapsed="false">
      <c r="A2754" s="38" t="n">
        <v>45491</v>
      </c>
      <c r="B2754" s="39" t="n">
        <v>1587</v>
      </c>
      <c r="C2754" s="40" t="n">
        <v>62193261.91</v>
      </c>
      <c r="D2754" s="40" t="n">
        <f aca="false">MAX(D2753,C2754)</f>
        <v>111220847.9</v>
      </c>
      <c r="E2754" s="41" t="n">
        <f aca="false">C2754/D2754-1</f>
        <v>-0.440812913367477</v>
      </c>
      <c r="F2754" s="42" t="n">
        <f aca="false">YEAR(A2754)</f>
        <v>2024</v>
      </c>
    </row>
    <row r="2755" customFormat="false" ht="15" hidden="false" customHeight="false" outlineLevel="0" collapsed="false">
      <c r="A2755" s="38" t="n">
        <v>45492</v>
      </c>
      <c r="B2755" s="39" t="n">
        <v>1565</v>
      </c>
      <c r="C2755" s="40" t="n">
        <v>64711821.91</v>
      </c>
      <c r="D2755" s="40" t="n">
        <f aca="false">MAX(D2754,C2755)</f>
        <v>111220847.9</v>
      </c>
      <c r="E2755" s="41" t="n">
        <f aca="false">C2755/D2755-1</f>
        <v>-0.418168237953165</v>
      </c>
      <c r="F2755" s="42" t="n">
        <f aca="false">YEAR(A2755)</f>
        <v>2024</v>
      </c>
    </row>
    <row r="2756" customFormat="false" ht="15" hidden="false" customHeight="false" outlineLevel="0" collapsed="false">
      <c r="A2756" s="38" t="n">
        <v>45495</v>
      </c>
      <c r="B2756" s="39" t="n">
        <v>1527.5</v>
      </c>
      <c r="C2756" s="40" t="n">
        <v>69004821.91</v>
      </c>
      <c r="D2756" s="40" t="n">
        <f aca="false">MAX(D2755,C2756)</f>
        <v>111220847.9</v>
      </c>
      <c r="E2756" s="41" t="n">
        <f aca="false">C2756/D2756-1</f>
        <v>-0.379569359406044</v>
      </c>
      <c r="F2756" s="42" t="n">
        <f aca="false">YEAR(A2756)</f>
        <v>2024</v>
      </c>
    </row>
    <row r="2757" customFormat="false" ht="15" hidden="false" customHeight="false" outlineLevel="0" collapsed="false">
      <c r="A2757" s="38" t="n">
        <v>45496</v>
      </c>
      <c r="B2757" s="39" t="n">
        <v>1504</v>
      </c>
      <c r="C2757" s="40" t="n">
        <v>71695101.91</v>
      </c>
      <c r="D2757" s="40" t="n">
        <f aca="false">MAX(D2756,C2757)</f>
        <v>111220847.9</v>
      </c>
      <c r="E2757" s="41" t="n">
        <f aca="false">C2757/D2757-1</f>
        <v>-0.355380728849847</v>
      </c>
      <c r="F2757" s="42" t="n">
        <f aca="false">YEAR(A2757)</f>
        <v>2024</v>
      </c>
    </row>
    <row r="2758" customFormat="false" ht="15" hidden="false" customHeight="false" outlineLevel="0" collapsed="false">
      <c r="A2758" s="38" t="n">
        <v>45497</v>
      </c>
      <c r="B2758" s="39" t="n">
        <v>1512.5</v>
      </c>
      <c r="C2758" s="40" t="n">
        <v>70722021.91</v>
      </c>
      <c r="D2758" s="40" t="n">
        <f aca="false">MAX(D2757,C2758)</f>
        <v>111220847.9</v>
      </c>
      <c r="E2758" s="41" t="n">
        <f aca="false">C2758/D2758-1</f>
        <v>-0.364129807987195</v>
      </c>
      <c r="F2758" s="42" t="n">
        <f aca="false">YEAR(A2758)</f>
        <v>2024</v>
      </c>
    </row>
    <row r="2759" customFormat="false" ht="15" hidden="false" customHeight="false" outlineLevel="0" collapsed="false">
      <c r="A2759" s="38" t="n">
        <v>45498</v>
      </c>
      <c r="B2759" s="39" t="n">
        <v>1495</v>
      </c>
      <c r="C2759" s="40" t="n">
        <v>72725421.91</v>
      </c>
      <c r="D2759" s="40" t="n">
        <f aca="false">MAX(D2758,C2759)</f>
        <v>111220847.9</v>
      </c>
      <c r="E2759" s="41" t="n">
        <f aca="false">C2759/D2759-1</f>
        <v>-0.346116997998538</v>
      </c>
      <c r="F2759" s="42" t="n">
        <f aca="false">YEAR(A2759)</f>
        <v>2024</v>
      </c>
    </row>
    <row r="2760" customFormat="false" ht="15" hidden="false" customHeight="false" outlineLevel="0" collapsed="false">
      <c r="A2760" s="38" t="n">
        <v>45499</v>
      </c>
      <c r="B2760" s="39" t="n">
        <v>1508</v>
      </c>
      <c r="C2760" s="40" t="n">
        <v>71237181.91</v>
      </c>
      <c r="D2760" s="40" t="n">
        <f aca="false">MAX(D2759,C2760)</f>
        <v>111220847.9</v>
      </c>
      <c r="E2760" s="41" t="n">
        <f aca="false">C2760/D2760-1</f>
        <v>-0.35949794256154</v>
      </c>
      <c r="F2760" s="42" t="n">
        <f aca="false">YEAR(A2760)</f>
        <v>2024</v>
      </c>
    </row>
    <row r="2761" customFormat="false" ht="15" hidden="false" customHeight="false" outlineLevel="0" collapsed="false">
      <c r="A2761" s="38" t="n">
        <v>45502</v>
      </c>
      <c r="B2761" s="39" t="n">
        <v>1496.5</v>
      </c>
      <c r="C2761" s="40" t="n">
        <v>72553701.91</v>
      </c>
      <c r="D2761" s="40" t="n">
        <f aca="false">MAX(D2760,C2761)</f>
        <v>111220847.9</v>
      </c>
      <c r="E2761" s="41" t="n">
        <f aca="false">C2761/D2761-1</f>
        <v>-0.347660953140423</v>
      </c>
      <c r="F2761" s="42" t="n">
        <f aca="false">YEAR(A2761)</f>
        <v>2024</v>
      </c>
    </row>
    <row r="2762" customFormat="false" ht="15" hidden="false" customHeight="false" outlineLevel="0" collapsed="false">
      <c r="A2762" s="38" t="n">
        <v>45503</v>
      </c>
      <c r="B2762" s="39" t="n">
        <v>1467</v>
      </c>
      <c r="C2762" s="40" t="n">
        <v>75930861.91</v>
      </c>
      <c r="D2762" s="40" t="n">
        <f aca="false">MAX(D2761,C2762)</f>
        <v>111220847.9</v>
      </c>
      <c r="E2762" s="41" t="n">
        <f aca="false">C2762/D2762-1</f>
        <v>-0.317296502016687</v>
      </c>
      <c r="F2762" s="42" t="n">
        <f aca="false">YEAR(A2762)</f>
        <v>2024</v>
      </c>
    </row>
    <row r="2763" customFormat="false" ht="15" hidden="false" customHeight="false" outlineLevel="0" collapsed="false">
      <c r="A2763" s="38" t="n">
        <v>45504</v>
      </c>
      <c r="B2763" s="39" t="n">
        <v>1481.5</v>
      </c>
      <c r="C2763" s="40" t="n">
        <v>74270901.91</v>
      </c>
      <c r="D2763" s="40" t="n">
        <f aca="false">MAX(D2762,C2763)</f>
        <v>111220847.9</v>
      </c>
      <c r="E2763" s="41" t="n">
        <f aca="false">C2763/D2763-1</f>
        <v>-0.332221401721574</v>
      </c>
      <c r="F2763" s="42" t="n">
        <f aca="false">YEAR(A2763)</f>
        <v>2024</v>
      </c>
    </row>
    <row r="2764" customFormat="false" ht="15" hidden="false" customHeight="false" outlineLevel="0" collapsed="false">
      <c r="A2764" s="38" t="n">
        <v>45505</v>
      </c>
      <c r="B2764" s="39" t="n">
        <v>1457</v>
      </c>
      <c r="C2764" s="40" t="n">
        <v>77075661.91</v>
      </c>
      <c r="D2764" s="40" t="n">
        <f aca="false">MAX(D2763,C2764)</f>
        <v>111220847.9</v>
      </c>
      <c r="E2764" s="41" t="n">
        <f aca="false">C2764/D2764-1</f>
        <v>-0.307003467737455</v>
      </c>
      <c r="F2764" s="42" t="n">
        <f aca="false">YEAR(A2764)</f>
        <v>2024</v>
      </c>
    </row>
    <row r="2765" customFormat="false" ht="15" hidden="false" customHeight="false" outlineLevel="0" collapsed="false">
      <c r="A2765" s="38" t="n">
        <v>45506</v>
      </c>
      <c r="B2765" s="39" t="n">
        <v>1455</v>
      </c>
      <c r="C2765" s="40" t="n">
        <v>77304621.91</v>
      </c>
      <c r="D2765" s="40" t="n">
        <f aca="false">MAX(D2764,C2765)</f>
        <v>111220847.9</v>
      </c>
      <c r="E2765" s="41" t="n">
        <f aca="false">C2765/D2765-1</f>
        <v>-0.304944860881608</v>
      </c>
      <c r="F2765" s="42" t="n">
        <f aca="false">YEAR(A2765)</f>
        <v>2024</v>
      </c>
    </row>
    <row r="2766" customFormat="false" ht="15" hidden="false" customHeight="false" outlineLevel="0" collapsed="false">
      <c r="A2766" s="38" t="n">
        <v>45509</v>
      </c>
      <c r="B2766" s="39" t="n">
        <v>1453.5</v>
      </c>
      <c r="C2766" s="40" t="n">
        <v>77476341.91</v>
      </c>
      <c r="D2766" s="40" t="n">
        <f aca="false">MAX(D2765,C2766)</f>
        <v>111220847.9</v>
      </c>
      <c r="E2766" s="41" t="n">
        <f aca="false">C2766/D2766-1</f>
        <v>-0.303400905739723</v>
      </c>
      <c r="F2766" s="42" t="n">
        <f aca="false">YEAR(A2766)</f>
        <v>2024</v>
      </c>
    </row>
    <row r="2767" customFormat="false" ht="15" hidden="false" customHeight="false" outlineLevel="0" collapsed="false">
      <c r="A2767" s="38" t="n">
        <v>45510</v>
      </c>
      <c r="B2767" s="39" t="n">
        <v>1434</v>
      </c>
      <c r="C2767" s="40" t="n">
        <v>79708701.91</v>
      </c>
      <c r="D2767" s="40" t="n">
        <f aca="false">MAX(D2766,C2767)</f>
        <v>111220847.9</v>
      </c>
      <c r="E2767" s="41" t="n">
        <f aca="false">C2767/D2767-1</f>
        <v>-0.28332948889522</v>
      </c>
      <c r="F2767" s="42" t="n">
        <f aca="false">YEAR(A2767)</f>
        <v>2024</v>
      </c>
    </row>
    <row r="2768" customFormat="false" ht="15" hidden="false" customHeight="false" outlineLevel="0" collapsed="false">
      <c r="A2768" s="38" t="n">
        <v>45511</v>
      </c>
      <c r="B2768" s="39" t="n">
        <v>1436.5</v>
      </c>
      <c r="C2768" s="40" t="n">
        <v>79422501.91</v>
      </c>
      <c r="D2768" s="40" t="n">
        <f aca="false">MAX(D2767,C2768)</f>
        <v>111220847.9</v>
      </c>
      <c r="E2768" s="41" t="n">
        <f aca="false">C2768/D2768-1</f>
        <v>-0.285902747465028</v>
      </c>
      <c r="F2768" s="42" t="n">
        <f aca="false">YEAR(A2768)</f>
        <v>2024</v>
      </c>
    </row>
    <row r="2769" customFormat="false" ht="15" hidden="false" customHeight="false" outlineLevel="0" collapsed="false">
      <c r="A2769" s="38" t="n">
        <v>45512</v>
      </c>
      <c r="B2769" s="39" t="n">
        <v>1402</v>
      </c>
      <c r="C2769" s="40" t="n">
        <v>83372061.91</v>
      </c>
      <c r="D2769" s="40" t="n">
        <f aca="false">MAX(D2768,C2769)</f>
        <v>111220847.9</v>
      </c>
      <c r="E2769" s="41" t="n">
        <f aca="false">C2769/D2769-1</f>
        <v>-0.250391779201676</v>
      </c>
      <c r="F2769" s="42" t="n">
        <f aca="false">YEAR(A2769)</f>
        <v>2024</v>
      </c>
    </row>
    <row r="2770" customFormat="false" ht="15" hidden="false" customHeight="false" outlineLevel="0" collapsed="false">
      <c r="A2770" s="38" t="n">
        <v>45513</v>
      </c>
      <c r="B2770" s="39" t="n">
        <v>1405.5</v>
      </c>
      <c r="C2770" s="40" t="n">
        <v>82971381.91</v>
      </c>
      <c r="D2770" s="40" t="n">
        <f aca="false">MAX(D2769,C2770)</f>
        <v>111220847.9</v>
      </c>
      <c r="E2770" s="41" t="n">
        <f aca="false">C2770/D2770-1</f>
        <v>-0.253994341199408</v>
      </c>
      <c r="F2770" s="42" t="n">
        <f aca="false">YEAR(A2770)</f>
        <v>2024</v>
      </c>
    </row>
    <row r="2771" customFormat="false" ht="15" hidden="false" customHeight="false" outlineLevel="0" collapsed="false">
      <c r="A2771" s="38" t="n">
        <v>45516</v>
      </c>
      <c r="B2771" s="39" t="n">
        <v>1372.5</v>
      </c>
      <c r="C2771" s="40" t="n">
        <v>86749221.91</v>
      </c>
      <c r="D2771" s="40" t="n">
        <f aca="false">MAX(D2770,C2771)</f>
        <v>111220847.9</v>
      </c>
      <c r="E2771" s="41" t="n">
        <f aca="false">C2771/D2771-1</f>
        <v>-0.22002732807794</v>
      </c>
      <c r="F2771" s="42" t="n">
        <f aca="false">YEAR(A2771)</f>
        <v>2024</v>
      </c>
    </row>
    <row r="2772" customFormat="false" ht="15" hidden="false" customHeight="false" outlineLevel="0" collapsed="false">
      <c r="A2772" s="38" t="n">
        <v>45517</v>
      </c>
      <c r="B2772" s="39" t="n">
        <v>1348</v>
      </c>
      <c r="C2772" s="40" t="n">
        <v>89553981.91</v>
      </c>
      <c r="D2772" s="40" t="n">
        <f aca="false">MAX(D2771,C2772)</f>
        <v>111220847.9</v>
      </c>
      <c r="E2772" s="41" t="n">
        <f aca="false">C2772/D2772-1</f>
        <v>-0.194809394093821</v>
      </c>
      <c r="F2772" s="42" t="n">
        <f aca="false">YEAR(A2772)</f>
        <v>2024</v>
      </c>
    </row>
    <row r="2773" customFormat="false" ht="15" hidden="false" customHeight="false" outlineLevel="0" collapsed="false">
      <c r="A2773" s="38" t="n">
        <v>45518</v>
      </c>
      <c r="B2773" s="39" t="n">
        <v>1320.5</v>
      </c>
      <c r="C2773" s="40" t="n">
        <v>92702181.91</v>
      </c>
      <c r="D2773" s="40" t="n">
        <f aca="false">MAX(D2772,C2773)</f>
        <v>111220847.9</v>
      </c>
      <c r="E2773" s="41" t="n">
        <f aca="false">C2773/D2773-1</f>
        <v>-0.166503549825932</v>
      </c>
      <c r="F2773" s="42" t="n">
        <f aca="false">YEAR(A2773)</f>
        <v>2024</v>
      </c>
    </row>
    <row r="2774" customFormat="false" ht="15" hidden="false" customHeight="false" outlineLevel="0" collapsed="false">
      <c r="A2774" s="38" t="n">
        <v>45519</v>
      </c>
      <c r="B2774" s="39" t="n">
        <v>1355</v>
      </c>
      <c r="C2774" s="40" t="n">
        <v>88752621.91</v>
      </c>
      <c r="D2774" s="40" t="n">
        <f aca="false">MAX(D2773,C2774)</f>
        <v>111220847.9</v>
      </c>
      <c r="E2774" s="41" t="n">
        <f aca="false">C2774/D2774-1</f>
        <v>-0.202014518089284</v>
      </c>
      <c r="F2774" s="42" t="n">
        <f aca="false">YEAR(A2774)</f>
        <v>2024</v>
      </c>
    </row>
    <row r="2775" customFormat="false" ht="15" hidden="false" customHeight="false" outlineLevel="0" collapsed="false">
      <c r="A2775" s="38" t="n">
        <v>45520</v>
      </c>
      <c r="B2775" s="39" t="n">
        <v>1342.5</v>
      </c>
      <c r="C2775" s="40" t="n">
        <v>90183621.91</v>
      </c>
      <c r="D2775" s="40" t="n">
        <f aca="false">MAX(D2774,C2775)</f>
        <v>111220847.9</v>
      </c>
      <c r="E2775" s="41" t="n">
        <f aca="false">C2775/D2775-1</f>
        <v>-0.189148225240243</v>
      </c>
      <c r="F2775" s="42" t="n">
        <f aca="false">YEAR(A2775)</f>
        <v>2024</v>
      </c>
    </row>
    <row r="2776" customFormat="false" ht="15" hidden="false" customHeight="false" outlineLevel="0" collapsed="false">
      <c r="A2776" s="38" t="n">
        <v>45523</v>
      </c>
      <c r="B2776" s="39" t="n">
        <v>1345</v>
      </c>
      <c r="C2776" s="40" t="n">
        <v>89897421.91</v>
      </c>
      <c r="D2776" s="40" t="n">
        <f aca="false">MAX(D2775,C2776)</f>
        <v>111220847.9</v>
      </c>
      <c r="E2776" s="41" t="n">
        <f aca="false">C2776/D2776-1</f>
        <v>-0.191721483810051</v>
      </c>
      <c r="F2776" s="42" t="n">
        <f aca="false">YEAR(A2776)</f>
        <v>2024</v>
      </c>
    </row>
    <row r="2777" customFormat="false" ht="15" hidden="false" customHeight="false" outlineLevel="0" collapsed="false">
      <c r="A2777" s="38" t="n">
        <v>45524</v>
      </c>
      <c r="B2777" s="39" t="n">
        <v>1325</v>
      </c>
      <c r="C2777" s="40" t="n">
        <v>92187021.91</v>
      </c>
      <c r="D2777" s="40" t="n">
        <f aca="false">MAX(D2776,C2777)</f>
        <v>111220847.9</v>
      </c>
      <c r="E2777" s="41" t="n">
        <f aca="false">C2777/D2777-1</f>
        <v>-0.171135415251586</v>
      </c>
      <c r="F2777" s="42" t="n">
        <f aca="false">YEAR(A2777)</f>
        <v>2024</v>
      </c>
    </row>
    <row r="2778" customFormat="false" ht="15" hidden="false" customHeight="false" outlineLevel="0" collapsed="false">
      <c r="A2778" s="38" t="n">
        <v>45525</v>
      </c>
      <c r="B2778" s="39" t="n">
        <v>1365.5</v>
      </c>
      <c r="C2778" s="40" t="n">
        <v>87550581.91</v>
      </c>
      <c r="D2778" s="40" t="n">
        <f aca="false">MAX(D2777,C2778)</f>
        <v>111220847.9</v>
      </c>
      <c r="E2778" s="41" t="n">
        <f aca="false">C2778/D2778-1</f>
        <v>-0.212822204082478</v>
      </c>
      <c r="F2778" s="42" t="n">
        <f aca="false">YEAR(A2778)</f>
        <v>2024</v>
      </c>
    </row>
    <row r="2779" customFormat="false" ht="15" hidden="false" customHeight="false" outlineLevel="0" collapsed="false">
      <c r="A2779" s="38" t="n">
        <v>45526</v>
      </c>
      <c r="B2779" s="39" t="n">
        <v>1337.5</v>
      </c>
      <c r="C2779" s="40" t="n">
        <v>90756021.91</v>
      </c>
      <c r="D2779" s="40" t="n">
        <f aca="false">MAX(D2778,C2779)</f>
        <v>111220847.9</v>
      </c>
      <c r="E2779" s="41" t="n">
        <f aca="false">C2779/D2779-1</f>
        <v>-0.184001708100627</v>
      </c>
      <c r="F2779" s="42" t="n">
        <f aca="false">YEAR(A2779)</f>
        <v>2024</v>
      </c>
    </row>
    <row r="2780" customFormat="false" ht="15" hidden="false" customHeight="false" outlineLevel="0" collapsed="false">
      <c r="A2780" s="38" t="n">
        <v>45527</v>
      </c>
      <c r="B2780" s="39" t="n">
        <v>1303</v>
      </c>
      <c r="C2780" s="40" t="n">
        <v>94705581.91</v>
      </c>
      <c r="D2780" s="40" t="n">
        <f aca="false">MAX(D2779,C2780)</f>
        <v>111220847.9</v>
      </c>
      <c r="E2780" s="41" t="n">
        <f aca="false">C2780/D2780-1</f>
        <v>-0.148490739837275</v>
      </c>
      <c r="F2780" s="42" t="n">
        <f aca="false">YEAR(A2780)</f>
        <v>2024</v>
      </c>
    </row>
    <row r="2781" customFormat="false" ht="15" hidden="false" customHeight="false" outlineLevel="0" collapsed="false">
      <c r="A2781" s="38" t="n">
        <v>45530</v>
      </c>
      <c r="B2781" s="39" t="n">
        <v>1350</v>
      </c>
      <c r="C2781" s="40" t="n">
        <v>89325021.91</v>
      </c>
      <c r="D2781" s="40" t="n">
        <f aca="false">MAX(D2780,C2781)</f>
        <v>111220847.9</v>
      </c>
      <c r="E2781" s="41" t="n">
        <f aca="false">C2781/D2781-1</f>
        <v>-0.196868000949667</v>
      </c>
      <c r="F2781" s="42" t="n">
        <f aca="false">YEAR(A2781)</f>
        <v>2024</v>
      </c>
    </row>
    <row r="2782" customFormat="false" ht="15" hidden="false" customHeight="false" outlineLevel="0" collapsed="false">
      <c r="A2782" s="38" t="n">
        <v>45531</v>
      </c>
      <c r="B2782" s="39" t="n">
        <v>1373</v>
      </c>
      <c r="C2782" s="40" t="n">
        <v>86691981.91</v>
      </c>
      <c r="D2782" s="40" t="n">
        <f aca="false">MAX(D2781,C2782)</f>
        <v>111220847.9</v>
      </c>
      <c r="E2782" s="41" t="n">
        <f aca="false">C2782/D2782-1</f>
        <v>-0.220541979791902</v>
      </c>
      <c r="F2782" s="42" t="n">
        <f aca="false">YEAR(A2782)</f>
        <v>2024</v>
      </c>
    </row>
    <row r="2783" customFormat="false" ht="15" hidden="false" customHeight="false" outlineLevel="0" collapsed="false">
      <c r="A2783" s="38" t="n">
        <v>45532</v>
      </c>
      <c r="B2783" s="39" t="n">
        <v>1376.5</v>
      </c>
      <c r="C2783" s="40" t="n">
        <v>86291301.91</v>
      </c>
      <c r="D2783" s="40" t="n">
        <f aca="false">MAX(D2782,C2783)</f>
        <v>111220847.9</v>
      </c>
      <c r="E2783" s="41" t="n">
        <f aca="false">C2783/D2783-1</f>
        <v>-0.224144541789633</v>
      </c>
      <c r="F2783" s="42" t="n">
        <f aca="false">YEAR(A2783)</f>
        <v>2024</v>
      </c>
    </row>
    <row r="2784" customFormat="false" ht="15" hidden="false" customHeight="false" outlineLevel="0" collapsed="false">
      <c r="A2784" s="38" t="n">
        <v>45533</v>
      </c>
      <c r="B2784" s="39" t="n">
        <v>1382</v>
      </c>
      <c r="C2784" s="40" t="n">
        <v>85661661.91</v>
      </c>
      <c r="D2784" s="40" t="n">
        <f aca="false">MAX(D2783,C2784)</f>
        <v>111220847.9</v>
      </c>
      <c r="E2784" s="41" t="n">
        <f aca="false">C2784/D2784-1</f>
        <v>-0.229805710643211</v>
      </c>
      <c r="F2784" s="42" t="n">
        <f aca="false">YEAR(A2784)</f>
        <v>2024</v>
      </c>
    </row>
    <row r="2785" customFormat="false" ht="15" hidden="false" customHeight="false" outlineLevel="0" collapsed="false">
      <c r="A2785" s="38" t="n">
        <v>45534</v>
      </c>
      <c r="B2785" s="39" t="n">
        <v>1366</v>
      </c>
      <c r="C2785" s="40" t="n">
        <v>87493341.91</v>
      </c>
      <c r="D2785" s="40" t="n">
        <f aca="false">MAX(D2784,C2785)</f>
        <v>111220847.9</v>
      </c>
      <c r="E2785" s="41" t="n">
        <f aca="false">C2785/D2785-1</f>
        <v>-0.213336855796439</v>
      </c>
      <c r="F2785" s="42" t="n">
        <f aca="false">YEAR(A2785)</f>
        <v>2024</v>
      </c>
    </row>
    <row r="2786" customFormat="false" ht="15" hidden="false" customHeight="false" outlineLevel="0" collapsed="false">
      <c r="A2786" s="38" t="n">
        <v>45537</v>
      </c>
      <c r="B2786" s="39" t="n">
        <v>1325.5</v>
      </c>
      <c r="C2786" s="40" t="n">
        <v>92129781.91</v>
      </c>
      <c r="D2786" s="40" t="n">
        <f aca="false">MAX(D2785,C2786)</f>
        <v>111220847.9</v>
      </c>
      <c r="E2786" s="41" t="n">
        <f aca="false">C2786/D2786-1</f>
        <v>-0.171650066965548</v>
      </c>
      <c r="F2786" s="42" t="n">
        <f aca="false">YEAR(A2786)</f>
        <v>2024</v>
      </c>
    </row>
    <row r="2787" customFormat="false" ht="15" hidden="false" customHeight="false" outlineLevel="0" collapsed="false">
      <c r="A2787" s="38" t="n">
        <v>45538</v>
      </c>
      <c r="B2787" s="39" t="n">
        <v>1313</v>
      </c>
      <c r="C2787" s="40" t="n">
        <v>93560781.91</v>
      </c>
      <c r="D2787" s="40" t="n">
        <f aca="false">MAX(D2786,C2787)</f>
        <v>111220847.9</v>
      </c>
      <c r="E2787" s="41" t="n">
        <f aca="false">C2787/D2787-1</f>
        <v>-0.158783774116507</v>
      </c>
      <c r="F2787" s="42" t="n">
        <f aca="false">YEAR(A2787)</f>
        <v>2024</v>
      </c>
    </row>
    <row r="2788" customFormat="false" ht="15" hidden="false" customHeight="false" outlineLevel="0" collapsed="false">
      <c r="A2788" s="38" t="n">
        <v>45539</v>
      </c>
      <c r="B2788" s="39" t="n">
        <v>1258</v>
      </c>
      <c r="C2788" s="40" t="n">
        <v>99857181.91</v>
      </c>
      <c r="D2788" s="40" t="n">
        <f aca="false">MAX(D2787,C2788)</f>
        <v>111220847.9</v>
      </c>
      <c r="E2788" s="41" t="n">
        <f aca="false">C2788/D2788-1</f>
        <v>-0.102172085580729</v>
      </c>
      <c r="F2788" s="42" t="n">
        <f aca="false">YEAR(A2788)</f>
        <v>2024</v>
      </c>
    </row>
    <row r="2789" customFormat="false" ht="15" hidden="false" customHeight="false" outlineLevel="0" collapsed="false">
      <c r="A2789" s="38" t="n">
        <v>45540</v>
      </c>
      <c r="B2789" s="39" t="n">
        <v>1240</v>
      </c>
      <c r="C2789" s="40" t="n">
        <v>101917821.91</v>
      </c>
      <c r="D2789" s="40" t="n">
        <f aca="false">MAX(D2788,C2789)</f>
        <v>111220847.9</v>
      </c>
      <c r="E2789" s="41" t="n">
        <f aca="false">C2789/D2789-1</f>
        <v>-0.0836446238781102</v>
      </c>
      <c r="F2789" s="42" t="n">
        <f aca="false">YEAR(A2789)</f>
        <v>2024</v>
      </c>
    </row>
    <row r="2790" customFormat="false" ht="15" hidden="false" customHeight="false" outlineLevel="0" collapsed="false">
      <c r="A2790" s="38" t="n">
        <v>45541</v>
      </c>
      <c r="B2790" s="39" t="n">
        <v>1233.5</v>
      </c>
      <c r="C2790" s="40" t="n">
        <v>102661941.91</v>
      </c>
      <c r="D2790" s="40" t="n">
        <f aca="false">MAX(D2789,C2790)</f>
        <v>111220847.9</v>
      </c>
      <c r="E2790" s="41" t="n">
        <f aca="false">C2790/D2790-1</f>
        <v>-0.0769541515966091</v>
      </c>
      <c r="F2790" s="42" t="n">
        <f aca="false">YEAR(A2790)</f>
        <v>2024</v>
      </c>
    </row>
    <row r="2791" customFormat="false" ht="15" hidden="false" customHeight="false" outlineLevel="0" collapsed="false">
      <c r="A2791" s="38" t="n">
        <v>45544</v>
      </c>
      <c r="B2791" s="39" t="n">
        <v>1231.5</v>
      </c>
      <c r="C2791" s="40" t="n">
        <v>102890901.91</v>
      </c>
      <c r="D2791" s="40" t="n">
        <f aca="false">MAX(D2790,C2791)</f>
        <v>111220847.9</v>
      </c>
      <c r="E2791" s="41" t="n">
        <f aca="false">C2791/D2791-1</f>
        <v>-0.0748955447407627</v>
      </c>
      <c r="F2791" s="42" t="n">
        <f aca="false">YEAR(A2791)</f>
        <v>2024</v>
      </c>
    </row>
    <row r="2792" customFormat="false" ht="15" hidden="false" customHeight="false" outlineLevel="0" collapsed="false">
      <c r="A2792" s="38" t="n">
        <v>45545</v>
      </c>
      <c r="B2792" s="39" t="n">
        <v>1228</v>
      </c>
      <c r="C2792" s="40" t="n">
        <v>103291581.91</v>
      </c>
      <c r="D2792" s="40" t="n">
        <f aca="false">MAX(D2791,C2792)</f>
        <v>111220847.9</v>
      </c>
      <c r="E2792" s="41" t="n">
        <f aca="false">C2792/D2792-1</f>
        <v>-0.0712929827430313</v>
      </c>
      <c r="F2792" s="42" t="n">
        <f aca="false">YEAR(A2792)</f>
        <v>2024</v>
      </c>
    </row>
    <row r="2793" customFormat="false" ht="15" hidden="false" customHeight="false" outlineLevel="0" collapsed="false">
      <c r="A2793" s="38" t="n">
        <v>45546</v>
      </c>
      <c r="B2793" s="39" t="n">
        <v>1263</v>
      </c>
      <c r="C2793" s="40" t="n">
        <v>99284781.91</v>
      </c>
      <c r="D2793" s="40" t="n">
        <f aca="false">MAX(D2792,C2793)</f>
        <v>111220847.9</v>
      </c>
      <c r="E2793" s="41" t="n">
        <f aca="false">C2793/D2793-1</f>
        <v>-0.107318602720345</v>
      </c>
      <c r="F2793" s="42" t="n">
        <f aca="false">YEAR(A2793)</f>
        <v>2024</v>
      </c>
    </row>
    <row r="2794" customFormat="false" ht="15" hidden="false" customHeight="false" outlineLevel="0" collapsed="false">
      <c r="A2794" s="38" t="n">
        <v>45547</v>
      </c>
      <c r="B2794" s="39" t="n">
        <v>1283</v>
      </c>
      <c r="C2794" s="40" t="n">
        <v>96995181.91</v>
      </c>
      <c r="D2794" s="40" t="n">
        <f aca="false">MAX(D2793,C2794)</f>
        <v>111220847.9</v>
      </c>
      <c r="E2794" s="41" t="n">
        <f aca="false">C2794/D2794-1</f>
        <v>-0.12790467127881</v>
      </c>
      <c r="F2794" s="42" t="n">
        <f aca="false">YEAR(A2794)</f>
        <v>2024</v>
      </c>
    </row>
    <row r="2795" customFormat="false" ht="15" hidden="false" customHeight="false" outlineLevel="0" collapsed="false">
      <c r="A2795" s="38" t="n">
        <v>45548</v>
      </c>
      <c r="B2795" s="39" t="n">
        <v>1267.5</v>
      </c>
      <c r="C2795" s="40" t="n">
        <v>98769621.91</v>
      </c>
      <c r="D2795" s="40" t="n">
        <f aca="false">MAX(D2794,C2795)</f>
        <v>111220847.9</v>
      </c>
      <c r="E2795" s="41" t="n">
        <f aca="false">C2795/D2795-1</f>
        <v>-0.111950468146</v>
      </c>
      <c r="F2795" s="42" t="n">
        <f aca="false">YEAR(A2795)</f>
        <v>2024</v>
      </c>
    </row>
    <row r="2796" customFormat="false" ht="15" hidden="false" customHeight="false" outlineLevel="0" collapsed="false">
      <c r="A2796" s="38" t="n">
        <v>45553</v>
      </c>
      <c r="B2796" s="39" t="n">
        <v>1261.5</v>
      </c>
      <c r="C2796" s="40" t="n">
        <v>99456501.91</v>
      </c>
      <c r="D2796" s="40" t="n">
        <f aca="false">MAX(D2795,C2796)</f>
        <v>111220847.9</v>
      </c>
      <c r="E2796" s="41" t="n">
        <f aca="false">C2796/D2796-1</f>
        <v>-0.10577464757846</v>
      </c>
      <c r="F2796" s="42" t="n">
        <f aca="false">YEAR(A2796)</f>
        <v>2024</v>
      </c>
    </row>
    <row r="2797" customFormat="false" ht="15" hidden="false" customHeight="false" outlineLevel="0" collapsed="false">
      <c r="A2797" s="38" t="n">
        <v>45554</v>
      </c>
      <c r="B2797" s="39" t="n">
        <v>1290</v>
      </c>
      <c r="C2797" s="40" t="n">
        <v>96193821.91</v>
      </c>
      <c r="D2797" s="40" t="n">
        <f aca="false">MAX(D2796,C2797)</f>
        <v>111220847.9</v>
      </c>
      <c r="E2797" s="41" t="n">
        <f aca="false">C2797/D2797-1</f>
        <v>-0.135109795274273</v>
      </c>
      <c r="F2797" s="42" t="n">
        <f aca="false">YEAR(A2797)</f>
        <v>2024</v>
      </c>
    </row>
    <row r="2798" customFormat="false" ht="15" hidden="false" customHeight="false" outlineLevel="0" collapsed="false">
      <c r="A2798" s="38" t="n">
        <v>45555</v>
      </c>
      <c r="B2798" s="39" t="n">
        <v>1273.5</v>
      </c>
      <c r="C2798" s="40" t="n">
        <v>98082741.91</v>
      </c>
      <c r="D2798" s="40" t="n">
        <f aca="false">MAX(D2797,C2798)</f>
        <v>111220847.9</v>
      </c>
      <c r="E2798" s="41" t="n">
        <f aca="false">C2798/D2798-1</f>
        <v>-0.118126288713539</v>
      </c>
      <c r="F2798" s="42" t="n">
        <f aca="false">YEAR(A2798)</f>
        <v>2024</v>
      </c>
    </row>
    <row r="2799" customFormat="false" ht="15" hidden="false" customHeight="false" outlineLevel="0" collapsed="false">
      <c r="A2799" s="38" t="n">
        <v>45558</v>
      </c>
      <c r="B2799" s="39" t="n">
        <v>1231</v>
      </c>
      <c r="C2799" s="40" t="n">
        <v>102948141.91</v>
      </c>
      <c r="D2799" s="40" t="n">
        <f aca="false">MAX(D2798,C2799)</f>
        <v>111220847.9</v>
      </c>
      <c r="E2799" s="41" t="n">
        <f aca="false">C2799/D2799-1</f>
        <v>-0.0743808930268011</v>
      </c>
      <c r="F2799" s="42" t="n">
        <f aca="false">YEAR(A2799)</f>
        <v>2024</v>
      </c>
    </row>
    <row r="2800" customFormat="false" ht="15" hidden="false" customHeight="false" outlineLevel="0" collapsed="false">
      <c r="A2800" s="38" t="n">
        <v>45559</v>
      </c>
      <c r="B2800" s="39" t="n">
        <v>1303</v>
      </c>
      <c r="C2800" s="40" t="n">
        <v>94705581.91</v>
      </c>
      <c r="D2800" s="40" t="n">
        <f aca="false">MAX(D2799,C2800)</f>
        <v>111220847.9</v>
      </c>
      <c r="E2800" s="41" t="n">
        <f aca="false">C2800/D2800-1</f>
        <v>-0.148490739837275</v>
      </c>
      <c r="F2800" s="42" t="n">
        <f aca="false">YEAR(A2800)</f>
        <v>2024</v>
      </c>
    </row>
    <row r="2801" customFormat="false" ht="15" hidden="false" customHeight="false" outlineLevel="0" collapsed="false">
      <c r="A2801" s="38" t="n">
        <v>45560</v>
      </c>
      <c r="B2801" s="39" t="n">
        <v>1324.5</v>
      </c>
      <c r="C2801" s="40" t="n">
        <v>94060943.12</v>
      </c>
      <c r="D2801" s="40" t="n">
        <f aca="false">MAX(D2800,C2801)</f>
        <v>111220847.9</v>
      </c>
      <c r="E2801" s="41" t="n">
        <f aca="false">C2801/D2801-1</f>
        <v>-0.15428676461295</v>
      </c>
      <c r="F2801" s="42" t="n">
        <f aca="false">YEAR(A2801)</f>
        <v>2024</v>
      </c>
    </row>
    <row r="2802" customFormat="false" ht="15" hidden="false" customHeight="false" outlineLevel="0" collapsed="false">
      <c r="A2802" s="38" t="n">
        <v>45561</v>
      </c>
      <c r="B2802" s="39" t="n">
        <v>1363</v>
      </c>
      <c r="C2802" s="40" t="n">
        <v>94060943.12</v>
      </c>
      <c r="D2802" s="40" t="n">
        <f aca="false">MAX(D2801,C2802)</f>
        <v>111220847.9</v>
      </c>
      <c r="E2802" s="41" t="n">
        <f aca="false">C2802/D2802-1</f>
        <v>-0.15428676461295</v>
      </c>
      <c r="F2802" s="42" t="n">
        <f aca="false">YEAR(A2802)</f>
        <v>2024</v>
      </c>
    </row>
    <row r="2803" customFormat="false" ht="15" hidden="false" customHeight="false" outlineLevel="0" collapsed="false">
      <c r="A2803" s="38" t="n">
        <v>45562</v>
      </c>
      <c r="B2803" s="39" t="n">
        <v>1407</v>
      </c>
      <c r="C2803" s="40" t="n">
        <v>94060943.12</v>
      </c>
      <c r="D2803" s="40" t="n">
        <f aca="false">MAX(D2802,C2803)</f>
        <v>111220847.9</v>
      </c>
      <c r="E2803" s="41" t="n">
        <f aca="false">C2803/D2803-1</f>
        <v>-0.15428676461295</v>
      </c>
      <c r="F2803" s="42" t="n">
        <f aca="false">YEAR(A2803)</f>
        <v>2024</v>
      </c>
    </row>
    <row r="2804" customFormat="false" ht="15" hidden="false" customHeight="false" outlineLevel="0" collapsed="false">
      <c r="A2804" s="38" t="n">
        <v>45565</v>
      </c>
      <c r="B2804" s="39" t="n">
        <v>1552</v>
      </c>
      <c r="C2804" s="40" t="n">
        <v>94060943.12</v>
      </c>
      <c r="D2804" s="40" t="n">
        <f aca="false">MAX(D2803,C2804)</f>
        <v>111220847.9</v>
      </c>
      <c r="E2804" s="41" t="n">
        <f aca="false">C2804/D2804-1</f>
        <v>-0.15428676461295</v>
      </c>
      <c r="F2804" s="42" t="n">
        <f aca="false">YEAR(A2804)</f>
        <v>2024</v>
      </c>
    </row>
    <row r="2805" customFormat="false" ht="15" hidden="false" customHeight="false" outlineLevel="0" collapsed="false">
      <c r="A2805" s="38" t="n">
        <v>45573</v>
      </c>
      <c r="B2805" s="39" t="n">
        <v>1485.5</v>
      </c>
      <c r="C2805" s="40" t="n">
        <v>94060943.12</v>
      </c>
      <c r="D2805" s="40" t="n">
        <f aca="false">MAX(D2804,C2805)</f>
        <v>111220847.9</v>
      </c>
      <c r="E2805" s="41" t="n">
        <f aca="false">C2805/D2805-1</f>
        <v>-0.15428676461295</v>
      </c>
      <c r="F2805" s="42" t="n">
        <f aca="false">YEAR(A2805)</f>
        <v>2024</v>
      </c>
    </row>
    <row r="2806" customFormat="false" ht="15" hidden="false" customHeight="false" outlineLevel="0" collapsed="false">
      <c r="A2806" s="38" t="n">
        <v>45574</v>
      </c>
      <c r="B2806" s="39" t="n">
        <v>1469.5</v>
      </c>
      <c r="C2806" s="40" t="n">
        <v>94060943.12</v>
      </c>
      <c r="D2806" s="40" t="n">
        <f aca="false">MAX(D2805,C2806)</f>
        <v>111220847.9</v>
      </c>
      <c r="E2806" s="41" t="n">
        <f aca="false">C2806/D2806-1</f>
        <v>-0.15428676461295</v>
      </c>
      <c r="F2806" s="42" t="n">
        <f aca="false">YEAR(A2806)</f>
        <v>2024</v>
      </c>
    </row>
    <row r="2807" customFormat="false" ht="15" hidden="false" customHeight="false" outlineLevel="0" collapsed="false">
      <c r="A2807" s="38" t="n">
        <v>45575</v>
      </c>
      <c r="B2807" s="39" t="n">
        <v>1440.5</v>
      </c>
      <c r="C2807" s="40" t="n">
        <v>94060943.12</v>
      </c>
      <c r="D2807" s="40" t="n">
        <f aca="false">MAX(D2806,C2807)</f>
        <v>111220847.9</v>
      </c>
      <c r="E2807" s="41" t="n">
        <f aca="false">C2807/D2807-1</f>
        <v>-0.15428676461295</v>
      </c>
      <c r="F2807" s="42" t="n">
        <f aca="false">YEAR(A2807)</f>
        <v>2024</v>
      </c>
    </row>
    <row r="2808" customFormat="false" ht="15" hidden="false" customHeight="false" outlineLevel="0" collapsed="false">
      <c r="A2808" s="38" t="n">
        <v>45576</v>
      </c>
      <c r="B2808" s="39" t="n">
        <v>1489.5</v>
      </c>
      <c r="C2808" s="40" t="n">
        <v>94060943.12</v>
      </c>
      <c r="D2808" s="40" t="n">
        <f aca="false">MAX(D2807,C2808)</f>
        <v>111220847.9</v>
      </c>
      <c r="E2808" s="41" t="n">
        <f aca="false">C2808/D2808-1</f>
        <v>-0.15428676461295</v>
      </c>
      <c r="F2808" s="42" t="n">
        <f aca="false">YEAR(A2808)</f>
        <v>2024</v>
      </c>
    </row>
    <row r="2809" customFormat="false" ht="15" hidden="false" customHeight="false" outlineLevel="0" collapsed="false">
      <c r="A2809" s="38" t="n">
        <v>45579</v>
      </c>
      <c r="B2809" s="39" t="n">
        <v>1503</v>
      </c>
      <c r="C2809" s="40" t="n">
        <v>94060943.12</v>
      </c>
      <c r="D2809" s="40" t="n">
        <f aca="false">MAX(D2808,C2809)</f>
        <v>111220847.9</v>
      </c>
      <c r="E2809" s="41" t="n">
        <f aca="false">C2809/D2809-1</f>
        <v>-0.15428676461295</v>
      </c>
      <c r="F2809" s="42" t="n">
        <f aca="false">YEAR(A2809)</f>
        <v>2024</v>
      </c>
    </row>
    <row r="2810" customFormat="false" ht="15" hidden="false" customHeight="false" outlineLevel="0" collapsed="false">
      <c r="A2810" s="38" t="n">
        <v>45580</v>
      </c>
      <c r="B2810" s="39" t="n">
        <v>1479</v>
      </c>
      <c r="C2810" s="40" t="n">
        <v>94060943.12</v>
      </c>
      <c r="D2810" s="40" t="n">
        <f aca="false">MAX(D2809,C2810)</f>
        <v>111220847.9</v>
      </c>
      <c r="E2810" s="41" t="n">
        <f aca="false">C2810/D2810-1</f>
        <v>-0.15428676461295</v>
      </c>
      <c r="F2810" s="42" t="n">
        <f aca="false">YEAR(A2810)</f>
        <v>2024</v>
      </c>
    </row>
    <row r="2811" customFormat="false" ht="15" hidden="false" customHeight="false" outlineLevel="0" collapsed="false">
      <c r="A2811" s="38" t="n">
        <v>45581</v>
      </c>
      <c r="B2811" s="39" t="n">
        <v>1438.5</v>
      </c>
      <c r="C2811" s="40" t="n">
        <v>94060943.12</v>
      </c>
      <c r="D2811" s="40" t="n">
        <f aca="false">MAX(D2810,C2811)</f>
        <v>111220847.9</v>
      </c>
      <c r="E2811" s="41" t="n">
        <f aca="false">C2811/D2811-1</f>
        <v>-0.15428676461295</v>
      </c>
      <c r="F2811" s="42" t="n">
        <f aca="false">YEAR(A2811)</f>
        <v>2024</v>
      </c>
    </row>
    <row r="2812" customFormat="false" ht="15" hidden="false" customHeight="false" outlineLevel="0" collapsed="false">
      <c r="A2812" s="38" t="n">
        <v>45582</v>
      </c>
      <c r="B2812" s="39" t="n">
        <v>1347.5</v>
      </c>
      <c r="C2812" s="40" t="n">
        <v>94060943.12</v>
      </c>
      <c r="D2812" s="40" t="n">
        <f aca="false">MAX(D2811,C2812)</f>
        <v>111220847.9</v>
      </c>
      <c r="E2812" s="41" t="n">
        <f aca="false">C2812/D2812-1</f>
        <v>-0.15428676461295</v>
      </c>
      <c r="F2812" s="42" t="n">
        <f aca="false">YEAR(A2812)</f>
        <v>2024</v>
      </c>
    </row>
    <row r="2813" customFormat="false" ht="15" hidden="false" customHeight="false" outlineLevel="0" collapsed="false">
      <c r="A2813" s="38" t="n">
        <v>45583</v>
      </c>
      <c r="B2813" s="39" t="n">
        <v>1359.5</v>
      </c>
      <c r="C2813" s="40" t="n">
        <v>94060943.12</v>
      </c>
      <c r="D2813" s="40" t="n">
        <f aca="false">MAX(D2812,C2813)</f>
        <v>111220847.9</v>
      </c>
      <c r="E2813" s="41" t="n">
        <f aca="false">C2813/D2813-1</f>
        <v>-0.15428676461295</v>
      </c>
      <c r="F2813" s="42" t="n">
        <f aca="false">YEAR(A2813)</f>
        <v>2024</v>
      </c>
    </row>
    <row r="2814" customFormat="false" ht="15" hidden="false" customHeight="false" outlineLevel="0" collapsed="false">
      <c r="A2814" s="38" t="n">
        <v>45586</v>
      </c>
      <c r="B2814" s="39" t="n">
        <v>1372.5</v>
      </c>
      <c r="C2814" s="40" t="n">
        <v>94060943.12</v>
      </c>
      <c r="D2814" s="40" t="n">
        <f aca="false">MAX(D2813,C2814)</f>
        <v>111220847.9</v>
      </c>
      <c r="E2814" s="41" t="n">
        <f aca="false">C2814/D2814-1</f>
        <v>-0.15428676461295</v>
      </c>
      <c r="F2814" s="42" t="n">
        <f aca="false">YEAR(A2814)</f>
        <v>2024</v>
      </c>
    </row>
    <row r="2815" customFormat="false" ht="15" hidden="false" customHeight="false" outlineLevel="0" collapsed="false">
      <c r="A2815" s="38" t="n">
        <v>45587</v>
      </c>
      <c r="B2815" s="39" t="n">
        <v>1347.5</v>
      </c>
      <c r="C2815" s="40" t="n">
        <v>94060943.12</v>
      </c>
      <c r="D2815" s="40" t="n">
        <f aca="false">MAX(D2814,C2815)</f>
        <v>111220847.9</v>
      </c>
      <c r="E2815" s="41" t="n">
        <f aca="false">C2815/D2815-1</f>
        <v>-0.15428676461295</v>
      </c>
      <c r="F2815" s="42" t="n">
        <f aca="false">YEAR(A2815)</f>
        <v>2024</v>
      </c>
    </row>
    <row r="2816" customFormat="false" ht="15" hidden="false" customHeight="false" outlineLevel="0" collapsed="false">
      <c r="A2816" s="38" t="n">
        <v>45588</v>
      </c>
      <c r="B2816" s="39" t="n">
        <v>1338.5</v>
      </c>
      <c r="C2816" s="40" t="n">
        <v>94060943.12</v>
      </c>
      <c r="D2816" s="40" t="n">
        <f aca="false">MAX(D2815,C2816)</f>
        <v>111220847.9</v>
      </c>
      <c r="E2816" s="41" t="n">
        <f aca="false">C2816/D2816-1</f>
        <v>-0.15428676461295</v>
      </c>
      <c r="F2816" s="42" t="n">
        <f aca="false">YEAR(A2816)</f>
        <v>2024</v>
      </c>
    </row>
    <row r="2817" customFormat="false" ht="15" hidden="false" customHeight="false" outlineLevel="0" collapsed="false">
      <c r="A2817" s="38" t="n">
        <v>45589</v>
      </c>
      <c r="B2817" s="39" t="n">
        <v>1346</v>
      </c>
      <c r="C2817" s="40" t="n">
        <v>94060943.12</v>
      </c>
      <c r="D2817" s="40" t="n">
        <f aca="false">MAX(D2816,C2817)</f>
        <v>111220847.9</v>
      </c>
      <c r="E2817" s="41" t="n">
        <f aca="false">C2817/D2817-1</f>
        <v>-0.15428676461295</v>
      </c>
      <c r="F2817" s="42" t="n">
        <f aca="false">YEAR(A2817)</f>
        <v>2024</v>
      </c>
    </row>
    <row r="2818" customFormat="false" ht="15" hidden="false" customHeight="false" outlineLevel="0" collapsed="false">
      <c r="A2818" s="38" t="n">
        <v>45590</v>
      </c>
      <c r="B2818" s="39" t="n">
        <v>1365</v>
      </c>
      <c r="C2818" s="40" t="n">
        <v>94060943.12</v>
      </c>
      <c r="D2818" s="40" t="n">
        <f aca="false">MAX(D2817,C2818)</f>
        <v>111220847.9</v>
      </c>
      <c r="E2818" s="41" t="n">
        <f aca="false">C2818/D2818-1</f>
        <v>-0.15428676461295</v>
      </c>
      <c r="F2818" s="42" t="n">
        <f aca="false">YEAR(A2818)</f>
        <v>2024</v>
      </c>
    </row>
    <row r="2819" customFormat="false" ht="15" hidden="false" customHeight="false" outlineLevel="0" collapsed="false">
      <c r="A2819" s="38" t="n">
        <v>45593</v>
      </c>
      <c r="B2819" s="39" t="n">
        <v>1419.5</v>
      </c>
      <c r="C2819" s="40" t="n">
        <v>94060943.12</v>
      </c>
      <c r="D2819" s="40" t="n">
        <f aca="false">MAX(D2818,C2819)</f>
        <v>111220847.9</v>
      </c>
      <c r="E2819" s="41" t="n">
        <f aca="false">C2819/D2819-1</f>
        <v>-0.15428676461295</v>
      </c>
      <c r="F2819" s="42" t="n">
        <f aca="false">YEAR(A2819)</f>
        <v>2024</v>
      </c>
    </row>
    <row r="2820" customFormat="false" ht="15" hidden="false" customHeight="false" outlineLevel="0" collapsed="false">
      <c r="A2820" s="38" t="n">
        <v>45594</v>
      </c>
      <c r="B2820" s="39" t="n">
        <v>1378</v>
      </c>
      <c r="C2820" s="40" t="n">
        <v>94060943.12</v>
      </c>
      <c r="D2820" s="40" t="n">
        <f aca="false">MAX(D2819,C2820)</f>
        <v>111220847.9</v>
      </c>
      <c r="E2820" s="41" t="n">
        <f aca="false">C2820/D2820-1</f>
        <v>-0.15428676461295</v>
      </c>
      <c r="F2820" s="42" t="n">
        <f aca="false">YEAR(A2820)</f>
        <v>2024</v>
      </c>
    </row>
    <row r="2821" customFormat="false" ht="15" hidden="false" customHeight="false" outlineLevel="0" collapsed="false">
      <c r="A2821" s="38" t="n">
        <v>45595</v>
      </c>
      <c r="B2821" s="39" t="n">
        <v>1389.5</v>
      </c>
      <c r="C2821" s="40" t="n">
        <v>94060943.12</v>
      </c>
      <c r="D2821" s="40" t="n">
        <f aca="false">MAX(D2820,C2821)</f>
        <v>111220847.9</v>
      </c>
      <c r="E2821" s="41" t="n">
        <f aca="false">C2821/D2821-1</f>
        <v>-0.15428676461295</v>
      </c>
      <c r="F2821" s="42" t="n">
        <f aca="false">YEAR(A2821)</f>
        <v>2024</v>
      </c>
    </row>
    <row r="2822" customFormat="false" ht="15" hidden="false" customHeight="false" outlineLevel="0" collapsed="false">
      <c r="A2822" s="38" t="n">
        <v>45596</v>
      </c>
      <c r="B2822" s="39" t="n">
        <v>1375</v>
      </c>
      <c r="C2822" s="40" t="n">
        <v>94060943.12</v>
      </c>
      <c r="D2822" s="40" t="n">
        <f aca="false">MAX(D2821,C2822)</f>
        <v>111220847.9</v>
      </c>
      <c r="E2822" s="41" t="n">
        <f aca="false">C2822/D2822-1</f>
        <v>-0.15428676461295</v>
      </c>
      <c r="F2822" s="42" t="n">
        <f aca="false">YEAR(A2822)</f>
        <v>2024</v>
      </c>
    </row>
    <row r="2823" customFormat="false" ht="15" hidden="false" customHeight="false" outlineLevel="0" collapsed="false">
      <c r="A2823" s="38" t="n">
        <v>45597</v>
      </c>
      <c r="B2823" s="39" t="n">
        <v>1350</v>
      </c>
      <c r="C2823" s="40" t="n">
        <v>94060943.12</v>
      </c>
      <c r="D2823" s="40" t="n">
        <f aca="false">MAX(D2822,C2823)</f>
        <v>111220847.9</v>
      </c>
      <c r="E2823" s="41" t="n">
        <f aca="false">C2823/D2823-1</f>
        <v>-0.15428676461295</v>
      </c>
      <c r="F2823" s="42" t="n">
        <f aca="false">YEAR(A2823)</f>
        <v>2024</v>
      </c>
    </row>
    <row r="2824" customFormat="false" ht="15" hidden="false" customHeight="false" outlineLevel="0" collapsed="false">
      <c r="A2824" s="38" t="n">
        <v>45600</v>
      </c>
      <c r="B2824" s="39" t="n">
        <v>1379.5</v>
      </c>
      <c r="C2824" s="40" t="n">
        <v>94060943.12</v>
      </c>
      <c r="D2824" s="40" t="n">
        <f aca="false">MAX(D2823,C2824)</f>
        <v>111220847.9</v>
      </c>
      <c r="E2824" s="41" t="n">
        <f aca="false">C2824/D2824-1</f>
        <v>-0.15428676461295</v>
      </c>
      <c r="F2824" s="42" t="n">
        <f aca="false">YEAR(A2824)</f>
        <v>2024</v>
      </c>
    </row>
    <row r="2825" customFormat="false" ht="15" hidden="false" customHeight="false" outlineLevel="0" collapsed="false">
      <c r="A2825" s="38" t="n">
        <v>45601</v>
      </c>
      <c r="B2825" s="39" t="n">
        <v>1372</v>
      </c>
      <c r="C2825" s="40" t="n">
        <v>94060943.12</v>
      </c>
      <c r="D2825" s="40" t="n">
        <f aca="false">MAX(D2824,C2825)</f>
        <v>111220847.9</v>
      </c>
      <c r="E2825" s="41" t="n">
        <f aca="false">C2825/D2825-1</f>
        <v>-0.15428676461295</v>
      </c>
      <c r="F2825" s="42" t="n">
        <f aca="false">YEAR(A2825)</f>
        <v>2024</v>
      </c>
    </row>
    <row r="2826" customFormat="false" ht="15" hidden="false" customHeight="false" outlineLevel="0" collapsed="false">
      <c r="A2826" s="38" t="n">
        <v>45602</v>
      </c>
      <c r="B2826" s="39" t="n">
        <v>1331</v>
      </c>
      <c r="C2826" s="40" t="n">
        <v>94060943.12</v>
      </c>
      <c r="D2826" s="40" t="n">
        <f aca="false">MAX(D2825,C2826)</f>
        <v>111220847.9</v>
      </c>
      <c r="E2826" s="41" t="n">
        <f aca="false">C2826/D2826-1</f>
        <v>-0.15428676461295</v>
      </c>
      <c r="F2826" s="42" t="n">
        <f aca="false">YEAR(A2826)</f>
        <v>2024</v>
      </c>
    </row>
    <row r="2827" customFormat="false" ht="15" hidden="false" customHeight="false" outlineLevel="0" collapsed="false">
      <c r="A2827" s="38" t="n">
        <v>45603</v>
      </c>
      <c r="B2827" s="39" t="n">
        <v>1353.5</v>
      </c>
      <c r="C2827" s="40" t="n">
        <v>94060943.12</v>
      </c>
      <c r="D2827" s="40" t="n">
        <f aca="false">MAX(D2826,C2827)</f>
        <v>111220847.9</v>
      </c>
      <c r="E2827" s="41" t="n">
        <f aca="false">C2827/D2827-1</f>
        <v>-0.15428676461295</v>
      </c>
      <c r="F2827" s="42" t="n">
        <f aca="false">YEAR(A2827)</f>
        <v>2024</v>
      </c>
    </row>
    <row r="2828" customFormat="false" ht="15" hidden="false" customHeight="false" outlineLevel="0" collapsed="false">
      <c r="A2828" s="38" t="n">
        <v>45604</v>
      </c>
      <c r="B2828" s="39" t="n">
        <v>1336.5</v>
      </c>
      <c r="C2828" s="40" t="n">
        <v>94060943.12</v>
      </c>
      <c r="D2828" s="40" t="n">
        <f aca="false">MAX(D2827,C2828)</f>
        <v>111220847.9</v>
      </c>
      <c r="E2828" s="41" t="n">
        <f aca="false">C2828/D2828-1</f>
        <v>-0.15428676461295</v>
      </c>
      <c r="F2828" s="42" t="n">
        <f aca="false">YEAR(A2828)</f>
        <v>2024</v>
      </c>
    </row>
    <row r="2829" customFormat="false" ht="15" hidden="false" customHeight="false" outlineLevel="0" collapsed="false">
      <c r="A2829" s="38" t="n">
        <v>45607</v>
      </c>
      <c r="B2829" s="39" t="n">
        <v>1312.5</v>
      </c>
      <c r="C2829" s="40" t="n">
        <v>94060943.12</v>
      </c>
      <c r="D2829" s="40" t="n">
        <f aca="false">MAX(D2828,C2829)</f>
        <v>111220847.9</v>
      </c>
      <c r="E2829" s="41" t="n">
        <f aca="false">C2829/D2829-1</f>
        <v>-0.15428676461295</v>
      </c>
      <c r="F2829" s="42" t="n">
        <f aca="false">YEAR(A2829)</f>
        <v>2024</v>
      </c>
    </row>
    <row r="2830" customFormat="false" ht="15" hidden="false" customHeight="false" outlineLevel="0" collapsed="false">
      <c r="A2830" s="38" t="n">
        <v>45608</v>
      </c>
      <c r="B2830" s="39" t="n">
        <v>1291</v>
      </c>
      <c r="C2830" s="40" t="n">
        <v>94060943.12</v>
      </c>
      <c r="D2830" s="40" t="n">
        <f aca="false">MAX(D2829,C2830)</f>
        <v>111220847.9</v>
      </c>
      <c r="E2830" s="41" t="n">
        <f aca="false">C2830/D2830-1</f>
        <v>-0.15428676461295</v>
      </c>
      <c r="F2830" s="42" t="n">
        <f aca="false">YEAR(A2830)</f>
        <v>2024</v>
      </c>
    </row>
    <row r="2831" customFormat="false" ht="15" hidden="false" customHeight="false" outlineLevel="0" collapsed="false">
      <c r="A2831" s="38" t="n">
        <v>45609</v>
      </c>
      <c r="B2831" s="39" t="n">
        <v>1296.5</v>
      </c>
      <c r="C2831" s="40" t="n">
        <v>94060943.12</v>
      </c>
      <c r="D2831" s="40" t="n">
        <f aca="false">MAX(D2830,C2831)</f>
        <v>111220847.9</v>
      </c>
      <c r="E2831" s="41" t="n">
        <f aca="false">C2831/D2831-1</f>
        <v>-0.15428676461295</v>
      </c>
      <c r="F2831" s="42" t="n">
        <f aca="false">YEAR(A2831)</f>
        <v>2024</v>
      </c>
    </row>
    <row r="2832" customFormat="false" ht="15" hidden="false" customHeight="false" outlineLevel="0" collapsed="false">
      <c r="A2832" s="38" t="n">
        <v>45610</v>
      </c>
      <c r="B2832" s="39" t="n">
        <v>1281</v>
      </c>
      <c r="C2832" s="40" t="n">
        <v>94060943.12</v>
      </c>
      <c r="D2832" s="40" t="n">
        <f aca="false">MAX(D2831,C2832)</f>
        <v>111220847.9</v>
      </c>
      <c r="E2832" s="41" t="n">
        <f aca="false">C2832/D2832-1</f>
        <v>-0.15428676461295</v>
      </c>
      <c r="F2832" s="42" t="n">
        <f aca="false">YEAR(A2832)</f>
        <v>2024</v>
      </c>
    </row>
    <row r="2833" customFormat="false" ht="15" hidden="false" customHeight="false" outlineLevel="0" collapsed="false">
      <c r="A2833" s="38" t="n">
        <v>45611</v>
      </c>
      <c r="B2833" s="39" t="n">
        <v>1273.5</v>
      </c>
      <c r="C2833" s="40" t="n">
        <v>94060943.12</v>
      </c>
      <c r="D2833" s="40" t="n">
        <f aca="false">MAX(D2832,C2833)</f>
        <v>111220847.9</v>
      </c>
      <c r="E2833" s="41" t="n">
        <f aca="false">C2833/D2833-1</f>
        <v>-0.15428676461295</v>
      </c>
      <c r="F2833" s="42" t="n">
        <f aca="false">YEAR(A2833)</f>
        <v>2024</v>
      </c>
    </row>
    <row r="2834" customFormat="false" ht="15" hidden="false" customHeight="false" outlineLevel="0" collapsed="false">
      <c r="A2834" s="38" t="n">
        <v>45614</v>
      </c>
      <c r="B2834" s="39" t="n">
        <v>1287.5</v>
      </c>
      <c r="C2834" s="40" t="n">
        <v>94060943.12</v>
      </c>
      <c r="D2834" s="40" t="n">
        <f aca="false">MAX(D2833,C2834)</f>
        <v>111220847.9</v>
      </c>
      <c r="E2834" s="41" t="n">
        <f aca="false">C2834/D2834-1</f>
        <v>-0.15428676461295</v>
      </c>
      <c r="F2834" s="42" t="n">
        <f aca="false">YEAR(A2834)</f>
        <v>2024</v>
      </c>
    </row>
    <row r="2835" customFormat="false" ht="15" hidden="false" customHeight="false" outlineLevel="0" collapsed="false">
      <c r="A2835" s="38" t="n">
        <v>45615</v>
      </c>
      <c r="B2835" s="39" t="n">
        <v>1304</v>
      </c>
      <c r="C2835" s="40" t="n">
        <v>94060943.12</v>
      </c>
      <c r="D2835" s="40" t="n">
        <f aca="false">MAX(D2834,C2835)</f>
        <v>111220847.9</v>
      </c>
      <c r="E2835" s="41" t="n">
        <f aca="false">C2835/D2835-1</f>
        <v>-0.15428676461295</v>
      </c>
      <c r="F2835" s="42" t="n">
        <f aca="false">YEAR(A2835)</f>
        <v>2024</v>
      </c>
    </row>
    <row r="2836" customFormat="false" ht="15" hidden="false" customHeight="false" outlineLevel="0" collapsed="false">
      <c r="A2836" s="38" t="n">
        <v>45616</v>
      </c>
      <c r="B2836" s="39" t="n">
        <v>1294</v>
      </c>
      <c r="C2836" s="40" t="n">
        <v>94060943.12</v>
      </c>
      <c r="D2836" s="40" t="n">
        <f aca="false">MAX(D2835,C2836)</f>
        <v>111220847.9</v>
      </c>
      <c r="E2836" s="41" t="n">
        <f aca="false">C2836/D2836-1</f>
        <v>-0.15428676461295</v>
      </c>
      <c r="F2836" s="42" t="n">
        <f aca="false">YEAR(A2836)</f>
        <v>2024</v>
      </c>
    </row>
    <row r="2837" customFormat="false" ht="15" hidden="false" customHeight="false" outlineLevel="0" collapsed="false">
      <c r="A2837" s="38" t="n">
        <v>45617</v>
      </c>
      <c r="B2837" s="39" t="n">
        <v>1324</v>
      </c>
      <c r="C2837" s="40" t="n">
        <v>94060943.12</v>
      </c>
      <c r="D2837" s="40" t="n">
        <f aca="false">MAX(D2836,C2837)</f>
        <v>111220847.9</v>
      </c>
      <c r="E2837" s="41" t="n">
        <f aca="false">C2837/D2837-1</f>
        <v>-0.15428676461295</v>
      </c>
      <c r="F2837" s="42" t="n">
        <f aca="false">YEAR(A2837)</f>
        <v>2024</v>
      </c>
    </row>
    <row r="2838" customFormat="false" ht="15" hidden="false" customHeight="false" outlineLevel="0" collapsed="false">
      <c r="A2838" s="38" t="n">
        <v>45618</v>
      </c>
      <c r="B2838" s="39" t="n">
        <v>1293.5</v>
      </c>
      <c r="C2838" s="40" t="n">
        <v>94060943.12</v>
      </c>
      <c r="D2838" s="40" t="n">
        <f aca="false">MAX(D2837,C2838)</f>
        <v>111220847.9</v>
      </c>
      <c r="E2838" s="41" t="n">
        <f aca="false">C2838/D2838-1</f>
        <v>-0.15428676461295</v>
      </c>
      <c r="F2838" s="42" t="n">
        <f aca="false">YEAR(A2838)</f>
        <v>2024</v>
      </c>
    </row>
    <row r="2839" customFormat="false" ht="15" hidden="false" customHeight="false" outlineLevel="0" collapsed="false">
      <c r="A2839" s="38" t="n">
        <v>45621</v>
      </c>
      <c r="B2839" s="39" t="n">
        <v>1284</v>
      </c>
      <c r="C2839" s="40" t="n">
        <v>94060943.12</v>
      </c>
      <c r="D2839" s="40" t="n">
        <f aca="false">MAX(D2838,C2839)</f>
        <v>111220847.9</v>
      </c>
      <c r="E2839" s="41" t="n">
        <f aca="false">C2839/D2839-1</f>
        <v>-0.15428676461295</v>
      </c>
      <c r="F2839" s="42" t="n">
        <f aca="false">YEAR(A2839)</f>
        <v>2024</v>
      </c>
    </row>
    <row r="2840" customFormat="false" ht="15" hidden="false" customHeight="false" outlineLevel="0" collapsed="false">
      <c r="A2840" s="38" t="n">
        <v>45622</v>
      </c>
      <c r="B2840" s="39" t="n">
        <v>1283.5</v>
      </c>
      <c r="C2840" s="40" t="n">
        <v>94060943.12</v>
      </c>
      <c r="D2840" s="40" t="n">
        <f aca="false">MAX(D2839,C2840)</f>
        <v>111220847.9</v>
      </c>
      <c r="E2840" s="41" t="n">
        <f aca="false">C2840/D2840-1</f>
        <v>-0.15428676461295</v>
      </c>
      <c r="F2840" s="42" t="n">
        <f aca="false">YEAR(A2840)</f>
        <v>2024</v>
      </c>
    </row>
    <row r="2841" customFormat="false" ht="15" hidden="false" customHeight="false" outlineLevel="0" collapsed="false">
      <c r="A2841" s="38" t="n">
        <v>45623</v>
      </c>
      <c r="B2841" s="39" t="n">
        <v>1268.5</v>
      </c>
      <c r="C2841" s="40" t="n">
        <v>94060943.12</v>
      </c>
      <c r="D2841" s="40" t="n">
        <f aca="false">MAX(D2840,C2841)</f>
        <v>111220847.9</v>
      </c>
      <c r="E2841" s="41" t="n">
        <f aca="false">C2841/D2841-1</f>
        <v>-0.15428676461295</v>
      </c>
      <c r="F2841" s="42" t="n">
        <f aca="false">YEAR(A2841)</f>
        <v>2024</v>
      </c>
    </row>
    <row r="2842" customFormat="false" ht="15" hidden="false" customHeight="false" outlineLevel="0" collapsed="false">
      <c r="A2842" s="38" t="n">
        <v>45624</v>
      </c>
      <c r="B2842" s="39" t="n">
        <v>1253</v>
      </c>
      <c r="C2842" s="40" t="n">
        <v>99267562.03</v>
      </c>
      <c r="D2842" s="40" t="n">
        <f aca="false">MAX(D2841,C2842)</f>
        <v>111220847.9</v>
      </c>
      <c r="E2842" s="41" t="n">
        <f aca="false">C2842/D2842-1</f>
        <v>-0.107473428729363</v>
      </c>
      <c r="F2842" s="42" t="n">
        <f aca="false">YEAR(A2842)</f>
        <v>2024</v>
      </c>
    </row>
    <row r="2843" customFormat="false" ht="15" hidden="false" customHeight="false" outlineLevel="0" collapsed="false">
      <c r="A2843" s="38" t="n">
        <v>45625</v>
      </c>
      <c r="B2843" s="39" t="n">
        <v>1258</v>
      </c>
      <c r="C2843" s="40" t="n">
        <v>97724662.03</v>
      </c>
      <c r="D2843" s="40" t="n">
        <f aca="false">MAX(D2842,C2843)</f>
        <v>111220847.9</v>
      </c>
      <c r="E2843" s="41" t="n">
        <f aca="false">C2843/D2843-1</f>
        <v>-0.121345827916495</v>
      </c>
      <c r="F2843" s="42" t="n">
        <f aca="false">YEAR(A2843)</f>
        <v>2024</v>
      </c>
    </row>
    <row r="2844" customFormat="false" ht="15" hidden="false" customHeight="false" outlineLevel="0" collapsed="false">
      <c r="A2844" s="38" t="n">
        <v>45628</v>
      </c>
      <c r="B2844" s="39" t="n">
        <v>1250.5</v>
      </c>
      <c r="C2844" s="40" t="n">
        <v>100039012.03</v>
      </c>
      <c r="D2844" s="40" t="n">
        <f aca="false">MAX(D2843,C2844)</f>
        <v>111220847.9</v>
      </c>
      <c r="E2844" s="41" t="n">
        <f aca="false">C2844/D2844-1</f>
        <v>-0.100537229135798</v>
      </c>
      <c r="F2844" s="42" t="n">
        <f aca="false">YEAR(A2844)</f>
        <v>2024</v>
      </c>
    </row>
    <row r="2845" customFormat="false" ht="15" hidden="false" customHeight="false" outlineLevel="0" collapsed="false">
      <c r="A2845" s="38" t="n">
        <v>45629</v>
      </c>
      <c r="B2845" s="39" t="n">
        <v>1248.5</v>
      </c>
      <c r="C2845" s="40" t="n">
        <v>100656172.03</v>
      </c>
      <c r="D2845" s="40" t="n">
        <f aca="false">MAX(D2844,C2845)</f>
        <v>111220847.9</v>
      </c>
      <c r="E2845" s="41" t="n">
        <f aca="false">C2845/D2845-1</f>
        <v>-0.0949882694609452</v>
      </c>
      <c r="F2845" s="42" t="n">
        <f aca="false">YEAR(A2845)</f>
        <v>2024</v>
      </c>
    </row>
    <row r="2846" customFormat="false" ht="15" hidden="false" customHeight="false" outlineLevel="0" collapsed="false">
      <c r="A2846" s="38" t="n">
        <v>45630</v>
      </c>
      <c r="B2846" s="39" t="n">
        <v>1216</v>
      </c>
      <c r="C2846" s="40" t="n">
        <v>110685022.03</v>
      </c>
      <c r="D2846" s="40" t="n">
        <f aca="false">MAX(D2845,C2846)</f>
        <v>111220847.9</v>
      </c>
      <c r="E2846" s="41" t="n">
        <f aca="false">C2846/D2846-1</f>
        <v>-0.0048176747445926</v>
      </c>
      <c r="F2846" s="42" t="n">
        <f aca="false">YEAR(A2846)</f>
        <v>2024</v>
      </c>
    </row>
    <row r="2847" customFormat="false" ht="15" hidden="false" customHeight="false" outlineLevel="0" collapsed="false">
      <c r="A2847" s="38" t="n">
        <v>45631</v>
      </c>
      <c r="B2847" s="39" t="n">
        <v>1194</v>
      </c>
      <c r="C2847" s="40" t="n">
        <v>117473782.03</v>
      </c>
      <c r="D2847" s="40" t="n">
        <f aca="false">MAX(D2846,C2847)</f>
        <v>117473782.03</v>
      </c>
      <c r="E2847" s="41" t="n">
        <f aca="false">C2847/D2847-1</f>
        <v>0</v>
      </c>
      <c r="F2847" s="42" t="n">
        <f aca="false">YEAR(A2847)</f>
        <v>2024</v>
      </c>
    </row>
    <row r="2848" customFormat="false" ht="15" hidden="false" customHeight="false" outlineLevel="0" collapsed="false">
      <c r="A2848" s="38" t="n">
        <v>45632</v>
      </c>
      <c r="B2848" s="39" t="n">
        <v>1193.5</v>
      </c>
      <c r="C2848" s="40" t="n">
        <v>117628072.03</v>
      </c>
      <c r="D2848" s="40" t="n">
        <f aca="false">MAX(D2847,C2848)</f>
        <v>117628072.03</v>
      </c>
      <c r="E2848" s="41" t="n">
        <f aca="false">C2848/D2848-1</f>
        <v>0</v>
      </c>
      <c r="F2848" s="42" t="n">
        <f aca="false">YEAR(A2848)</f>
        <v>2024</v>
      </c>
    </row>
    <row r="2849" customFormat="false" ht="15" hidden="false" customHeight="false" outlineLevel="0" collapsed="false">
      <c r="A2849" s="38" t="n">
        <v>45635</v>
      </c>
      <c r="B2849" s="39" t="n">
        <v>1175</v>
      </c>
      <c r="C2849" s="40" t="n">
        <v>123336802.03</v>
      </c>
      <c r="D2849" s="40" t="n">
        <f aca="false">MAX(D2848,C2849)</f>
        <v>123336802.03</v>
      </c>
      <c r="E2849" s="41" t="n">
        <f aca="false">C2849/D2849-1</f>
        <v>0</v>
      </c>
      <c r="F2849" s="42" t="n">
        <f aca="false">YEAR(A2849)</f>
        <v>2024</v>
      </c>
    </row>
    <row r="2850" customFormat="false" ht="15" hidden="false" customHeight="false" outlineLevel="0" collapsed="false">
      <c r="A2850" s="38" t="n">
        <v>45636</v>
      </c>
      <c r="B2850" s="39" t="n">
        <v>1191.5</v>
      </c>
      <c r="C2850" s="40" t="n">
        <v>118245232.03</v>
      </c>
      <c r="D2850" s="40" t="n">
        <f aca="false">MAX(D2849,C2850)</f>
        <v>123336802.03</v>
      </c>
      <c r="E2850" s="41" t="n">
        <f aca="false">C2850/D2850-1</f>
        <v>-0.0412818389661307</v>
      </c>
      <c r="F2850" s="42" t="n">
        <f aca="false">YEAR(A2850)</f>
        <v>2024</v>
      </c>
    </row>
    <row r="2851" customFormat="false" ht="15" hidden="false" customHeight="false" outlineLevel="0" collapsed="false">
      <c r="A2851" s="38" t="n">
        <v>45637</v>
      </c>
      <c r="B2851" s="39" t="n">
        <v>1215</v>
      </c>
      <c r="C2851" s="40" t="n">
        <v>110993602.03</v>
      </c>
      <c r="D2851" s="40" t="n">
        <f aca="false">MAX(D2850,C2851)</f>
        <v>123336802.03</v>
      </c>
      <c r="E2851" s="41" t="n">
        <f aca="false">C2851/D2851-1</f>
        <v>-0.100077185372438</v>
      </c>
      <c r="F2851" s="42" t="n">
        <f aca="false">YEAR(A2851)</f>
        <v>2024</v>
      </c>
    </row>
    <row r="2852" customFormat="false" ht="15" hidden="false" customHeight="false" outlineLevel="0" collapsed="false">
      <c r="A2852" s="38" t="n">
        <v>45638</v>
      </c>
      <c r="B2852" s="39" t="n">
        <v>1231.5</v>
      </c>
      <c r="C2852" s="40" t="n">
        <v>105902032.03</v>
      </c>
      <c r="D2852" s="40" t="n">
        <f aca="false">MAX(D2851,C2852)</f>
        <v>123336802.03</v>
      </c>
      <c r="E2852" s="41" t="n">
        <f aca="false">C2852/D2852-1</f>
        <v>-0.141359024338569</v>
      </c>
      <c r="F2852" s="42" t="n">
        <f aca="false">YEAR(A2852)</f>
        <v>2024</v>
      </c>
    </row>
    <row r="2853" customFormat="false" ht="15" hidden="false" customHeight="false" outlineLevel="0" collapsed="false">
      <c r="A2853" s="38" t="n">
        <v>45639</v>
      </c>
      <c r="B2853" s="39" t="n">
        <v>1198.5</v>
      </c>
      <c r="C2853" s="40" t="n">
        <v>116085172.03</v>
      </c>
      <c r="D2853" s="40" t="n">
        <f aca="false">MAX(D2852,C2853)</f>
        <v>123336802.03</v>
      </c>
      <c r="E2853" s="41" t="n">
        <f aca="false">C2853/D2853-1</f>
        <v>-0.0587953464063074</v>
      </c>
      <c r="F2853" s="42" t="n">
        <f aca="false">YEAR(A2853)</f>
        <v>2024</v>
      </c>
    </row>
    <row r="2854" customFormat="false" ht="15" hidden="false" customHeight="false" outlineLevel="0" collapsed="false">
      <c r="A2854" s="38" t="n">
        <v>45642</v>
      </c>
      <c r="B2854" s="39" t="n">
        <v>1180</v>
      </c>
      <c r="C2854" s="40" t="n">
        <v>121793902.03</v>
      </c>
      <c r="D2854" s="40" t="n">
        <f aca="false">MAX(D2853,C2854)</f>
        <v>123336802.03</v>
      </c>
      <c r="E2854" s="41" t="n">
        <f aca="false">C2854/D2854-1</f>
        <v>-0.0125096481715548</v>
      </c>
      <c r="F2854" s="42" t="n">
        <f aca="false">YEAR(A2854)</f>
        <v>2024</v>
      </c>
    </row>
    <row r="2855" customFormat="false" ht="15" hidden="false" customHeight="false" outlineLevel="0" collapsed="false">
      <c r="A2855" s="38" t="n">
        <v>45643</v>
      </c>
      <c r="B2855" s="39" t="n">
        <v>1184</v>
      </c>
      <c r="C2855" s="40" t="n">
        <v>120559582.03</v>
      </c>
      <c r="D2855" s="40" t="n">
        <f aca="false">MAX(D2854,C2855)</f>
        <v>123336802.03</v>
      </c>
      <c r="E2855" s="41" t="n">
        <f aca="false">C2855/D2855-1</f>
        <v>-0.0225173667087986</v>
      </c>
      <c r="F2855" s="42" t="n">
        <f aca="false">YEAR(A2855)</f>
        <v>2024</v>
      </c>
    </row>
    <row r="2856" customFormat="false" ht="15" hidden="false" customHeight="false" outlineLevel="0" collapsed="false">
      <c r="A2856" s="38" t="n">
        <v>45644</v>
      </c>
      <c r="B2856" s="39" t="n">
        <v>1155.5</v>
      </c>
      <c r="C2856" s="40" t="n">
        <v>129354112.03</v>
      </c>
      <c r="D2856" s="40" t="n">
        <f aca="false">MAX(D2855,C2856)</f>
        <v>129354112.03</v>
      </c>
      <c r="E2856" s="41" t="n">
        <f aca="false">C2856/D2856-1</f>
        <v>0</v>
      </c>
      <c r="F2856" s="42" t="n">
        <f aca="false">YEAR(A2856)</f>
        <v>2024</v>
      </c>
    </row>
    <row r="2857" customFormat="false" ht="15" hidden="false" customHeight="false" outlineLevel="0" collapsed="false">
      <c r="A2857" s="38" t="n">
        <v>45645</v>
      </c>
      <c r="B2857" s="39" t="n">
        <v>1130</v>
      </c>
      <c r="C2857" s="40" t="n">
        <v>137222902.03</v>
      </c>
      <c r="D2857" s="40" t="n">
        <f aca="false">MAX(D2856,C2857)</f>
        <v>137222902.03</v>
      </c>
      <c r="E2857" s="41" t="n">
        <f aca="false">C2857/D2857-1</f>
        <v>0</v>
      </c>
      <c r="F2857" s="42" t="n">
        <f aca="false">YEAR(A2857)</f>
        <v>2024</v>
      </c>
    </row>
    <row r="2858" customFormat="false" ht="15" hidden="false" customHeight="false" outlineLevel="0" collapsed="false">
      <c r="A2858" s="38" t="n">
        <v>45646</v>
      </c>
      <c r="B2858" s="39" t="n">
        <v>1142.5</v>
      </c>
      <c r="C2858" s="40" t="n">
        <v>133365652.03</v>
      </c>
      <c r="D2858" s="40" t="n">
        <f aca="false">MAX(D2857,C2858)</f>
        <v>137222902.03</v>
      </c>
      <c r="E2858" s="41" t="n">
        <f aca="false">C2858/D2858-1</f>
        <v>-0.0281093749143763</v>
      </c>
      <c r="F2858" s="42" t="n">
        <f aca="false">YEAR(A2858)</f>
        <v>2024</v>
      </c>
    </row>
    <row r="2859" customFormat="false" ht="15" hidden="false" customHeight="false" outlineLevel="0" collapsed="false">
      <c r="A2859" s="38" t="n">
        <v>45649</v>
      </c>
      <c r="B2859" s="39" t="n">
        <v>1140</v>
      </c>
      <c r="C2859" s="40" t="n">
        <v>134137102.03</v>
      </c>
      <c r="D2859" s="40" t="n">
        <f aca="false">MAX(D2858,C2859)</f>
        <v>137222902.03</v>
      </c>
      <c r="E2859" s="41" t="n">
        <f aca="false">C2859/D2859-1</f>
        <v>-0.022487499931501</v>
      </c>
      <c r="F2859" s="42" t="n">
        <f aca="false">YEAR(A2859)</f>
        <v>2024</v>
      </c>
    </row>
    <row r="2860" customFormat="false" ht="15" hidden="false" customHeight="false" outlineLevel="0" collapsed="false">
      <c r="A2860" s="38" t="n">
        <v>45650</v>
      </c>
      <c r="B2860" s="39" t="n">
        <v>1135.5</v>
      </c>
      <c r="C2860" s="40" t="n">
        <v>135525712.03</v>
      </c>
      <c r="D2860" s="40" t="n">
        <f aca="false">MAX(D2859,C2860)</f>
        <v>137222902.03</v>
      </c>
      <c r="E2860" s="41" t="n">
        <f aca="false">C2860/D2860-1</f>
        <v>-0.0123681249623255</v>
      </c>
      <c r="F2860" s="42" t="n">
        <f aca="false">YEAR(A2860)</f>
        <v>2024</v>
      </c>
    </row>
    <row r="2861" customFormat="false" ht="15" hidden="false" customHeight="false" outlineLevel="0" collapsed="false">
      <c r="A2861" s="38" t="n">
        <v>45651</v>
      </c>
      <c r="B2861" s="39" t="n">
        <v>1135.5</v>
      </c>
      <c r="C2861" s="40" t="n">
        <v>135525712.03</v>
      </c>
      <c r="D2861" s="40" t="n">
        <f aca="false">MAX(D2860,C2861)</f>
        <v>137222902.03</v>
      </c>
      <c r="E2861" s="41" t="n">
        <f aca="false">C2861/D2861-1</f>
        <v>-0.0123681249623255</v>
      </c>
      <c r="F2861" s="42" t="n">
        <f aca="false">YEAR(A2861)</f>
        <v>2024</v>
      </c>
    </row>
    <row r="2862" customFormat="false" ht="15" hidden="false" customHeight="false" outlineLevel="0" collapsed="false">
      <c r="A2862" s="38" t="n">
        <v>45652</v>
      </c>
      <c r="B2862" s="39" t="n">
        <v>1124</v>
      </c>
      <c r="C2862" s="40" t="n">
        <v>139074382.03</v>
      </c>
      <c r="D2862" s="40" t="n">
        <f aca="false">MAX(D2861,C2862)</f>
        <v>139074382.03</v>
      </c>
      <c r="E2862" s="41" t="n">
        <f aca="false">C2862/D2862-1</f>
        <v>0</v>
      </c>
      <c r="F2862" s="42" t="n">
        <f aca="false">YEAR(A2862)</f>
        <v>2024</v>
      </c>
    </row>
    <row r="2863" customFormat="false" ht="15" hidden="false" customHeight="false" outlineLevel="0" collapsed="false">
      <c r="A2863" s="38" t="n">
        <v>45653</v>
      </c>
      <c r="B2863" s="39" t="n">
        <v>1127.5</v>
      </c>
      <c r="C2863" s="40" t="n">
        <v>137994352.03</v>
      </c>
      <c r="D2863" s="40" t="n">
        <f aca="false">MAX(D2862,C2863)</f>
        <v>139074382.03</v>
      </c>
      <c r="E2863" s="41" t="n">
        <f aca="false">C2863/D2863-1</f>
        <v>-0.00776584432183225</v>
      </c>
      <c r="F2863" s="42" t="n">
        <f aca="false">YEAR(A2863)</f>
        <v>2024</v>
      </c>
    </row>
    <row r="2864" customFormat="false" ht="15" hidden="false" customHeight="false" outlineLevel="0" collapsed="false">
      <c r="A2864" s="38" t="n">
        <v>45656</v>
      </c>
      <c r="B2864" s="39" t="n">
        <v>1147.5</v>
      </c>
      <c r="C2864" s="40" t="n">
        <v>131822752.03</v>
      </c>
      <c r="D2864" s="40" t="n">
        <f aca="false">MAX(D2863,C2864)</f>
        <v>139074382.03</v>
      </c>
      <c r="E2864" s="41" t="n">
        <f aca="false">C2864/D2864-1</f>
        <v>-0.0521420975894449</v>
      </c>
      <c r="F2864" s="42" t="n">
        <f aca="false">YEAR(A2864)</f>
        <v>2024</v>
      </c>
    </row>
    <row r="2865" customFormat="false" ht="15" hidden="false" customHeight="false" outlineLevel="0" collapsed="false">
      <c r="A2865" s="38" t="n">
        <v>45657</v>
      </c>
      <c r="B2865" s="39" t="n">
        <v>1159.5</v>
      </c>
      <c r="C2865" s="40" t="n">
        <v>128119792.03</v>
      </c>
      <c r="D2865" s="40" t="n">
        <f aca="false">MAX(D2864,C2865)</f>
        <v>139074382.03</v>
      </c>
      <c r="E2865" s="41" t="n">
        <f aca="false">C2865/D2865-1</f>
        <v>-0.0787678495500125</v>
      </c>
      <c r="F2865" s="42" t="n">
        <f aca="false">YEAR(A2865)</f>
        <v>2024</v>
      </c>
    </row>
    <row r="2866" customFormat="false" ht="15" hidden="false" customHeight="false" outlineLevel="0" collapsed="false">
      <c r="A2866" s="38" t="n">
        <v>45659</v>
      </c>
      <c r="B2866" s="39" t="n">
        <v>1172.5</v>
      </c>
      <c r="C2866" s="40" t="n">
        <v>124108252.03</v>
      </c>
      <c r="D2866" s="40" t="n">
        <f aca="false">MAX(D2865,C2866)</f>
        <v>139074382.03</v>
      </c>
      <c r="E2866" s="41" t="n">
        <f aca="false">C2866/D2866-1</f>
        <v>-0.107612414173961</v>
      </c>
      <c r="F2866" s="42" t="n">
        <f aca="false">YEAR(A2866)</f>
        <v>2025</v>
      </c>
    </row>
    <row r="2867" customFormat="false" ht="15" hidden="false" customHeight="false" outlineLevel="0" collapsed="false">
      <c r="A2867" s="38" t="n">
        <v>45660</v>
      </c>
      <c r="B2867" s="39" t="n">
        <v>1148</v>
      </c>
      <c r="C2867" s="40" t="n">
        <v>131668462.03</v>
      </c>
      <c r="D2867" s="40" t="n">
        <f aca="false">MAX(D2866,C2867)</f>
        <v>139074382.03</v>
      </c>
      <c r="E2867" s="41" t="n">
        <f aca="false">C2867/D2867-1</f>
        <v>-0.0532515039211352</v>
      </c>
      <c r="F2867" s="42" t="n">
        <f aca="false">YEAR(A2867)</f>
        <v>2025</v>
      </c>
    </row>
    <row r="2868" customFormat="false" ht="15" hidden="false" customHeight="false" outlineLevel="0" collapsed="false">
      <c r="A2868" s="38" t="n">
        <v>45663</v>
      </c>
      <c r="B2868" s="39" t="n">
        <v>1155</v>
      </c>
      <c r="C2868" s="40" t="n">
        <v>129508402.03</v>
      </c>
      <c r="D2868" s="40" t="n">
        <f aca="false">MAX(D2867,C2868)</f>
        <v>139074382.03</v>
      </c>
      <c r="E2868" s="41" t="n">
        <f aca="false">C2868/D2868-1</f>
        <v>-0.0687831925647996</v>
      </c>
      <c r="F2868" s="42" t="n">
        <f aca="false">YEAR(A2868)</f>
        <v>2025</v>
      </c>
    </row>
    <row r="2869" customFormat="false" ht="15" hidden="false" customHeight="false" outlineLevel="0" collapsed="false">
      <c r="A2869" s="38" t="n">
        <v>45664</v>
      </c>
      <c r="B2869" s="39" t="n">
        <v>1127</v>
      </c>
      <c r="C2869" s="40" t="n">
        <v>138148642.03</v>
      </c>
      <c r="D2869" s="40" t="n">
        <f aca="false">MAX(D2868,C2869)</f>
        <v>139074382.03</v>
      </c>
      <c r="E2869" s="41" t="n">
        <f aca="false">C2869/D2869-1</f>
        <v>-0.00665643799014193</v>
      </c>
      <c r="F2869" s="42" t="n">
        <f aca="false">YEAR(A2869)</f>
        <v>2025</v>
      </c>
    </row>
    <row r="2870" customFormat="false" ht="15" hidden="false" customHeight="false" outlineLevel="0" collapsed="false">
      <c r="A2870" s="38" t="n">
        <v>45665</v>
      </c>
      <c r="B2870" s="39" t="n">
        <v>1103</v>
      </c>
      <c r="C2870" s="40" t="n">
        <v>145554562.03</v>
      </c>
      <c r="D2870" s="40" t="n">
        <f aca="false">MAX(D2869,C2870)</f>
        <v>145554562.03</v>
      </c>
      <c r="E2870" s="41" t="n">
        <f aca="false">C2870/D2870-1</f>
        <v>0</v>
      </c>
      <c r="F2870" s="42" t="n">
        <f aca="false">YEAR(A2870)</f>
        <v>2025</v>
      </c>
    </row>
    <row r="2871" customFormat="false" ht="15" hidden="false" customHeight="false" outlineLevel="0" collapsed="false">
      <c r="A2871" s="38" t="n">
        <v>45666</v>
      </c>
      <c r="B2871" s="39" t="n">
        <v>1096.5</v>
      </c>
      <c r="C2871" s="40" t="n">
        <v>147560332.03</v>
      </c>
      <c r="D2871" s="40" t="n">
        <f aca="false">MAX(D2870,C2871)</f>
        <v>147560332.03</v>
      </c>
      <c r="E2871" s="41" t="n">
        <f aca="false">C2871/D2871-1</f>
        <v>0</v>
      </c>
      <c r="F2871" s="42" t="n">
        <f aca="false">YEAR(A2871)</f>
        <v>2025</v>
      </c>
    </row>
    <row r="2872" customFormat="false" ht="15" hidden="false" customHeight="false" outlineLevel="0" collapsed="false">
      <c r="A2872" s="38" t="n">
        <v>45667</v>
      </c>
      <c r="B2872" s="39" t="n">
        <v>1083.5</v>
      </c>
      <c r="C2872" s="40" t="n">
        <v>151571872.03</v>
      </c>
      <c r="D2872" s="40" t="n">
        <f aca="false">MAX(D2871,C2872)</f>
        <v>151571872.03</v>
      </c>
      <c r="E2872" s="41" t="n">
        <f aca="false">C2872/D2872-1</f>
        <v>0</v>
      </c>
      <c r="F2872" s="42" t="n">
        <f aca="false">YEAR(A2872)</f>
        <v>2025</v>
      </c>
    </row>
    <row r="2873" customFormat="false" ht="15" hidden="false" customHeight="false" outlineLevel="0" collapsed="false">
      <c r="A2873" s="38" t="n">
        <v>45670</v>
      </c>
      <c r="B2873" s="39" t="n">
        <v>1118.5</v>
      </c>
      <c r="C2873" s="40" t="n">
        <v>140771572.03</v>
      </c>
      <c r="D2873" s="40" t="n">
        <f aca="false">MAX(D2872,C2873)</f>
        <v>151571872.03</v>
      </c>
      <c r="E2873" s="41" t="n">
        <f aca="false">C2873/D2873-1</f>
        <v>-0.0712553051918653</v>
      </c>
      <c r="F2873" s="42" t="n">
        <f aca="false">YEAR(A2873)</f>
        <v>2025</v>
      </c>
    </row>
    <row r="2874" customFormat="false" ht="15" hidden="false" customHeight="false" outlineLevel="0" collapsed="false">
      <c r="A2874" s="38" t="n">
        <v>45671</v>
      </c>
      <c r="B2874" s="39" t="n">
        <v>1128.5</v>
      </c>
      <c r="C2874" s="40" t="n">
        <v>137685772.03</v>
      </c>
      <c r="D2874" s="40" t="n">
        <f aca="false">MAX(D2873,C2874)</f>
        <v>151571872.03</v>
      </c>
      <c r="E2874" s="41" t="n">
        <f aca="false">C2874/D2874-1</f>
        <v>-0.0916139638181125</v>
      </c>
      <c r="F2874" s="42" t="n">
        <f aca="false">YEAR(A2874)</f>
        <v>2025</v>
      </c>
    </row>
    <row r="2875" customFormat="false" ht="15" hidden="false" customHeight="false" outlineLevel="0" collapsed="false">
      <c r="A2875" s="38" t="n">
        <v>45672</v>
      </c>
      <c r="B2875" s="39" t="n">
        <v>1126</v>
      </c>
      <c r="C2875" s="40" t="n">
        <v>138457222.03</v>
      </c>
      <c r="D2875" s="40" t="n">
        <f aca="false">MAX(D2874,C2875)</f>
        <v>151571872.03</v>
      </c>
      <c r="E2875" s="41" t="n">
        <f aca="false">C2875/D2875-1</f>
        <v>-0.0865242991615507</v>
      </c>
      <c r="F2875" s="42" t="n">
        <f aca="false">YEAR(A2875)</f>
        <v>2025</v>
      </c>
    </row>
    <row r="2876" customFormat="false" ht="15" hidden="false" customHeight="false" outlineLevel="0" collapsed="false">
      <c r="A2876" s="38" t="n">
        <v>45673</v>
      </c>
      <c r="B2876" s="39" t="n">
        <v>1162.5</v>
      </c>
      <c r="C2876" s="40" t="n">
        <v>127194052.03</v>
      </c>
      <c r="D2876" s="40" t="n">
        <f aca="false">MAX(D2875,C2876)</f>
        <v>151571872.03</v>
      </c>
      <c r="E2876" s="41" t="n">
        <f aca="false">C2876/D2876-1</f>
        <v>-0.160833403147353</v>
      </c>
      <c r="F2876" s="42" t="n">
        <f aca="false">YEAR(A2876)</f>
        <v>2025</v>
      </c>
    </row>
    <row r="2877" customFormat="false" ht="15" hidden="false" customHeight="false" outlineLevel="0" collapsed="false">
      <c r="A2877" s="38" t="n">
        <v>45674</v>
      </c>
      <c r="B2877" s="39" t="n">
        <v>1174</v>
      </c>
      <c r="C2877" s="40" t="n">
        <v>123645382.03</v>
      </c>
      <c r="D2877" s="40" t="n">
        <f aca="false">MAX(D2876,C2877)</f>
        <v>151571872.03</v>
      </c>
      <c r="E2877" s="41" t="n">
        <f aca="false">C2877/D2877-1</f>
        <v>-0.184245860567537</v>
      </c>
      <c r="F2877" s="42" t="n">
        <f aca="false">YEAR(A2877)</f>
        <v>2025</v>
      </c>
    </row>
    <row r="2878" customFormat="false" ht="15" hidden="false" customHeight="false" outlineLevel="0" collapsed="false">
      <c r="A2878" s="38" t="n">
        <v>45677</v>
      </c>
      <c r="B2878" s="39" t="n">
        <v>1138.5</v>
      </c>
      <c r="C2878" s="40" t="n">
        <v>134599972.03</v>
      </c>
      <c r="D2878" s="40" t="n">
        <f aca="false">MAX(D2877,C2878)</f>
        <v>151571872.03</v>
      </c>
      <c r="E2878" s="41" t="n">
        <f aca="false">C2878/D2878-1</f>
        <v>-0.11197262244436</v>
      </c>
      <c r="F2878" s="42" t="n">
        <f aca="false">YEAR(A2878)</f>
        <v>2025</v>
      </c>
    </row>
    <row r="2879" customFormat="false" ht="15" hidden="false" customHeight="false" outlineLevel="0" collapsed="false">
      <c r="A2879" s="38" t="n">
        <v>45678</v>
      </c>
      <c r="B2879" s="39" t="n">
        <v>1153.5</v>
      </c>
      <c r="C2879" s="40" t="n">
        <v>129971272.03</v>
      </c>
      <c r="D2879" s="40" t="n">
        <f aca="false">MAX(D2878,C2879)</f>
        <v>151571872.03</v>
      </c>
      <c r="E2879" s="41" t="n">
        <f aca="false">C2879/D2879-1</f>
        <v>-0.142510610383731</v>
      </c>
      <c r="F2879" s="42" t="n">
        <f aca="false">YEAR(A2879)</f>
        <v>2025</v>
      </c>
    </row>
    <row r="2880" customFormat="false" ht="15" hidden="false" customHeight="false" outlineLevel="0" collapsed="false">
      <c r="A2880" s="38" t="n">
        <v>45679</v>
      </c>
      <c r="B2880" s="39" t="n">
        <v>1144</v>
      </c>
      <c r="C2880" s="40" t="n">
        <v>132902782.03</v>
      </c>
      <c r="D2880" s="40" t="n">
        <f aca="false">MAX(D2879,C2880)</f>
        <v>151571872.03</v>
      </c>
      <c r="E2880" s="41" t="n">
        <f aca="false">C2880/D2880-1</f>
        <v>-0.123169884688796</v>
      </c>
      <c r="F2880" s="42" t="n">
        <f aca="false">YEAR(A2880)</f>
        <v>2025</v>
      </c>
    </row>
    <row r="2881" customFormat="false" ht="15" hidden="false" customHeight="false" outlineLevel="0" collapsed="false">
      <c r="A2881" s="38" t="n">
        <v>45680</v>
      </c>
      <c r="B2881" s="39" t="n">
        <v>1133.5</v>
      </c>
      <c r="C2881" s="40" t="n">
        <v>136142872.03</v>
      </c>
      <c r="D2881" s="40" t="n">
        <f aca="false">MAX(D2880,C2881)</f>
        <v>151571872.03</v>
      </c>
      <c r="E2881" s="41" t="n">
        <f aca="false">C2881/D2881-1</f>
        <v>-0.101793293131236</v>
      </c>
      <c r="F2881" s="42" t="n">
        <f aca="false">YEAR(A2881)</f>
        <v>2025</v>
      </c>
    </row>
    <row r="2882" customFormat="false" ht="15" hidden="false" customHeight="false" outlineLevel="0" collapsed="false">
      <c r="A2882" s="38" t="n">
        <v>45681</v>
      </c>
      <c r="B2882" s="39" t="n">
        <v>1131.5</v>
      </c>
      <c r="C2882" s="40" t="n">
        <v>136760032.03</v>
      </c>
      <c r="D2882" s="40" t="n">
        <f aca="false">MAX(D2881,C2882)</f>
        <v>151571872.03</v>
      </c>
      <c r="E2882" s="41" t="n">
        <f aca="false">C2882/D2882-1</f>
        <v>-0.0977215614059867</v>
      </c>
      <c r="F2882" s="42" t="n">
        <f aca="false">YEAR(A2882)</f>
        <v>2025</v>
      </c>
    </row>
    <row r="2883" customFormat="false" ht="15" hidden="false" customHeight="false" outlineLevel="0" collapsed="false">
      <c r="A2883" s="38" t="n">
        <v>45684</v>
      </c>
      <c r="B2883" s="39" t="n">
        <v>1135.5</v>
      </c>
      <c r="C2883" s="40" t="n">
        <v>135525712.03</v>
      </c>
      <c r="D2883" s="40" t="n">
        <f aca="false">MAX(D2882,C2883)</f>
        <v>151571872.03</v>
      </c>
      <c r="E2883" s="41" t="n">
        <f aca="false">C2883/D2883-1</f>
        <v>-0.105865024856486</v>
      </c>
      <c r="F2883" s="42" t="n">
        <f aca="false">YEAR(A2883)</f>
        <v>2025</v>
      </c>
    </row>
    <row r="2884" customFormat="false" ht="15" hidden="false" customHeight="false" outlineLevel="0" collapsed="false">
      <c r="A2884" s="38" t="n">
        <v>45693</v>
      </c>
      <c r="B2884" s="39" t="n">
        <v>1099.5</v>
      </c>
      <c r="C2884" s="40" t="n">
        <v>146634592.03</v>
      </c>
      <c r="D2884" s="40" t="n">
        <f aca="false">MAX(D2883,C2884)</f>
        <v>151571872.03</v>
      </c>
      <c r="E2884" s="41" t="n">
        <f aca="false">C2884/D2884-1</f>
        <v>-0.0325738538019955</v>
      </c>
      <c r="F2884" s="42" t="n">
        <f aca="false">YEAR(A2884)</f>
        <v>2025</v>
      </c>
    </row>
    <row r="2885" customFormat="false" ht="15" hidden="false" customHeight="false" outlineLevel="0" collapsed="false">
      <c r="A2885" s="38" t="n">
        <v>45694</v>
      </c>
      <c r="B2885" s="39" t="n">
        <v>1127</v>
      </c>
      <c r="C2885" s="40" t="n">
        <v>138148642.03</v>
      </c>
      <c r="D2885" s="40" t="n">
        <f aca="false">MAX(D2884,C2885)</f>
        <v>151571872.03</v>
      </c>
      <c r="E2885" s="41" t="n">
        <f aca="false">C2885/D2885-1</f>
        <v>-0.0885601650241754</v>
      </c>
      <c r="F2885" s="42" t="n">
        <f aca="false">YEAR(A2885)</f>
        <v>2025</v>
      </c>
    </row>
    <row r="2886" customFormat="false" ht="15" hidden="false" customHeight="false" outlineLevel="0" collapsed="false">
      <c r="A2886" s="38" t="n">
        <v>45695</v>
      </c>
      <c r="B2886" s="39" t="n">
        <v>1154.5</v>
      </c>
      <c r="C2886" s="40" t="n">
        <v>129662692.03</v>
      </c>
      <c r="D2886" s="40" t="n">
        <f aca="false">MAX(D2885,C2886)</f>
        <v>151571872.03</v>
      </c>
      <c r="E2886" s="41" t="n">
        <f aca="false">C2886/D2886-1</f>
        <v>-0.144546476246355</v>
      </c>
      <c r="F2886" s="42" t="n">
        <f aca="false">YEAR(A2886)</f>
        <v>2025</v>
      </c>
    </row>
    <row r="2887" customFormat="false" ht="15" hidden="false" customHeight="false" outlineLevel="0" collapsed="false">
      <c r="A2887" s="38" t="n">
        <v>45698</v>
      </c>
      <c r="B2887" s="39" t="n">
        <v>1148</v>
      </c>
      <c r="C2887" s="40" t="n">
        <v>130244236.76</v>
      </c>
      <c r="D2887" s="40" t="n">
        <f aca="false">MAX(D2886,C2887)</f>
        <v>151571872.03</v>
      </c>
      <c r="E2887" s="41" t="n">
        <f aca="false">C2887/D2887-1</f>
        <v>-0.140709717339763</v>
      </c>
      <c r="F2887" s="42" t="n">
        <f aca="false">YEAR(A2887)</f>
        <v>2025</v>
      </c>
    </row>
    <row r="2888" customFormat="false" ht="15" hidden="false" customHeight="false" outlineLevel="0" collapsed="false">
      <c r="A2888" s="38" t="n">
        <v>45699</v>
      </c>
      <c r="B2888" s="39" t="n">
        <v>1124</v>
      </c>
      <c r="C2888" s="40" t="n">
        <v>130244236.76</v>
      </c>
      <c r="D2888" s="40" t="n">
        <f aca="false">MAX(D2887,C2888)</f>
        <v>151571872.03</v>
      </c>
      <c r="E2888" s="41" t="n">
        <f aca="false">C2888/D2888-1</f>
        <v>-0.140709717339763</v>
      </c>
      <c r="F2888" s="42" t="n">
        <f aca="false">YEAR(A2888)</f>
        <v>2025</v>
      </c>
    </row>
    <row r="2889" customFormat="false" ht="15" hidden="false" customHeight="false" outlineLevel="0" collapsed="false">
      <c r="A2889" s="38" t="n">
        <v>45700</v>
      </c>
      <c r="B2889" s="39" t="n">
        <v>1130</v>
      </c>
      <c r="C2889" s="40" t="n">
        <v>130244236.76</v>
      </c>
      <c r="D2889" s="40" t="n">
        <f aca="false">MAX(D2888,C2889)</f>
        <v>151571872.03</v>
      </c>
      <c r="E2889" s="41" t="n">
        <f aca="false">C2889/D2889-1</f>
        <v>-0.140709717339763</v>
      </c>
      <c r="F2889" s="42" t="n">
        <f aca="false">YEAR(A2889)</f>
        <v>2025</v>
      </c>
    </row>
    <row r="2890" customFormat="false" ht="15" hidden="false" customHeight="false" outlineLevel="0" collapsed="false">
      <c r="A2890" s="38" t="n">
        <v>45701</v>
      </c>
      <c r="B2890" s="39" t="n">
        <v>1101.5</v>
      </c>
      <c r="C2890" s="40" t="n">
        <v>130244236.76</v>
      </c>
      <c r="D2890" s="40" t="n">
        <f aca="false">MAX(D2889,C2890)</f>
        <v>151571872.03</v>
      </c>
      <c r="E2890" s="41" t="n">
        <f aca="false">C2890/D2890-1</f>
        <v>-0.140709717339763</v>
      </c>
      <c r="F2890" s="42" t="n">
        <f aca="false">YEAR(A2890)</f>
        <v>2025</v>
      </c>
    </row>
    <row r="2891" customFormat="false" ht="15" hidden="false" customHeight="false" outlineLevel="0" collapsed="false">
      <c r="A2891" s="38" t="n">
        <v>45702</v>
      </c>
      <c r="B2891" s="39" t="n">
        <v>1088</v>
      </c>
      <c r="C2891" s="40" t="n">
        <v>130244236.76</v>
      </c>
      <c r="D2891" s="40" t="n">
        <f aca="false">MAX(D2890,C2891)</f>
        <v>151571872.03</v>
      </c>
      <c r="E2891" s="41" t="n">
        <f aca="false">C2891/D2891-1</f>
        <v>-0.140709717339763</v>
      </c>
      <c r="F2891" s="42" t="n">
        <f aca="false">YEAR(A2891)</f>
        <v>2025</v>
      </c>
    </row>
    <row r="2892" customFormat="false" ht="15" hidden="false" customHeight="false" outlineLevel="0" collapsed="false">
      <c r="A2892" s="38" t="n">
        <v>45705</v>
      </c>
      <c r="B2892" s="39" t="n">
        <v>1093</v>
      </c>
      <c r="C2892" s="40" t="n">
        <v>130244236.76</v>
      </c>
      <c r="D2892" s="40" t="n">
        <f aca="false">MAX(D2891,C2892)</f>
        <v>151571872.03</v>
      </c>
      <c r="E2892" s="41" t="n">
        <f aca="false">C2892/D2892-1</f>
        <v>-0.140709717339763</v>
      </c>
      <c r="F2892" s="42" t="n">
        <f aca="false">YEAR(A2892)</f>
        <v>2025</v>
      </c>
    </row>
    <row r="2893" customFormat="false" ht="15" hidden="false" customHeight="false" outlineLevel="0" collapsed="false">
      <c r="A2893" s="38" t="n">
        <v>45706</v>
      </c>
      <c r="B2893" s="39" t="n">
        <v>1098.5</v>
      </c>
      <c r="C2893" s="40" t="n">
        <v>130244236.76</v>
      </c>
      <c r="D2893" s="40" t="n">
        <f aca="false">MAX(D2892,C2893)</f>
        <v>151571872.03</v>
      </c>
      <c r="E2893" s="41" t="n">
        <f aca="false">C2893/D2893-1</f>
        <v>-0.140709717339763</v>
      </c>
      <c r="F2893" s="42" t="n">
        <f aca="false">YEAR(A2893)</f>
        <v>2025</v>
      </c>
    </row>
    <row r="2894" customFormat="false" ht="15" hidden="false" customHeight="false" outlineLevel="0" collapsed="false">
      <c r="A2894" s="38" t="n">
        <v>45707</v>
      </c>
      <c r="B2894" s="39" t="n">
        <v>1091</v>
      </c>
      <c r="C2894" s="40" t="n">
        <v>130244236.76</v>
      </c>
      <c r="D2894" s="40" t="n">
        <f aca="false">MAX(D2893,C2894)</f>
        <v>151571872.03</v>
      </c>
      <c r="E2894" s="41" t="n">
        <f aca="false">C2894/D2894-1</f>
        <v>-0.140709717339763</v>
      </c>
      <c r="F2894" s="42" t="n">
        <f aca="false">YEAR(A2894)</f>
        <v>2025</v>
      </c>
    </row>
    <row r="2895" customFormat="false" ht="15" hidden="false" customHeight="false" outlineLevel="0" collapsed="false">
      <c r="A2895" s="38" t="n">
        <v>45708</v>
      </c>
      <c r="B2895" s="39" t="n">
        <v>1126</v>
      </c>
      <c r="C2895" s="40" t="n">
        <v>130244236.76</v>
      </c>
      <c r="D2895" s="40" t="n">
        <f aca="false">MAX(D2894,C2895)</f>
        <v>151571872.03</v>
      </c>
      <c r="E2895" s="41" t="n">
        <f aca="false">C2895/D2895-1</f>
        <v>-0.140709717339763</v>
      </c>
      <c r="F2895" s="42" t="n">
        <f aca="false">YEAR(A2895)</f>
        <v>2025</v>
      </c>
    </row>
    <row r="2896" customFormat="false" ht="15" hidden="false" customHeight="false" outlineLevel="0" collapsed="false">
      <c r="A2896" s="38" t="n">
        <v>45709</v>
      </c>
      <c r="B2896" s="39" t="n">
        <v>1135</v>
      </c>
      <c r="C2896" s="40" t="n">
        <v>130244236.76</v>
      </c>
      <c r="D2896" s="40" t="n">
        <f aca="false">MAX(D2895,C2896)</f>
        <v>151571872.03</v>
      </c>
      <c r="E2896" s="41" t="n">
        <f aca="false">C2896/D2896-1</f>
        <v>-0.140709717339763</v>
      </c>
      <c r="F2896" s="42" t="n">
        <f aca="false">YEAR(A2896)</f>
        <v>2025</v>
      </c>
    </row>
    <row r="2897" customFormat="false" ht="15" hidden="false" customHeight="false" outlineLevel="0" collapsed="false">
      <c r="A2897" s="38" t="n">
        <v>45712</v>
      </c>
      <c r="B2897" s="39" t="n">
        <v>1114</v>
      </c>
      <c r="C2897" s="40" t="n">
        <v>130244236.76</v>
      </c>
      <c r="D2897" s="40" t="n">
        <f aca="false">MAX(D2896,C2897)</f>
        <v>151571872.03</v>
      </c>
      <c r="E2897" s="41" t="n">
        <f aca="false">C2897/D2897-1</f>
        <v>-0.140709717339763</v>
      </c>
      <c r="F2897" s="42" t="n">
        <f aca="false">YEAR(A2897)</f>
        <v>2025</v>
      </c>
    </row>
    <row r="2898" customFormat="false" ht="15" hidden="false" customHeight="false" outlineLevel="0" collapsed="false">
      <c r="A2898" s="38" t="n">
        <v>45713</v>
      </c>
      <c r="B2898" s="39" t="n">
        <v>1091</v>
      </c>
      <c r="C2898" s="40" t="n">
        <v>130244236.76</v>
      </c>
      <c r="D2898" s="40" t="n">
        <f aca="false">MAX(D2897,C2898)</f>
        <v>151571872.03</v>
      </c>
      <c r="E2898" s="41" t="n">
        <f aca="false">C2898/D2898-1</f>
        <v>-0.140709717339763</v>
      </c>
      <c r="F2898" s="42" t="n">
        <f aca="false">YEAR(A2898)</f>
        <v>2025</v>
      </c>
    </row>
    <row r="2899" customFormat="false" ht="15" hidden="false" customHeight="false" outlineLevel="0" collapsed="false">
      <c r="A2899" s="38" t="n">
        <v>45714</v>
      </c>
      <c r="B2899" s="39" t="n">
        <v>1094</v>
      </c>
      <c r="C2899" s="40" t="n">
        <v>130244236.76</v>
      </c>
      <c r="D2899" s="40" t="n">
        <f aca="false">MAX(D2898,C2899)</f>
        <v>151571872.03</v>
      </c>
      <c r="E2899" s="41" t="n">
        <f aca="false">C2899/D2899-1</f>
        <v>-0.140709717339763</v>
      </c>
      <c r="F2899" s="42" t="n">
        <f aca="false">YEAR(A2899)</f>
        <v>2025</v>
      </c>
    </row>
    <row r="2900" customFormat="false" ht="15" hidden="false" customHeight="false" outlineLevel="0" collapsed="false">
      <c r="A2900" s="38" t="n">
        <v>45715</v>
      </c>
      <c r="B2900" s="39" t="n">
        <v>1103.5</v>
      </c>
      <c r="C2900" s="40" t="n">
        <v>124726411.69</v>
      </c>
      <c r="D2900" s="40" t="n">
        <f aca="false">MAX(D2899,C2900)</f>
        <v>151571872.03</v>
      </c>
      <c r="E2900" s="41" t="n">
        <f aca="false">C2900/D2900-1</f>
        <v>-0.177113734761332</v>
      </c>
      <c r="F2900" s="42" t="n">
        <f aca="false">YEAR(A2900)</f>
        <v>2025</v>
      </c>
    </row>
    <row r="2901" customFormat="false" ht="15" hidden="false" customHeight="false" outlineLevel="0" collapsed="false">
      <c r="A2901" s="38" t="n">
        <v>45716</v>
      </c>
      <c r="B2901" s="39" t="n">
        <v>1100</v>
      </c>
      <c r="C2901" s="40" t="n">
        <v>126464791.69</v>
      </c>
      <c r="D2901" s="40" t="n">
        <f aca="false">MAX(D2900,C2901)</f>
        <v>151571872.03</v>
      </c>
      <c r="E2901" s="41" t="n">
        <f aca="false">C2901/D2901-1</f>
        <v>-0.165644720248825</v>
      </c>
      <c r="F2901" s="42" t="n">
        <f aca="false">YEAR(A2901)</f>
        <v>2025</v>
      </c>
    </row>
    <row r="2902" customFormat="false" ht="15" hidden="false" customHeight="false" outlineLevel="0" collapsed="false">
      <c r="A2902" s="38" t="n">
        <v>45719</v>
      </c>
      <c r="B2902" s="39" t="n">
        <v>1111.5</v>
      </c>
      <c r="C2902" s="40" t="n">
        <v>120752971.69</v>
      </c>
      <c r="D2902" s="40" t="n">
        <f aca="false">MAX(D2901,C2902)</f>
        <v>151571872.03</v>
      </c>
      <c r="E2902" s="41" t="n">
        <f aca="false">C2902/D2902-1</f>
        <v>-0.203328625075635</v>
      </c>
      <c r="F2902" s="42" t="n">
        <f aca="false">YEAR(A2902)</f>
        <v>2025</v>
      </c>
    </row>
    <row r="2903" customFormat="false" ht="15" hidden="false" customHeight="false" outlineLevel="0" collapsed="false">
      <c r="A2903" s="38" t="n">
        <v>45720</v>
      </c>
      <c r="B2903" s="39" t="n">
        <v>1099.5</v>
      </c>
      <c r="C2903" s="40" t="n">
        <v>126713131.69</v>
      </c>
      <c r="D2903" s="40" t="n">
        <f aca="false">MAX(D2902,C2903)</f>
        <v>151571872.03</v>
      </c>
      <c r="E2903" s="41" t="n">
        <f aca="false">C2903/D2903-1</f>
        <v>-0.164006289604181</v>
      </c>
      <c r="F2903" s="42" t="n">
        <f aca="false">YEAR(A2903)</f>
        <v>2025</v>
      </c>
    </row>
    <row r="2904" customFormat="false" ht="15" hidden="false" customHeight="false" outlineLevel="0" collapsed="false">
      <c r="A2904" s="38" t="n">
        <v>45721</v>
      </c>
      <c r="B2904" s="39" t="n">
        <v>1069</v>
      </c>
      <c r="C2904" s="40" t="n">
        <v>141861871.69</v>
      </c>
      <c r="D2904" s="40" t="n">
        <f aca="false">MAX(D2903,C2904)</f>
        <v>151571872.03</v>
      </c>
      <c r="E2904" s="41" t="n">
        <f aca="false">C2904/D2904-1</f>
        <v>-0.0640620202809011</v>
      </c>
      <c r="F2904" s="42" t="n">
        <f aca="false">YEAR(A2904)</f>
        <v>2025</v>
      </c>
    </row>
    <row r="2905" customFormat="false" ht="15" hidden="false" customHeight="false" outlineLevel="0" collapsed="false">
      <c r="A2905" s="38" t="n">
        <v>45722</v>
      </c>
      <c r="B2905" s="39" t="n">
        <v>1077.5</v>
      </c>
      <c r="C2905" s="40" t="n">
        <v>137640091.69</v>
      </c>
      <c r="D2905" s="40" t="n">
        <f aca="false">MAX(D2904,C2905)</f>
        <v>151571872.03</v>
      </c>
      <c r="E2905" s="41" t="n">
        <f aca="false">C2905/D2905-1</f>
        <v>-0.0919153412398479</v>
      </c>
      <c r="F2905" s="42" t="n">
        <f aca="false">YEAR(A2905)</f>
        <v>2025</v>
      </c>
    </row>
    <row r="2906" customFormat="false" ht="15" hidden="false" customHeight="false" outlineLevel="0" collapsed="false">
      <c r="A2906" s="38" t="n">
        <v>45723</v>
      </c>
      <c r="B2906" s="39" t="n">
        <v>1090.5</v>
      </c>
      <c r="C2906" s="40" t="n">
        <v>131183251.69</v>
      </c>
      <c r="D2906" s="40" t="n">
        <f aca="false">MAX(D2905,C2906)</f>
        <v>151571872.03</v>
      </c>
      <c r="E2906" s="41" t="n">
        <f aca="false">C2906/D2906-1</f>
        <v>-0.13451453800059</v>
      </c>
      <c r="F2906" s="42" t="n">
        <f aca="false">YEAR(A2906)</f>
        <v>2025</v>
      </c>
    </row>
    <row r="2907" customFormat="false" ht="15" hidden="false" customHeight="false" outlineLevel="0" collapsed="false">
      <c r="A2907" s="38" t="n">
        <v>45726</v>
      </c>
      <c r="B2907" s="39" t="n">
        <v>1071</v>
      </c>
      <c r="C2907" s="40" t="n">
        <v>140868511.69</v>
      </c>
      <c r="D2907" s="40" t="n">
        <f aca="false">MAX(D2906,C2907)</f>
        <v>151571872.03</v>
      </c>
      <c r="E2907" s="41" t="n">
        <f aca="false">C2907/D2907-1</f>
        <v>-0.0706157428594768</v>
      </c>
      <c r="F2907" s="42" t="n">
        <f aca="false">YEAR(A2907)</f>
        <v>2025</v>
      </c>
    </row>
    <row r="2908" customFormat="false" ht="15" hidden="false" customHeight="false" outlineLevel="0" collapsed="false">
      <c r="A2908" s="38" t="n">
        <v>45727</v>
      </c>
      <c r="B2908" s="39" t="n">
        <v>1070</v>
      </c>
      <c r="C2908" s="40" t="n">
        <v>141365191.69</v>
      </c>
      <c r="D2908" s="40" t="n">
        <f aca="false">MAX(D2907,C2908)</f>
        <v>151571872.03</v>
      </c>
      <c r="E2908" s="41" t="n">
        <f aca="false">C2908/D2908-1</f>
        <v>-0.067338881570189</v>
      </c>
      <c r="F2908" s="42" t="n">
        <f aca="false">YEAR(A2908)</f>
        <v>2025</v>
      </c>
    </row>
    <row r="2909" customFormat="false" ht="15" hidden="false" customHeight="false" outlineLevel="0" collapsed="false">
      <c r="A2909" s="38" t="n">
        <v>45728</v>
      </c>
      <c r="B2909" s="39" t="n">
        <v>1081.5</v>
      </c>
      <c r="C2909" s="40" t="n">
        <v>135653371.69</v>
      </c>
      <c r="D2909" s="40" t="n">
        <f aca="false">MAX(D2908,C2909)</f>
        <v>151571872.03</v>
      </c>
      <c r="E2909" s="41" t="n">
        <f aca="false">C2909/D2909-1</f>
        <v>-0.105022786396999</v>
      </c>
      <c r="F2909" s="42" t="n">
        <f aca="false">YEAR(A2909)</f>
        <v>2025</v>
      </c>
    </row>
    <row r="2910" customFormat="false" ht="15" hidden="false" customHeight="false" outlineLevel="0" collapsed="false">
      <c r="A2910" s="38" t="n">
        <v>45729</v>
      </c>
      <c r="B2910" s="39" t="n">
        <v>1103</v>
      </c>
      <c r="C2910" s="40" t="n">
        <v>124974751.69</v>
      </c>
      <c r="D2910" s="40" t="n">
        <f aca="false">MAX(D2909,C2910)</f>
        <v>151571872.03</v>
      </c>
      <c r="E2910" s="41" t="n">
        <f aca="false">C2910/D2910-1</f>
        <v>-0.175475304116688</v>
      </c>
      <c r="F2910" s="42" t="n">
        <f aca="false">YEAR(A2910)</f>
        <v>2025</v>
      </c>
    </row>
    <row r="2911" customFormat="false" ht="15" hidden="false" customHeight="false" outlineLevel="0" collapsed="false">
      <c r="A2911" s="38" t="n">
        <v>45730</v>
      </c>
      <c r="B2911" s="39" t="n">
        <v>1100</v>
      </c>
      <c r="C2911" s="40" t="n">
        <v>126464791.69</v>
      </c>
      <c r="D2911" s="40" t="n">
        <f aca="false">MAX(D2910,C2911)</f>
        <v>151571872.03</v>
      </c>
      <c r="E2911" s="41" t="n">
        <f aca="false">C2911/D2911-1</f>
        <v>-0.165644720248825</v>
      </c>
      <c r="F2911" s="42" t="n">
        <f aca="false">YEAR(A2911)</f>
        <v>2025</v>
      </c>
    </row>
    <row r="2912" customFormat="false" ht="15" hidden="false" customHeight="false" outlineLevel="0" collapsed="false">
      <c r="A2912" s="38" t="n">
        <v>45733</v>
      </c>
      <c r="B2912" s="39" t="n">
        <v>1075</v>
      </c>
      <c r="C2912" s="40" t="n">
        <v>138881791.69</v>
      </c>
      <c r="D2912" s="40" t="n">
        <f aca="false">MAX(D2911,C2912)</f>
        <v>151571872.03</v>
      </c>
      <c r="E2912" s="41" t="n">
        <f aca="false">C2912/D2912-1</f>
        <v>-0.0837231880166283</v>
      </c>
      <c r="F2912" s="42" t="n">
        <f aca="false">YEAR(A2912)</f>
        <v>2025</v>
      </c>
    </row>
    <row r="2913" customFormat="false" ht="15" hidden="false" customHeight="false" outlineLevel="0" collapsed="false">
      <c r="A2913" s="38" t="n">
        <v>45734</v>
      </c>
      <c r="B2913" s="39" t="n">
        <v>1062.5</v>
      </c>
      <c r="C2913" s="40" t="n">
        <v>145090291.69</v>
      </c>
      <c r="D2913" s="40" t="n">
        <f aca="false">MAX(D2912,C2913)</f>
        <v>151571872.03</v>
      </c>
      <c r="E2913" s="41" t="n">
        <f aca="false">C2913/D2913-1</f>
        <v>-0.04276242190053</v>
      </c>
      <c r="F2913" s="42" t="n">
        <f aca="false">YEAR(A2913)</f>
        <v>2025</v>
      </c>
    </row>
    <row r="2914" customFormat="false" ht="15" hidden="false" customHeight="false" outlineLevel="0" collapsed="false">
      <c r="A2914" s="38" t="n">
        <v>45735</v>
      </c>
      <c r="B2914" s="39" t="n">
        <v>1041</v>
      </c>
      <c r="C2914" s="40" t="n">
        <v>155768911.69</v>
      </c>
      <c r="D2914" s="40" t="n">
        <f aca="false">MAX(D2913,C2914)</f>
        <v>155768911.69</v>
      </c>
      <c r="E2914" s="41" t="n">
        <f aca="false">C2914/D2914-1</f>
        <v>0</v>
      </c>
      <c r="F2914" s="42" t="n">
        <f aca="false">YEAR(A2914)</f>
        <v>2025</v>
      </c>
    </row>
    <row r="2915" customFormat="false" ht="15" hidden="false" customHeight="false" outlineLevel="0" collapsed="false">
      <c r="A2915" s="38" t="n">
        <v>45736</v>
      </c>
      <c r="B2915" s="39" t="n">
        <v>1045</v>
      </c>
      <c r="C2915" s="40" t="n">
        <v>153782191.69</v>
      </c>
      <c r="D2915" s="40" t="n">
        <f aca="false">MAX(D2914,C2915)</f>
        <v>155768911.69</v>
      </c>
      <c r="E2915" s="41" t="n">
        <f aca="false">C2915/D2915-1</f>
        <v>-0.0127542779778408</v>
      </c>
      <c r="F2915" s="42" t="n">
        <f aca="false">YEAR(A2915)</f>
        <v>2025</v>
      </c>
    </row>
    <row r="2916" customFormat="false" ht="15" hidden="false" customHeight="false" outlineLevel="0" collapsed="false">
      <c r="A2916" s="38" t="n">
        <v>45737</v>
      </c>
      <c r="B2916" s="39" t="n">
        <v>1027</v>
      </c>
      <c r="C2916" s="40" t="n">
        <v>162722431.69</v>
      </c>
      <c r="D2916" s="40" t="n">
        <f aca="false">MAX(D2915,C2916)</f>
        <v>162722431.69</v>
      </c>
      <c r="E2916" s="41" t="n">
        <f aca="false">C2916/D2916-1</f>
        <v>0</v>
      </c>
      <c r="F2916" s="42" t="n">
        <f aca="false">YEAR(A2916)</f>
        <v>2025</v>
      </c>
    </row>
    <row r="2917" customFormat="false" ht="15" hidden="false" customHeight="false" outlineLevel="0" collapsed="false">
      <c r="A2917" s="38" t="n">
        <v>45740</v>
      </c>
      <c r="B2917" s="39" t="n">
        <v>1046</v>
      </c>
      <c r="C2917" s="40" t="n">
        <v>153285511.69</v>
      </c>
      <c r="D2917" s="40" t="n">
        <f aca="false">MAX(D2916,C2917)</f>
        <v>162722431.69</v>
      </c>
      <c r="E2917" s="41" t="n">
        <f aca="false">C2917/D2917-1</f>
        <v>-0.0579939710953812</v>
      </c>
      <c r="F2917" s="42" t="n">
        <f aca="false">YEAR(A2917)</f>
        <v>2025</v>
      </c>
    </row>
    <row r="2918" customFormat="false" ht="15" hidden="false" customHeight="false" outlineLevel="0" collapsed="false">
      <c r="A2918" s="38" t="n">
        <v>45741</v>
      </c>
      <c r="B2918" s="39" t="n">
        <v>1043</v>
      </c>
      <c r="C2918" s="40" t="n">
        <v>154775551.69</v>
      </c>
      <c r="D2918" s="40" t="n">
        <f aca="false">MAX(D2917,C2918)</f>
        <v>162722431.69</v>
      </c>
      <c r="E2918" s="41" t="n">
        <f aca="false">C2918/D2918-1</f>
        <v>-0.0488370282908474</v>
      </c>
      <c r="F2918" s="42" t="n">
        <f aca="false">YEAR(A2918)</f>
        <v>2025</v>
      </c>
    </row>
    <row r="2919" customFormat="false" ht="15" hidden="false" customHeight="false" outlineLevel="0" collapsed="false">
      <c r="A2919" s="38" t="n">
        <v>45742</v>
      </c>
      <c r="B2919" s="39" t="n">
        <v>1041.5</v>
      </c>
      <c r="C2919" s="40" t="n">
        <v>155520571.69</v>
      </c>
      <c r="D2919" s="40" t="n">
        <f aca="false">MAX(D2918,C2919)</f>
        <v>162722431.69</v>
      </c>
      <c r="E2919" s="41" t="n">
        <f aca="false">C2919/D2919-1</f>
        <v>-0.0442585568885804</v>
      </c>
      <c r="F2919" s="42" t="n">
        <f aca="false">YEAR(A2919)</f>
        <v>2025</v>
      </c>
    </row>
    <row r="2920" customFormat="false" ht="15" hidden="false" customHeight="false" outlineLevel="0" collapsed="false">
      <c r="A2920" s="38" t="n">
        <v>45743</v>
      </c>
      <c r="B2920" s="39" t="n">
        <v>1051.5</v>
      </c>
      <c r="C2920" s="40" t="n">
        <v>150553771.69</v>
      </c>
      <c r="D2920" s="40" t="n">
        <f aca="false">MAX(D2919,C2920)</f>
        <v>162722431.69</v>
      </c>
      <c r="E2920" s="41" t="n">
        <f aca="false">C2920/D2920-1</f>
        <v>-0.07478169957036</v>
      </c>
      <c r="F2920" s="42" t="n">
        <f aca="false">YEAR(A2920)</f>
        <v>2025</v>
      </c>
    </row>
    <row r="2921" customFormat="false" ht="15" hidden="false" customHeight="false" outlineLevel="0" collapsed="false">
      <c r="A2921" s="38" t="n">
        <v>45744</v>
      </c>
      <c r="B2921" s="39" t="n">
        <v>1042</v>
      </c>
      <c r="C2921" s="40" t="n">
        <v>155272231.69</v>
      </c>
      <c r="D2921" s="40" t="n">
        <f aca="false">MAX(D2920,C2921)</f>
        <v>162722431.69</v>
      </c>
      <c r="E2921" s="41" t="n">
        <f aca="false">C2921/D2921-1</f>
        <v>-0.0457847140226694</v>
      </c>
      <c r="F2921" s="42" t="n">
        <f aca="false">YEAR(A2921)</f>
        <v>2025</v>
      </c>
    </row>
    <row r="2922" customFormat="false" ht="15" hidden="false" customHeight="false" outlineLevel="0" collapsed="false">
      <c r="A2922" s="38" t="n">
        <v>45747</v>
      </c>
      <c r="B2922" s="39" t="n">
        <v>1011</v>
      </c>
      <c r="C2922" s="40" t="n">
        <v>170669311.69</v>
      </c>
      <c r="D2922" s="40" t="n">
        <f aca="false">MAX(D2921,C2922)</f>
        <v>170669311.69</v>
      </c>
      <c r="E2922" s="41" t="n">
        <f aca="false">C2922/D2922-1</f>
        <v>0</v>
      </c>
      <c r="F2922" s="42" t="n">
        <f aca="false">YEAR(A2922)</f>
        <v>2025</v>
      </c>
    </row>
    <row r="2923" customFormat="false" ht="15" hidden="false" customHeight="false" outlineLevel="0" collapsed="false">
      <c r="A2923" s="38" t="n">
        <v>45748</v>
      </c>
      <c r="B2923" s="39" t="n">
        <v>1030.5</v>
      </c>
      <c r="C2923" s="40" t="n">
        <v>160984051.69</v>
      </c>
      <c r="D2923" s="40" t="n">
        <f aca="false">MAX(D2922,C2923)</f>
        <v>170669311.69</v>
      </c>
      <c r="E2923" s="41" t="n">
        <f aca="false">C2923/D2923-1</f>
        <v>-0.0567486908108711</v>
      </c>
      <c r="F2923" s="42" t="n">
        <f aca="false">YEAR(A2923)</f>
        <v>2025</v>
      </c>
    </row>
    <row r="2924" customFormat="false" ht="15" hidden="false" customHeight="false" outlineLevel="0" collapsed="false">
      <c r="A2924" s="38" t="n">
        <v>45749</v>
      </c>
      <c r="B2924" s="39" t="n">
        <v>1028</v>
      </c>
      <c r="C2924" s="40" t="n">
        <v>162225751.69</v>
      </c>
      <c r="D2924" s="40" t="n">
        <f aca="false">MAX(D2923,C2924)</f>
        <v>170669311.69</v>
      </c>
      <c r="E2924" s="41" t="n">
        <f aca="false">C2924/D2924-1</f>
        <v>-0.0494732176299902</v>
      </c>
      <c r="F2924" s="42" t="n">
        <f aca="false">YEAR(A2924)</f>
        <v>2025</v>
      </c>
    </row>
    <row r="2925" customFormat="false" ht="15" hidden="false" customHeight="false" outlineLevel="0" collapsed="false">
      <c r="A2925" s="38" t="n">
        <v>45750</v>
      </c>
      <c r="B2925" s="39" t="n">
        <v>1028</v>
      </c>
      <c r="C2925" s="40" t="n">
        <v>162225751.69</v>
      </c>
      <c r="D2925" s="40" t="n">
        <f aca="false">MAX(D2924,C2925)</f>
        <v>170669311.69</v>
      </c>
      <c r="E2925" s="41" t="n">
        <f aca="false">C2925/D2925-1</f>
        <v>-0.0494732176299902</v>
      </c>
      <c r="F2925" s="42" t="n">
        <f aca="false">YEAR(A2925)</f>
        <v>2025</v>
      </c>
    </row>
    <row r="2926" customFormat="false" ht="15" hidden="false" customHeight="false" outlineLevel="0" collapsed="false">
      <c r="A2926" s="38" t="n">
        <v>45754</v>
      </c>
      <c r="B2926" s="39" t="n">
        <v>1005</v>
      </c>
      <c r="C2926" s="40" t="n">
        <v>173649391.69</v>
      </c>
      <c r="D2926" s="40" t="n">
        <f aca="false">MAX(D2925,C2926)</f>
        <v>173649391.69</v>
      </c>
      <c r="E2926" s="41" t="n">
        <f aca="false">C2926/D2926-1</f>
        <v>0</v>
      </c>
      <c r="F2926" s="42" t="n">
        <f aca="false">YEAR(A2926)</f>
        <v>2025</v>
      </c>
    </row>
    <row r="2927" customFormat="false" ht="15" hidden="false" customHeight="false" outlineLevel="0" collapsed="false">
      <c r="A2927" s="38" t="n">
        <v>45755</v>
      </c>
      <c r="B2927" s="39" t="n">
        <v>964.5</v>
      </c>
      <c r="C2927" s="40" t="n">
        <v>193764931.69</v>
      </c>
      <c r="D2927" s="40" t="n">
        <f aca="false">MAX(D2926,C2927)</f>
        <v>193764931.69</v>
      </c>
      <c r="E2927" s="41" t="n">
        <f aca="false">C2927/D2927-1</f>
        <v>0</v>
      </c>
      <c r="F2927" s="42" t="n">
        <f aca="false">YEAR(A2927)</f>
        <v>2025</v>
      </c>
    </row>
    <row r="2928" customFormat="false" ht="15" hidden="false" customHeight="false" outlineLevel="0" collapsed="false">
      <c r="A2928" s="38" t="n">
        <v>45756</v>
      </c>
      <c r="B2928" s="39" t="n">
        <v>959.5</v>
      </c>
      <c r="C2928" s="40" t="n">
        <v>196248331.69</v>
      </c>
      <c r="D2928" s="40" t="n">
        <f aca="false">MAX(D2927,C2928)</f>
        <v>196248331.69</v>
      </c>
      <c r="E2928" s="41" t="n">
        <f aca="false">C2928/D2928-1</f>
        <v>0</v>
      </c>
      <c r="F2928" s="42" t="n">
        <f aca="false">YEAR(A2928)</f>
        <v>2025</v>
      </c>
    </row>
    <row r="2929" customFormat="false" ht="15" hidden="false" customHeight="false" outlineLevel="0" collapsed="false">
      <c r="A2929" s="38" t="n">
        <v>45757</v>
      </c>
      <c r="B2929" s="39" t="n">
        <v>962</v>
      </c>
      <c r="C2929" s="40" t="n">
        <v>195006631.69</v>
      </c>
      <c r="D2929" s="40" t="n">
        <f aca="false">MAX(D2928,C2929)</f>
        <v>196248331.69</v>
      </c>
      <c r="E2929" s="41" t="n">
        <f aca="false">C2929/D2929-1</f>
        <v>-0.00632718754502037</v>
      </c>
      <c r="F2929" s="42" t="n">
        <f aca="false">YEAR(A2929)</f>
        <v>2025</v>
      </c>
    </row>
    <row r="2930" customFormat="false" ht="15" hidden="false" customHeight="false" outlineLevel="0" collapsed="false">
      <c r="A2930" s="38" t="n">
        <v>45758</v>
      </c>
      <c r="B2930" s="39" t="n">
        <v>947.5</v>
      </c>
      <c r="C2930" s="40" t="n">
        <v>202208491.69</v>
      </c>
      <c r="D2930" s="40" t="n">
        <f aca="false">MAX(D2929,C2930)</f>
        <v>202208491.69</v>
      </c>
      <c r="E2930" s="41" t="n">
        <f aca="false">C2930/D2930-1</f>
        <v>0</v>
      </c>
      <c r="F2930" s="42" t="n">
        <f aca="false">YEAR(A2930)</f>
        <v>2025</v>
      </c>
    </row>
    <row r="2931" customFormat="false" ht="15" hidden="false" customHeight="false" outlineLevel="0" collapsed="false">
      <c r="A2931" s="38" t="n">
        <v>45761</v>
      </c>
      <c r="B2931" s="39" t="n">
        <v>958.5</v>
      </c>
      <c r="C2931" s="40" t="n">
        <v>196745011.69</v>
      </c>
      <c r="D2931" s="40" t="n">
        <f aca="false">MAX(D2930,C2931)</f>
        <v>202208491.69</v>
      </c>
      <c r="E2931" s="41" t="n">
        <f aca="false">C2931/D2931-1</f>
        <v>-0.0270190433365969</v>
      </c>
      <c r="F2931" s="42" t="n">
        <f aca="false">YEAR(A2931)</f>
        <v>2025</v>
      </c>
    </row>
    <row r="2932" customFormat="false" ht="15" hidden="false" customHeight="false" outlineLevel="0" collapsed="false">
      <c r="A2932" s="38" t="n">
        <v>45762</v>
      </c>
      <c r="B2932" s="39" t="n">
        <v>957</v>
      </c>
      <c r="C2932" s="40" t="n">
        <v>197490031.69</v>
      </c>
      <c r="D2932" s="40" t="n">
        <f aca="false">MAX(D2931,C2932)</f>
        <v>202208491.69</v>
      </c>
      <c r="E2932" s="41" t="n">
        <f aca="false">C2932/D2932-1</f>
        <v>-0.0233346283361519</v>
      </c>
      <c r="F2932" s="42" t="n">
        <f aca="false">YEAR(A2932)</f>
        <v>2025</v>
      </c>
    </row>
    <row r="2933" customFormat="false" ht="15" hidden="false" customHeight="false" outlineLevel="0" collapsed="false">
      <c r="A2933" s="38" t="n">
        <v>45763</v>
      </c>
      <c r="B2933" s="39" t="n">
        <v>945</v>
      </c>
      <c r="C2933" s="40" t="n">
        <v>203450191.69</v>
      </c>
      <c r="D2933" s="40" t="n">
        <f aca="false">MAX(D2932,C2933)</f>
        <v>203450191.69</v>
      </c>
      <c r="E2933" s="41" t="n">
        <f aca="false">C2933/D2933-1</f>
        <v>0</v>
      </c>
      <c r="F2933" s="42" t="n">
        <f aca="false">YEAR(A2933)</f>
        <v>2025</v>
      </c>
    </row>
    <row r="2934" customFormat="false" ht="15" hidden="false" customHeight="false" outlineLevel="0" collapsed="false">
      <c r="A2934" s="38" t="n">
        <v>45764</v>
      </c>
      <c r="B2934" s="39" t="n">
        <v>926.5</v>
      </c>
      <c r="C2934" s="40" t="n">
        <v>212638771.69</v>
      </c>
      <c r="D2934" s="40" t="n">
        <f aca="false">MAX(D2933,C2934)</f>
        <v>212638771.69</v>
      </c>
      <c r="E2934" s="41" t="n">
        <f aca="false">C2934/D2934-1</f>
        <v>0</v>
      </c>
      <c r="F2934" s="42" t="n">
        <f aca="false">YEAR(A2934)</f>
        <v>2025</v>
      </c>
    </row>
    <row r="2935" customFormat="false" ht="15" hidden="false" customHeight="false" outlineLevel="0" collapsed="false">
      <c r="A2935" s="38" t="n">
        <v>45765</v>
      </c>
      <c r="B2935" s="39" t="n">
        <v>933</v>
      </c>
      <c r="C2935" s="40" t="n">
        <v>209410351.69</v>
      </c>
      <c r="D2935" s="40" t="n">
        <f aca="false">MAX(D2934,C2935)</f>
        <v>212638771.69</v>
      </c>
      <c r="E2935" s="41" t="n">
        <f aca="false">C2935/D2935-1</f>
        <v>-0.0151826497789718</v>
      </c>
      <c r="F2935" s="42" t="n">
        <f aca="false">YEAR(A2935)</f>
        <v>2025</v>
      </c>
    </row>
    <row r="2936" customFormat="false" ht="15" hidden="false" customHeight="false" outlineLevel="0" collapsed="false">
      <c r="A2936" s="38" t="n">
        <v>45768</v>
      </c>
      <c r="B2936" s="39" t="n">
        <v>936.5</v>
      </c>
      <c r="C2936" s="40" t="n">
        <v>207671971.69</v>
      </c>
      <c r="D2936" s="40" t="n">
        <f aca="false">MAX(D2935,C2936)</f>
        <v>212638771.69</v>
      </c>
      <c r="E2936" s="41" t="n">
        <f aca="false">C2936/D2936-1</f>
        <v>-0.0233579227368796</v>
      </c>
      <c r="F2936" s="42" t="n">
        <f aca="false">YEAR(A2936)</f>
        <v>2025</v>
      </c>
    </row>
    <row r="2937" customFormat="false" ht="15" hidden="false" customHeight="false" outlineLevel="0" collapsed="false">
      <c r="A2937" s="38" t="n">
        <v>45769</v>
      </c>
      <c r="B2937" s="39" t="n">
        <v>913.5</v>
      </c>
      <c r="C2937" s="40" t="n">
        <v>219095611.69</v>
      </c>
      <c r="D2937" s="40" t="n">
        <f aca="false">MAX(D2936,C2937)</f>
        <v>219095611.69</v>
      </c>
      <c r="E2937" s="41" t="n">
        <f aca="false">C2937/D2937-1</f>
        <v>0</v>
      </c>
      <c r="F2937" s="42" t="n">
        <f aca="false">YEAR(A2937)</f>
        <v>2025</v>
      </c>
    </row>
    <row r="2938" customFormat="false" ht="15" hidden="false" customHeight="false" outlineLevel="0" collapsed="false">
      <c r="A2938" s="38" t="n">
        <v>45770</v>
      </c>
      <c r="B2938" s="39" t="n">
        <v>948</v>
      </c>
      <c r="C2938" s="40" t="n">
        <v>201960151.69</v>
      </c>
      <c r="D2938" s="40" t="n">
        <f aca="false">MAX(D2937,C2938)</f>
        <v>219095611.69</v>
      </c>
      <c r="E2938" s="41" t="n">
        <f aca="false">C2938/D2938-1</f>
        <v>-0.0782099644434918</v>
      </c>
      <c r="F2938" s="42" t="n">
        <f aca="false">YEAR(A2938)</f>
        <v>2025</v>
      </c>
    </row>
    <row r="2939" customFormat="false" ht="15" hidden="false" customHeight="false" outlineLevel="0" collapsed="false">
      <c r="A2939" s="38" t="n">
        <v>45771</v>
      </c>
      <c r="B2939" s="39" t="n">
        <v>945</v>
      </c>
      <c r="C2939" s="40" t="n">
        <v>203450191.69</v>
      </c>
      <c r="D2939" s="40" t="n">
        <f aca="false">MAX(D2938,C2939)</f>
        <v>219095611.69</v>
      </c>
      <c r="E2939" s="41" t="n">
        <f aca="false">C2939/D2939-1</f>
        <v>-0.0714090979701447</v>
      </c>
      <c r="F2939" s="42" t="n">
        <f aca="false">YEAR(A2939)</f>
        <v>2025</v>
      </c>
    </row>
    <row r="2940" customFormat="false" ht="15" hidden="false" customHeight="false" outlineLevel="0" collapsed="false">
      <c r="A2940" s="38" t="n">
        <v>45772</v>
      </c>
      <c r="B2940" s="39" t="n">
        <v>946</v>
      </c>
      <c r="C2940" s="40" t="n">
        <v>202953511.69</v>
      </c>
      <c r="D2940" s="40" t="n">
        <f aca="false">MAX(D2939,C2940)</f>
        <v>219095611.69</v>
      </c>
      <c r="E2940" s="41" t="n">
        <f aca="false">C2940/D2940-1</f>
        <v>-0.0736760534612605</v>
      </c>
      <c r="F2940" s="42" t="n">
        <f aca="false">YEAR(A2940)</f>
        <v>2025</v>
      </c>
    </row>
    <row r="2941" customFormat="false" ht="15" hidden="false" customHeight="false" outlineLevel="0" collapsed="false">
      <c r="A2941" s="38" t="n">
        <v>45775</v>
      </c>
      <c r="B2941" s="39" t="n">
        <v>938</v>
      </c>
      <c r="C2941" s="40" t="n">
        <v>206926951.69</v>
      </c>
      <c r="D2941" s="40" t="n">
        <f aca="false">MAX(D2940,C2941)</f>
        <v>219095611.69</v>
      </c>
      <c r="E2941" s="41" t="n">
        <f aca="false">C2941/D2941-1</f>
        <v>-0.0555404095323349</v>
      </c>
      <c r="F2941" s="42" t="n">
        <f aca="false">YEAR(A2941)</f>
        <v>2025</v>
      </c>
    </row>
    <row r="2942" customFormat="false" ht="15" hidden="false" customHeight="false" outlineLevel="0" collapsed="false">
      <c r="A2942" s="38" t="n">
        <v>45776</v>
      </c>
      <c r="B2942" s="39" t="n">
        <v>927.5</v>
      </c>
      <c r="C2942" s="40" t="n">
        <v>212142091.69</v>
      </c>
      <c r="D2942" s="40" t="n">
        <f aca="false">MAX(D2941,C2942)</f>
        <v>219095611.69</v>
      </c>
      <c r="E2942" s="41" t="n">
        <f aca="false">C2942/D2942-1</f>
        <v>-0.0317373768756198</v>
      </c>
      <c r="F2942" s="42" t="n">
        <f aca="false">YEAR(A2942)</f>
        <v>2025</v>
      </c>
    </row>
    <row r="2943" customFormat="false" ht="15" hidden="false" customHeight="false" outlineLevel="0" collapsed="false">
      <c r="A2943" s="38" t="n">
        <v>45777</v>
      </c>
      <c r="B2943" s="39" t="n">
        <v>929</v>
      </c>
      <c r="C2943" s="40" t="n">
        <v>211397071.69</v>
      </c>
      <c r="D2943" s="40" t="n">
        <f aca="false">MAX(D2942,C2943)</f>
        <v>219095611.69</v>
      </c>
      <c r="E2943" s="41" t="n">
        <f aca="false">C2943/D2943-1</f>
        <v>-0.0351378101122934</v>
      </c>
      <c r="F2943" s="42" t="n">
        <f aca="false">YEAR(A2943)</f>
        <v>2025</v>
      </c>
    </row>
    <row r="2944" customFormat="false" ht="15" hidden="false" customHeight="false" outlineLevel="0" collapsed="false">
      <c r="A2944" s="38" t="n">
        <v>45783</v>
      </c>
      <c r="B2944" s="39" t="n">
        <v>911.5</v>
      </c>
      <c r="C2944" s="40" t="n">
        <v>220088971.69</v>
      </c>
      <c r="D2944" s="40" t="n">
        <f aca="false">MAX(D2943,C2944)</f>
        <v>220088971.69</v>
      </c>
      <c r="E2944" s="41" t="n">
        <f aca="false">C2944/D2944-1</f>
        <v>0</v>
      </c>
      <c r="F2944" s="42" t="n">
        <f aca="false">YEAR(A2944)</f>
        <v>2025</v>
      </c>
    </row>
    <row r="2945" customFormat="false" ht="15" hidden="false" customHeight="false" outlineLevel="0" collapsed="false">
      <c r="A2945" s="38" t="n">
        <v>45784</v>
      </c>
      <c r="B2945" s="39" t="n">
        <v>909</v>
      </c>
      <c r="C2945" s="40" t="n">
        <v>221330671.69</v>
      </c>
      <c r="D2945" s="40" t="n">
        <f aca="false">MAX(D2944,C2945)</f>
        <v>221330671.69</v>
      </c>
      <c r="E2945" s="41" t="n">
        <f aca="false">C2945/D2945-1</f>
        <v>0</v>
      </c>
      <c r="F2945" s="42" t="n">
        <f aca="false">YEAR(A2945)</f>
        <v>2025</v>
      </c>
    </row>
    <row r="2946" customFormat="false" ht="15" hidden="false" customHeight="false" outlineLevel="0" collapsed="false">
      <c r="A2946" s="38" t="n">
        <v>45785</v>
      </c>
      <c r="B2946" s="39" t="n">
        <v>894.5</v>
      </c>
      <c r="C2946" s="40" t="n">
        <v>228532531.69</v>
      </c>
      <c r="D2946" s="40" t="n">
        <f aca="false">MAX(D2945,C2946)</f>
        <v>228532531.69</v>
      </c>
      <c r="E2946" s="41" t="n">
        <f aca="false">C2946/D2946-1</f>
        <v>0</v>
      </c>
      <c r="F2946" s="42" t="n">
        <f aca="false">YEAR(A2946)</f>
        <v>2025</v>
      </c>
    </row>
    <row r="2947" customFormat="false" ht="15" hidden="false" customHeight="false" outlineLevel="0" collapsed="false">
      <c r="A2947" s="38" t="n">
        <v>45786</v>
      </c>
      <c r="B2947" s="39" t="n">
        <v>878</v>
      </c>
      <c r="C2947" s="40" t="n">
        <v>236727751.69</v>
      </c>
      <c r="D2947" s="40" t="n">
        <f aca="false">MAX(D2946,C2947)</f>
        <v>236727751.69</v>
      </c>
      <c r="E2947" s="41" t="n">
        <f aca="false">C2947/D2947-1</f>
        <v>0</v>
      </c>
      <c r="F2947" s="42" t="n">
        <f aca="false">YEAR(A2947)</f>
        <v>2025</v>
      </c>
    </row>
    <row r="2948" customFormat="false" ht="15" hidden="false" customHeight="false" outlineLevel="0" collapsed="false">
      <c r="A2948" s="38" t="n">
        <v>45789</v>
      </c>
      <c r="B2948" s="39" t="n">
        <v>889.5</v>
      </c>
      <c r="C2948" s="40" t="n">
        <v>231015931.69</v>
      </c>
      <c r="D2948" s="40" t="n">
        <f aca="false">MAX(D2947,C2948)</f>
        <v>236727751.69</v>
      </c>
      <c r="E2948" s="41" t="n">
        <f aca="false">C2948/D2948-1</f>
        <v>-0.0241282230715381</v>
      </c>
      <c r="F2948" s="42" t="n">
        <f aca="false">YEAR(A2948)</f>
        <v>2025</v>
      </c>
    </row>
    <row r="2949" customFormat="false" ht="15" hidden="false" customHeight="false" outlineLevel="0" collapsed="false">
      <c r="A2949" s="38" t="n">
        <v>45790</v>
      </c>
      <c r="B2949" s="39" t="n">
        <v>871</v>
      </c>
      <c r="C2949" s="40" t="n">
        <v>240204511.69</v>
      </c>
      <c r="D2949" s="40" t="n">
        <f aca="false">MAX(D2948,C2949)</f>
        <v>240204511.69</v>
      </c>
      <c r="E2949" s="41" t="n">
        <f aca="false">C2949/D2949-1</f>
        <v>0</v>
      </c>
      <c r="F2949" s="42" t="n">
        <f aca="false">YEAR(A2949)</f>
        <v>2025</v>
      </c>
    </row>
    <row r="2950" customFormat="false" ht="15" hidden="false" customHeight="false" outlineLevel="0" collapsed="false">
      <c r="A2950" s="38" t="n">
        <v>45791</v>
      </c>
      <c r="B2950" s="39" t="n">
        <v>894.5</v>
      </c>
      <c r="C2950" s="40" t="n">
        <v>228532531.69</v>
      </c>
      <c r="D2950" s="40" t="n">
        <f aca="false">MAX(D2949,C2950)</f>
        <v>240204511.69</v>
      </c>
      <c r="E2950" s="41" t="n">
        <f aca="false">C2950/D2950-1</f>
        <v>-0.048591843333332</v>
      </c>
      <c r="F2950" s="42" t="n">
        <f aca="false">YEAR(A2950)</f>
        <v>2025</v>
      </c>
    </row>
    <row r="2951" customFormat="false" ht="15" hidden="false" customHeight="false" outlineLevel="0" collapsed="false">
      <c r="A2951" s="38" t="n">
        <v>45792</v>
      </c>
      <c r="B2951" s="39" t="n">
        <v>883.5</v>
      </c>
      <c r="C2951" s="40" t="n">
        <v>233996011.69</v>
      </c>
      <c r="D2951" s="40" t="n">
        <f aca="false">MAX(D2950,C2951)</f>
        <v>240204511.69</v>
      </c>
      <c r="E2951" s="41" t="n">
        <f aca="false">C2951/D2951-1</f>
        <v>-0.0258467251773042</v>
      </c>
      <c r="F2951" s="42" t="n">
        <f aca="false">YEAR(A2951)</f>
        <v>2025</v>
      </c>
    </row>
    <row r="2952" customFormat="false" ht="15" hidden="false" customHeight="false" outlineLevel="0" collapsed="false">
      <c r="A2952" s="38" t="n">
        <v>45793</v>
      </c>
      <c r="B2952" s="39" t="n">
        <v>854</v>
      </c>
      <c r="C2952" s="40" t="n">
        <v>248648071.69</v>
      </c>
      <c r="D2952" s="40" t="n">
        <f aca="false">MAX(D2951,C2952)</f>
        <v>248648071.69</v>
      </c>
      <c r="E2952" s="41" t="n">
        <f aca="false">C2952/D2952-1</f>
        <v>0</v>
      </c>
      <c r="F2952" s="42" t="n">
        <f aca="false">YEAR(A2952)</f>
        <v>2025</v>
      </c>
    </row>
    <row r="2953" customFormat="false" ht="15" hidden="false" customHeight="false" outlineLevel="0" collapsed="false">
      <c r="A2953" s="38" t="n">
        <v>45796</v>
      </c>
      <c r="B2953" s="39" t="n">
        <v>845.5</v>
      </c>
      <c r="C2953" s="40" t="n">
        <v>252869851.69</v>
      </c>
      <c r="D2953" s="40" t="n">
        <f aca="false">MAX(D2952,C2953)</f>
        <v>252869851.69</v>
      </c>
      <c r="E2953" s="41" t="n">
        <f aca="false">C2953/D2953-1</f>
        <v>0</v>
      </c>
      <c r="F2953" s="42" t="n">
        <f aca="false">YEAR(A2953)</f>
        <v>2025</v>
      </c>
    </row>
    <row r="2954" customFormat="false" ht="15" hidden="false" customHeight="false" outlineLevel="0" collapsed="false">
      <c r="A2954" s="38" t="n">
        <v>45797</v>
      </c>
      <c r="B2954" s="39" t="n">
        <v>839</v>
      </c>
      <c r="C2954" s="40" t="n">
        <v>256098271.69</v>
      </c>
      <c r="D2954" s="40" t="n">
        <f aca="false">MAX(D2953,C2954)</f>
        <v>256098271.69</v>
      </c>
      <c r="E2954" s="41" t="n">
        <f aca="false">C2954/D2954-1</f>
        <v>0</v>
      </c>
      <c r="F2954" s="42" t="n">
        <f aca="false">YEAR(A2954)</f>
        <v>2025</v>
      </c>
    </row>
    <row r="2955" customFormat="false" ht="15" hidden="false" customHeight="false" outlineLevel="0" collapsed="false">
      <c r="A2955" s="38" t="n">
        <v>45798</v>
      </c>
      <c r="B2955" s="39" t="n">
        <v>842</v>
      </c>
      <c r="C2955" s="40" t="n">
        <v>254608231.69</v>
      </c>
      <c r="D2955" s="40" t="n">
        <f aca="false">MAX(D2954,C2955)</f>
        <v>256098271.69</v>
      </c>
      <c r="E2955" s="41" t="n">
        <f aca="false">C2955/D2955-1</f>
        <v>-0.00581823528197667</v>
      </c>
      <c r="F2955" s="42" t="n">
        <f aca="false">YEAR(A2955)</f>
        <v>2025</v>
      </c>
    </row>
    <row r="2956" customFormat="false" ht="15" hidden="false" customHeight="false" outlineLevel="0" collapsed="false">
      <c r="A2956" s="38" t="n">
        <v>45799</v>
      </c>
      <c r="B2956" s="39" t="n">
        <v>827.5</v>
      </c>
      <c r="C2956" s="40" t="n">
        <v>261810091.69</v>
      </c>
      <c r="D2956" s="40" t="n">
        <f aca="false">MAX(D2955,C2956)</f>
        <v>261810091.69</v>
      </c>
      <c r="E2956" s="41" t="n">
        <f aca="false">C2956/D2956-1</f>
        <v>0</v>
      </c>
      <c r="F2956" s="42" t="n">
        <f aca="false">YEAR(A2956)</f>
        <v>2025</v>
      </c>
    </row>
    <row r="2957" customFormat="false" ht="15" hidden="false" customHeight="false" outlineLevel="0" collapsed="false">
      <c r="A2957" s="38" t="n">
        <v>45800</v>
      </c>
      <c r="B2957" s="39" t="n">
        <v>802.5</v>
      </c>
      <c r="C2957" s="40" t="n">
        <v>274227091.69</v>
      </c>
      <c r="D2957" s="40" t="n">
        <f aca="false">MAX(D2956,C2957)</f>
        <v>274227091.69</v>
      </c>
      <c r="E2957" s="41" t="n">
        <f aca="false">C2957/D2957-1</f>
        <v>0</v>
      </c>
      <c r="F2957" s="42" t="n">
        <f aca="false">YEAR(A2957)</f>
        <v>2025</v>
      </c>
    </row>
    <row r="2958" customFormat="false" ht="15" hidden="false" customHeight="false" outlineLevel="0" collapsed="false">
      <c r="A2958" s="38" t="n">
        <v>45803</v>
      </c>
      <c r="B2958" s="39" t="n">
        <v>800</v>
      </c>
      <c r="C2958" s="40" t="n">
        <v>275468791.69</v>
      </c>
      <c r="D2958" s="40" t="n">
        <f aca="false">MAX(D2957,C2958)</f>
        <v>275468791.69</v>
      </c>
      <c r="E2958" s="41" t="n">
        <f aca="false">C2958/D2958-1</f>
        <v>0</v>
      </c>
      <c r="F2958" s="42" t="n">
        <f aca="false">YEAR(A2958)</f>
        <v>2025</v>
      </c>
    </row>
    <row r="2959" customFormat="false" ht="15" hidden="false" customHeight="false" outlineLevel="0" collapsed="false">
      <c r="A2959" s="38" t="n">
        <v>45804</v>
      </c>
      <c r="B2959" s="39" t="n">
        <v>800.5</v>
      </c>
      <c r="C2959" s="40" t="n">
        <v>275220451.69</v>
      </c>
      <c r="D2959" s="40" t="n">
        <f aca="false">MAX(D2958,C2959)</f>
        <v>275468791.69</v>
      </c>
      <c r="E2959" s="41" t="n">
        <f aca="false">C2959/D2959-1</f>
        <v>-0.000901517730834134</v>
      </c>
      <c r="F2959" s="42" t="n">
        <f aca="false">YEAR(A2959)</f>
        <v>2025</v>
      </c>
    </row>
    <row r="2960" customFormat="false" ht="15" hidden="false" customHeight="false" outlineLevel="0" collapsed="false">
      <c r="A2960" s="38" t="n">
        <v>45805</v>
      </c>
      <c r="B2960" s="39" t="n">
        <v>780</v>
      </c>
      <c r="C2960" s="40" t="n">
        <v>285402391.69</v>
      </c>
      <c r="D2960" s="40" t="n">
        <f aca="false">MAX(D2959,C2960)</f>
        <v>285402391.69</v>
      </c>
      <c r="E2960" s="41" t="n">
        <f aca="false">C2960/D2960-1</f>
        <v>0</v>
      </c>
      <c r="F2960" s="42" t="n">
        <f aca="false">YEAR(A2960)</f>
        <v>2025</v>
      </c>
    </row>
    <row r="2961" customFormat="false" ht="15" hidden="false" customHeight="false" outlineLevel="0" collapsed="false">
      <c r="A2961" s="38" t="n">
        <v>45806</v>
      </c>
      <c r="B2961" s="39" t="n">
        <v>760.5</v>
      </c>
      <c r="C2961" s="40" t="n">
        <v>295087651.69</v>
      </c>
      <c r="D2961" s="40" t="n">
        <f aca="false">MAX(D2960,C2961)</f>
        <v>295087651.69</v>
      </c>
      <c r="E2961" s="41" t="n">
        <f aca="false">C2961/D2961-1</f>
        <v>0</v>
      </c>
      <c r="F2961" s="42" t="n">
        <f aca="false">YEAR(A2961)</f>
        <v>2025</v>
      </c>
    </row>
    <row r="2962" customFormat="false" ht="15" hidden="false" customHeight="false" outlineLevel="0" collapsed="false">
      <c r="A2962" s="38" t="n">
        <v>45807</v>
      </c>
      <c r="B2962" s="39" t="n">
        <v>728.5</v>
      </c>
      <c r="C2962" s="40" t="n">
        <v>310981411.69</v>
      </c>
      <c r="D2962" s="40" t="n">
        <f aca="false">MAX(D2961,C2962)</f>
        <v>310981411.69</v>
      </c>
      <c r="E2962" s="41" t="n">
        <f aca="false">C2962/D2962-1</f>
        <v>0</v>
      </c>
      <c r="F2962" s="42" t="n">
        <f aca="false">YEAR(A2962)</f>
        <v>2025</v>
      </c>
    </row>
    <row r="2963" customFormat="false" ht="15" hidden="false" customHeight="false" outlineLevel="0" collapsed="false">
      <c r="A2963" s="38" t="n">
        <v>45811</v>
      </c>
      <c r="B2963" s="39" t="n">
        <v>721.5</v>
      </c>
      <c r="C2963" s="40" t="n">
        <v>314458171.69</v>
      </c>
      <c r="D2963" s="40" t="n">
        <f aca="false">MAX(D2962,C2963)</f>
        <v>314458171.69</v>
      </c>
      <c r="E2963" s="41" t="n">
        <f aca="false">C2963/D2963-1</f>
        <v>0</v>
      </c>
      <c r="F2963" s="42" t="n">
        <f aca="false">YEAR(A2963)</f>
        <v>2025</v>
      </c>
    </row>
    <row r="2964" customFormat="false" ht="15" hidden="false" customHeight="false" outlineLevel="0" collapsed="false">
      <c r="A2964" s="38" t="n">
        <v>45812</v>
      </c>
      <c r="B2964" s="39" t="n">
        <v>770.5</v>
      </c>
      <c r="C2964" s="40" t="n">
        <v>290120851.69</v>
      </c>
      <c r="D2964" s="40" t="n">
        <f aca="false">MAX(D2963,C2964)</f>
        <v>314458171.69</v>
      </c>
      <c r="E2964" s="41" t="n">
        <f aca="false">C2964/D2964-1</f>
        <v>-0.0773944587580706</v>
      </c>
      <c r="F2964" s="42" t="n">
        <f aca="false">YEAR(A2964)</f>
        <v>2025</v>
      </c>
    </row>
    <row r="2965" customFormat="false" ht="15" hidden="false" customHeight="false" outlineLevel="0" collapsed="false">
      <c r="A2965" s="38" t="n">
        <v>45813</v>
      </c>
      <c r="B2965" s="39" t="n">
        <v>759</v>
      </c>
      <c r="C2965" s="40" t="n">
        <v>295832671.69</v>
      </c>
      <c r="D2965" s="40" t="n">
        <f aca="false">MAX(D2964,C2965)</f>
        <v>314458171.69</v>
      </c>
      <c r="E2965" s="41" t="n">
        <f aca="false">C2965/D2965-1</f>
        <v>-0.0592304531311765</v>
      </c>
      <c r="F2965" s="42" t="n">
        <f aca="false">YEAR(A2965)</f>
        <v>2025</v>
      </c>
    </row>
    <row r="2966" customFormat="false" ht="15" hidden="false" customHeight="false" outlineLevel="0" collapsed="false">
      <c r="A2966" s="38" t="n">
        <v>45814</v>
      </c>
      <c r="B2966" s="39" t="n">
        <v>780.5</v>
      </c>
      <c r="C2966" s="40" t="n">
        <v>285154051.69</v>
      </c>
      <c r="D2966" s="40" t="n">
        <f aca="false">MAX(D2965,C2966)</f>
        <v>314458171.69</v>
      </c>
      <c r="E2966" s="41" t="n">
        <f aca="false">C2966/D2966-1</f>
        <v>-0.0931892462597177</v>
      </c>
      <c r="F2966" s="42" t="n">
        <f aca="false">YEAR(A2966)</f>
        <v>2025</v>
      </c>
    </row>
    <row r="2967" customFormat="false" ht="15" hidden="false" customHeight="false" outlineLevel="0" collapsed="false">
      <c r="A2967" s="38" t="n">
        <v>45817</v>
      </c>
      <c r="B2967" s="39" t="n">
        <v>782</v>
      </c>
      <c r="C2967" s="40" t="n">
        <v>284409031.69</v>
      </c>
      <c r="D2967" s="40" t="n">
        <f aca="false">MAX(D2966,C2967)</f>
        <v>314458171.69</v>
      </c>
      <c r="E2967" s="41" t="n">
        <f aca="false">C2967/D2967-1</f>
        <v>-0.0955584643849647</v>
      </c>
      <c r="F2967" s="42" t="n">
        <f aca="false">YEAR(A2967)</f>
        <v>2025</v>
      </c>
    </row>
    <row r="2968" customFormat="false" ht="15" hidden="false" customHeight="false" outlineLevel="0" collapsed="false">
      <c r="A2968" s="38" t="n">
        <v>45818</v>
      </c>
      <c r="B2968" s="39" t="n">
        <v>786</v>
      </c>
      <c r="C2968" s="40" t="n">
        <v>282422311.69</v>
      </c>
      <c r="D2968" s="40" t="n">
        <f aca="false">MAX(D2967,C2968)</f>
        <v>314458171.69</v>
      </c>
      <c r="E2968" s="41" t="n">
        <f aca="false">C2968/D2968-1</f>
        <v>-0.101876379385624</v>
      </c>
      <c r="F2968" s="42" t="n">
        <f aca="false">YEAR(A2968)</f>
        <v>2025</v>
      </c>
    </row>
    <row r="2969" customFormat="false" ht="15" hidden="false" customHeight="false" outlineLevel="0" collapsed="false">
      <c r="A2969" s="38" t="n">
        <v>45819</v>
      </c>
      <c r="B2969" s="39" t="n">
        <v>785</v>
      </c>
      <c r="C2969" s="40" t="n">
        <v>282918991.69</v>
      </c>
      <c r="D2969" s="40" t="n">
        <f aca="false">MAX(D2968,C2969)</f>
        <v>314458171.69</v>
      </c>
      <c r="E2969" s="41" t="n">
        <f aca="false">C2969/D2969-1</f>
        <v>-0.100296900635459</v>
      </c>
      <c r="F2969" s="42" t="n">
        <f aca="false">YEAR(A2969)</f>
        <v>2025</v>
      </c>
    </row>
    <row r="2970" customFormat="false" ht="15" hidden="false" customHeight="false" outlineLevel="0" collapsed="false">
      <c r="A2970" s="38" t="n">
        <v>45820</v>
      </c>
      <c r="B2970" s="39" t="n">
        <v>768.5</v>
      </c>
      <c r="C2970" s="40" t="n">
        <v>291114211.69</v>
      </c>
      <c r="D2970" s="40" t="n">
        <f aca="false">MAX(D2969,C2970)</f>
        <v>314458171.69</v>
      </c>
      <c r="E2970" s="41" t="n">
        <f aca="false">C2970/D2970-1</f>
        <v>-0.0742355012577413</v>
      </c>
      <c r="F2970" s="42" t="n">
        <f aca="false">YEAR(A2970)</f>
        <v>2025</v>
      </c>
    </row>
    <row r="2971" customFormat="false" ht="15" hidden="false" customHeight="false" outlineLevel="0" collapsed="false">
      <c r="A2971" s="38" t="n">
        <v>45821</v>
      </c>
      <c r="B2971" s="39" t="n">
        <v>776.5</v>
      </c>
      <c r="C2971" s="40" t="n">
        <v>287140771.69</v>
      </c>
      <c r="D2971" s="40" t="n">
        <f aca="false">MAX(D2970,C2971)</f>
        <v>314458171.69</v>
      </c>
      <c r="E2971" s="41" t="n">
        <f aca="false">C2971/D2971-1</f>
        <v>-0.0868713312590589</v>
      </c>
      <c r="F2971" s="42" t="n">
        <f aca="false">YEAR(A2971)</f>
        <v>2025</v>
      </c>
    </row>
    <row r="2972" customFormat="false" ht="15" hidden="false" customHeight="false" outlineLevel="0" collapsed="false">
      <c r="A2972" s="38" t="n">
        <v>45824</v>
      </c>
      <c r="B2972" s="39" t="n">
        <v>798</v>
      </c>
      <c r="C2972" s="40" t="n">
        <v>276462151.69</v>
      </c>
      <c r="D2972" s="40" t="n">
        <f aca="false">MAX(D2971,C2972)</f>
        <v>314458171.69</v>
      </c>
      <c r="E2972" s="41" t="n">
        <f aca="false">C2972/D2972-1</f>
        <v>-0.1208301243876</v>
      </c>
      <c r="F2972" s="42" t="n">
        <f aca="false">YEAR(A2972)</f>
        <v>2025</v>
      </c>
    </row>
    <row r="2973" customFormat="false" ht="15" hidden="false" customHeight="false" outlineLevel="0" collapsed="false">
      <c r="A2973" s="38" t="n">
        <v>45825</v>
      </c>
      <c r="B2973" s="39" t="n">
        <v>792.5</v>
      </c>
      <c r="C2973" s="40" t="n">
        <v>279193891.69</v>
      </c>
      <c r="D2973" s="40" t="n">
        <f aca="false">MAX(D2972,C2973)</f>
        <v>314458171.69</v>
      </c>
      <c r="E2973" s="41" t="n">
        <f aca="false">C2973/D2973-1</f>
        <v>-0.112142991261694</v>
      </c>
      <c r="F2973" s="42" t="n">
        <f aca="false">YEAR(A2973)</f>
        <v>2025</v>
      </c>
    </row>
    <row r="2974" customFormat="false" ht="15" hidden="false" customHeight="false" outlineLevel="0" collapsed="false">
      <c r="A2974" s="38" t="n">
        <v>45826</v>
      </c>
      <c r="B2974" s="39" t="n">
        <v>795</v>
      </c>
      <c r="C2974" s="40" t="n">
        <v>277952191.69</v>
      </c>
      <c r="D2974" s="40" t="n">
        <f aca="false">MAX(D2973,C2974)</f>
        <v>314458171.69</v>
      </c>
      <c r="E2974" s="41" t="n">
        <f aca="false">C2974/D2974-1</f>
        <v>-0.116091688137106</v>
      </c>
      <c r="F2974" s="42" t="n">
        <f aca="false">YEAR(A2974)</f>
        <v>2025</v>
      </c>
    </row>
    <row r="2975" customFormat="false" ht="15" hidden="false" customHeight="false" outlineLevel="0" collapsed="false">
      <c r="A2975" s="38" t="n">
        <v>45827</v>
      </c>
      <c r="B2975" s="39" t="n">
        <v>795</v>
      </c>
      <c r="C2975" s="40" t="n">
        <v>277952191.69</v>
      </c>
      <c r="D2975" s="40" t="n">
        <f aca="false">MAX(D2974,C2975)</f>
        <v>314458171.69</v>
      </c>
      <c r="E2975" s="41" t="n">
        <f aca="false">C2975/D2975-1</f>
        <v>-0.116091688137106</v>
      </c>
      <c r="F2975" s="42" t="n">
        <f aca="false">YEAR(A2975)</f>
        <v>2025</v>
      </c>
    </row>
    <row r="2976" customFormat="false" ht="15" hidden="false" customHeight="false" outlineLevel="0" collapsed="false">
      <c r="A2976" s="38" t="n">
        <v>45828</v>
      </c>
      <c r="B2976" s="39" t="n">
        <v>800</v>
      </c>
      <c r="C2976" s="40" t="n">
        <v>275468791.69</v>
      </c>
      <c r="D2976" s="40" t="n">
        <f aca="false">MAX(D2975,C2976)</f>
        <v>314458171.69</v>
      </c>
      <c r="E2976" s="41" t="n">
        <f aca="false">C2976/D2976-1</f>
        <v>-0.123989081887929</v>
      </c>
      <c r="F2976" s="42" t="n">
        <f aca="false">YEAR(A2976)</f>
        <v>2025</v>
      </c>
    </row>
    <row r="2977" customFormat="false" ht="15" hidden="false" customHeight="false" outlineLevel="0" collapsed="false">
      <c r="A2977" s="38" t="n">
        <v>45831</v>
      </c>
      <c r="B2977" s="39" t="n">
        <v>814</v>
      </c>
      <c r="C2977" s="40" t="n">
        <v>275925704.17</v>
      </c>
      <c r="D2977" s="40" t="n">
        <f aca="false">MAX(D2976,C2977)</f>
        <v>314458171.69</v>
      </c>
      <c r="E2977" s="41" t="n">
        <f aca="false">C2977/D2977-1</f>
        <v>-0.122536066761802</v>
      </c>
      <c r="F2977" s="42" t="n">
        <f aca="false">YEAR(A2977)</f>
        <v>2025</v>
      </c>
    </row>
    <row r="2978" customFormat="false" ht="15" hidden="false" customHeight="false" outlineLevel="0" collapsed="false">
      <c r="A2978" s="38" t="n">
        <v>45832</v>
      </c>
      <c r="B2978" s="39" t="n">
        <v>792.5</v>
      </c>
      <c r="C2978" s="40" t="n">
        <v>275925704.17</v>
      </c>
      <c r="D2978" s="40" t="n">
        <f aca="false">MAX(D2977,C2978)</f>
        <v>314458171.69</v>
      </c>
      <c r="E2978" s="41" t="n">
        <f aca="false">C2978/D2978-1</f>
        <v>-0.122536066761802</v>
      </c>
      <c r="F2978" s="42" t="n">
        <f aca="false">YEAR(A2978)</f>
        <v>2025</v>
      </c>
    </row>
    <row r="2979" customFormat="false" ht="15" hidden="false" customHeight="false" outlineLevel="0" collapsed="false">
      <c r="A2979" s="38" t="n">
        <v>45833</v>
      </c>
      <c r="B2979" s="39" t="n">
        <v>813.5</v>
      </c>
      <c r="C2979" s="40" t="n">
        <v>275925704.17</v>
      </c>
      <c r="D2979" s="40" t="n">
        <f aca="false">MAX(D2978,C2979)</f>
        <v>314458171.69</v>
      </c>
      <c r="E2979" s="41" t="n">
        <f aca="false">C2979/D2979-1</f>
        <v>-0.122536066761802</v>
      </c>
      <c r="F2979" s="42" t="n">
        <f aca="false">YEAR(A2979)</f>
        <v>2025</v>
      </c>
    </row>
    <row r="2980" customFormat="false" ht="15" hidden="false" customHeight="false" outlineLevel="0" collapsed="false">
      <c r="A2980" s="38" t="n">
        <v>45834</v>
      </c>
      <c r="B2980" s="39" t="n">
        <v>827</v>
      </c>
      <c r="C2980" s="40" t="n">
        <v>275925704.17</v>
      </c>
      <c r="D2980" s="40" t="n">
        <f aca="false">MAX(D2979,C2980)</f>
        <v>314458171.69</v>
      </c>
      <c r="E2980" s="41" t="n">
        <f aca="false">C2980/D2980-1</f>
        <v>-0.122536066761802</v>
      </c>
      <c r="F2980" s="42" t="n">
        <f aca="false">YEAR(A2980)</f>
        <v>2025</v>
      </c>
    </row>
    <row r="2981" customFormat="false" ht="15" hidden="false" customHeight="false" outlineLevel="0" collapsed="false">
      <c r="A2981" s="38" t="n">
        <v>45835</v>
      </c>
      <c r="B2981" s="39" t="n">
        <v>856</v>
      </c>
      <c r="C2981" s="40" t="n">
        <v>314687388.28</v>
      </c>
      <c r="D2981" s="40" t="n">
        <f aca="false">MAX(D2980,C2981)</f>
        <v>314687388.28</v>
      </c>
      <c r="E2981" s="41" t="n">
        <f aca="false">C2981/D2981-1</f>
        <v>0</v>
      </c>
      <c r="F2981" s="42" t="n">
        <f aca="false">YEAR(A2981)</f>
        <v>2025</v>
      </c>
    </row>
    <row r="2982" customFormat="false" ht="15" hidden="false" customHeight="false" outlineLevel="0" collapsed="false">
      <c r="A2982" s="38" t="n">
        <v>45838</v>
      </c>
      <c r="B2982" s="39" t="n">
        <v>832.5</v>
      </c>
      <c r="C2982" s="40" t="n">
        <v>282058578.28</v>
      </c>
      <c r="D2982" s="40" t="n">
        <f aca="false">MAX(D2981,C2982)</f>
        <v>314687388.28</v>
      </c>
      <c r="E2982" s="41" t="n">
        <f aca="false">C2982/D2982-1</f>
        <v>-0.103686424099614</v>
      </c>
      <c r="F2982" s="42" t="n">
        <f aca="false">YEAR(A2982)</f>
        <v>2025</v>
      </c>
    </row>
    <row r="2983" customFormat="false" ht="15" hidden="false" customHeight="false" outlineLevel="0" collapsed="false">
      <c r="A2983" s="38" t="n">
        <v>45839</v>
      </c>
      <c r="B2983" s="39" t="n">
        <v>824</v>
      </c>
      <c r="C2983" s="40" t="n">
        <v>270256668.28</v>
      </c>
      <c r="D2983" s="40" t="n">
        <f aca="false">MAX(D2982,C2983)</f>
        <v>314687388.28</v>
      </c>
      <c r="E2983" s="41" t="n">
        <f aca="false">C2983/D2983-1</f>
        <v>-0.141190024305857</v>
      </c>
      <c r="F2983" s="42" t="n">
        <f aca="false">YEAR(A2983)</f>
        <v>2025</v>
      </c>
    </row>
    <row r="2984" customFormat="false" ht="15" hidden="false" customHeight="false" outlineLevel="0" collapsed="false">
      <c r="A2984" s="38" t="n">
        <v>45840</v>
      </c>
      <c r="B2984" s="39" t="n">
        <v>855</v>
      </c>
      <c r="C2984" s="40" t="n">
        <v>313298928.28</v>
      </c>
      <c r="D2984" s="40" t="n">
        <f aca="false">MAX(D2983,C2984)</f>
        <v>314687388.28</v>
      </c>
      <c r="E2984" s="41" t="n">
        <f aca="false">C2984/D2984-1</f>
        <v>-0.00441218825955803</v>
      </c>
      <c r="F2984" s="42" t="n">
        <f aca="false">YEAR(A2984)</f>
        <v>2025</v>
      </c>
    </row>
    <row r="2985" customFormat="false" ht="15" hidden="false" customHeight="false" outlineLevel="0" collapsed="false">
      <c r="A2985" s="38" t="n">
        <v>45841</v>
      </c>
      <c r="B2985" s="39" t="n">
        <v>871</v>
      </c>
      <c r="C2985" s="40" t="n">
        <v>335514288.28</v>
      </c>
      <c r="D2985" s="40" t="n">
        <f aca="false">MAX(D2984,C2985)</f>
        <v>335514288.28</v>
      </c>
      <c r="E2985" s="41" t="n">
        <f aca="false">C2985/D2985-1</f>
        <v>0</v>
      </c>
      <c r="F2985" s="42" t="n">
        <f aca="false">YEAR(A2985)</f>
        <v>2025</v>
      </c>
    </row>
    <row r="2986" customFormat="false" ht="15" hidden="false" customHeight="false" outlineLevel="0" collapsed="false">
      <c r="A2986" s="38" t="n">
        <v>45842</v>
      </c>
      <c r="B2986" s="39" t="n">
        <v>853</v>
      </c>
      <c r="C2986" s="40" t="n">
        <v>310522008.28</v>
      </c>
      <c r="D2986" s="40" t="n">
        <f aca="false">MAX(D2985,C2986)</f>
        <v>335514288.28</v>
      </c>
      <c r="E2986" s="41" t="n">
        <f aca="false">C2986/D2986-1</f>
        <v>-0.0744894654952607</v>
      </c>
      <c r="F2986" s="42" t="n">
        <f aca="false">YEAR(A2986)</f>
        <v>2025</v>
      </c>
    </row>
    <row r="2987" customFormat="false" ht="15" hidden="false" customHeight="false" outlineLevel="0" collapsed="false">
      <c r="A2987" s="38" t="n">
        <v>45845</v>
      </c>
      <c r="B2987" s="39" t="n">
        <v>849.5</v>
      </c>
      <c r="C2987" s="40" t="n">
        <v>305662398.28</v>
      </c>
      <c r="D2987" s="40" t="n">
        <f aca="false">MAX(D2986,C2987)</f>
        <v>335514288.28</v>
      </c>
      <c r="E2987" s="41" t="n">
        <f aca="false">C2987/D2987-1</f>
        <v>-0.0889735282304502</v>
      </c>
      <c r="F2987" s="42" t="n">
        <f aca="false">YEAR(A2987)</f>
        <v>2025</v>
      </c>
    </row>
    <row r="2988" customFormat="false" ht="15" hidden="false" customHeight="false" outlineLevel="0" collapsed="false">
      <c r="A2988" s="38" t="n">
        <v>45846</v>
      </c>
      <c r="B2988" s="39" t="n">
        <v>857</v>
      </c>
      <c r="C2988" s="40" t="n">
        <v>316075848.28</v>
      </c>
      <c r="D2988" s="40" t="n">
        <f aca="false">MAX(D2987,C2988)</f>
        <v>335514288.28</v>
      </c>
      <c r="E2988" s="41" t="n">
        <f aca="false">C2988/D2988-1</f>
        <v>-0.0579362509407583</v>
      </c>
      <c r="F2988" s="42" t="n">
        <f aca="false">YEAR(A2988)</f>
        <v>2025</v>
      </c>
    </row>
    <row r="2989" customFormat="false" ht="15" hidden="false" customHeight="false" outlineLevel="0" collapsed="false">
      <c r="A2989" s="38" t="n">
        <v>45847</v>
      </c>
      <c r="B2989" s="39" t="n">
        <v>883</v>
      </c>
      <c r="C2989" s="40" t="n">
        <v>352175808.28</v>
      </c>
      <c r="D2989" s="40" t="n">
        <f aca="false">MAX(D2988,C2989)</f>
        <v>352175808.28</v>
      </c>
      <c r="E2989" s="41" t="n">
        <f aca="false">C2989/D2989-1</f>
        <v>0</v>
      </c>
      <c r="F2989" s="42" t="n">
        <f aca="false">YEAR(A2989)</f>
        <v>2025</v>
      </c>
    </row>
    <row r="2990" customFormat="false" ht="15" hidden="false" customHeight="false" outlineLevel="0" collapsed="false">
      <c r="A2990" s="38" t="n">
        <v>45848</v>
      </c>
      <c r="B2990" s="39" t="n">
        <v>908</v>
      </c>
      <c r="C2990" s="40" t="n">
        <v>386887308.28</v>
      </c>
      <c r="D2990" s="40" t="n">
        <f aca="false">MAX(D2989,C2990)</f>
        <v>386887308.28</v>
      </c>
      <c r="E2990" s="41" t="n">
        <f aca="false">C2990/D2990-1</f>
        <v>0</v>
      </c>
      <c r="F2990" s="42" t="n">
        <f aca="false">YEAR(A2990)</f>
        <v>2025</v>
      </c>
    </row>
    <row r="2991" customFormat="false" ht="15" hidden="false" customHeight="false" outlineLevel="0" collapsed="false">
      <c r="A2991" s="38" t="n">
        <v>45849</v>
      </c>
      <c r="B2991" s="39" t="n">
        <v>923</v>
      </c>
      <c r="C2991" s="40" t="n">
        <v>407714208.28</v>
      </c>
      <c r="D2991" s="40" t="n">
        <f aca="false">MAX(D2990,C2991)</f>
        <v>407714208.28</v>
      </c>
      <c r="E2991" s="41" t="n">
        <f aca="false">C2991/D2991-1</f>
        <v>0</v>
      </c>
      <c r="F2991" s="42" t="n">
        <f aca="false">YEAR(A2991)</f>
        <v>2025</v>
      </c>
    </row>
    <row r="2992" customFormat="false" ht="15" hidden="false" customHeight="false" outlineLevel="0" collapsed="false">
      <c r="A2992" s="38" t="n">
        <v>45852</v>
      </c>
      <c r="B2992" s="39" t="n">
        <v>933.5</v>
      </c>
      <c r="C2992" s="40" t="n">
        <v>422293038.28</v>
      </c>
      <c r="D2992" s="40" t="n">
        <f aca="false">MAX(D2991,C2992)</f>
        <v>422293038.28</v>
      </c>
      <c r="E2992" s="41" t="n">
        <f aca="false">C2992/D2992-1</f>
        <v>0</v>
      </c>
      <c r="F2992" s="42" t="n">
        <f aca="false">YEAR(A2992)</f>
        <v>2025</v>
      </c>
    </row>
    <row r="2993" customFormat="false" ht="15" hidden="false" customHeight="false" outlineLevel="0" collapsed="false">
      <c r="A2993" s="38" t="n">
        <v>45853</v>
      </c>
      <c r="B2993" s="39" t="n">
        <v>928</v>
      </c>
      <c r="C2993" s="40" t="n">
        <v>414656508.28</v>
      </c>
      <c r="D2993" s="40" t="n">
        <f aca="false">MAX(D2992,C2993)</f>
        <v>422293038.28</v>
      </c>
      <c r="E2993" s="41" t="n">
        <f aca="false">C2993/D2993-1</f>
        <v>-0.0180834854183332</v>
      </c>
      <c r="F2993" s="42" t="n">
        <f aca="false">YEAR(A2993)</f>
        <v>2025</v>
      </c>
    </row>
    <row r="2994" customFormat="false" ht="15" hidden="false" customHeight="false" outlineLevel="0" collapsed="false">
      <c r="A2994" s="38" t="n">
        <v>45854</v>
      </c>
      <c r="B2994" s="39" t="n">
        <v>912</v>
      </c>
      <c r="C2994" s="40" t="n">
        <v>392441148.28</v>
      </c>
      <c r="D2994" s="40" t="n">
        <f aca="false">MAX(D2993,C2994)</f>
        <v>422293038.28</v>
      </c>
      <c r="E2994" s="41" t="n">
        <f aca="false">C2994/D2994-1</f>
        <v>-0.0706899884534843</v>
      </c>
      <c r="F2994" s="42" t="n">
        <f aca="false">YEAR(A2994)</f>
        <v>2025</v>
      </c>
    </row>
    <row r="2995" customFormat="false" ht="15" hidden="false" customHeight="false" outlineLevel="0" collapsed="false">
      <c r="A2995" s="38" t="n">
        <v>45855</v>
      </c>
      <c r="B2995" s="39" t="n">
        <v>935</v>
      </c>
      <c r="C2995" s="40" t="n">
        <v>424375728.28</v>
      </c>
      <c r="D2995" s="40" t="n">
        <f aca="false">MAX(D2994,C2995)</f>
        <v>424375728.28</v>
      </c>
      <c r="E2995" s="41" t="n">
        <f aca="false">C2995/D2995-1</f>
        <v>0</v>
      </c>
      <c r="F2995" s="42" t="n">
        <f aca="false">YEAR(A2995)</f>
        <v>2025</v>
      </c>
    </row>
    <row r="2996" customFormat="false" ht="15" hidden="false" customHeight="false" outlineLevel="0" collapsed="false">
      <c r="A2996" s="38" t="n">
        <v>45856</v>
      </c>
      <c r="B2996" s="39" t="n">
        <v>943</v>
      </c>
      <c r="C2996" s="40" t="n">
        <v>435483408.28</v>
      </c>
      <c r="D2996" s="40" t="n">
        <f aca="false">MAX(D2995,C2996)</f>
        <v>435483408.28</v>
      </c>
      <c r="E2996" s="41" t="n">
        <f aca="false">C2996/D2996-1</f>
        <v>0</v>
      </c>
      <c r="F2996" s="42" t="n">
        <f aca="false">YEAR(A2996)</f>
        <v>2025</v>
      </c>
    </row>
    <row r="2997" customFormat="false" ht="15" hidden="false" customHeight="false" outlineLevel="0" collapsed="false">
      <c r="A2997" s="38" t="n">
        <v>45859</v>
      </c>
      <c r="B2997" s="39" t="n">
        <v>1024</v>
      </c>
      <c r="C2997" s="40" t="n">
        <v>547948668.28</v>
      </c>
      <c r="D2997" s="40" t="n">
        <f aca="false">MAX(D2996,C2997)</f>
        <v>547948668.28</v>
      </c>
      <c r="E2997" s="41" t="n">
        <f aca="false">C2997/D2997-1</f>
        <v>0</v>
      </c>
      <c r="F2997" s="42" t="n">
        <f aca="false">YEAR(A2997)</f>
        <v>2025</v>
      </c>
    </row>
    <row r="2998" customFormat="false" ht="15" hidden="false" customHeight="false" outlineLevel="0" collapsed="false">
      <c r="A2998" s="38" t="n">
        <v>45860</v>
      </c>
      <c r="B2998" s="39" t="n">
        <v>1085</v>
      </c>
      <c r="C2998" s="40" t="n">
        <v>632644728.28</v>
      </c>
      <c r="D2998" s="40" t="n">
        <f aca="false">MAX(D2997,C2998)</f>
        <v>632644728.28</v>
      </c>
      <c r="E2998" s="41" t="n">
        <f aca="false">C2998/D2998-1</f>
        <v>0</v>
      </c>
      <c r="F2998" s="42" t="n">
        <f aca="false">YEAR(A2998)</f>
        <v>2025</v>
      </c>
    </row>
    <row r="2999" customFormat="false" ht="15" hidden="false" customHeight="false" outlineLevel="0" collapsed="false">
      <c r="A2999" s="38" t="n">
        <v>45861</v>
      </c>
      <c r="B2999" s="39" t="n">
        <v>1162</v>
      </c>
      <c r="C2999" s="40" t="n">
        <v>739556148.28</v>
      </c>
      <c r="D2999" s="40" t="n">
        <f aca="false">MAX(D2998,C2999)</f>
        <v>739556148.28</v>
      </c>
      <c r="E2999" s="41" t="n">
        <f aca="false">C2999/D2999-1</f>
        <v>0</v>
      </c>
      <c r="F2999" s="42" t="n">
        <f aca="false">YEAR(A2999)</f>
        <v>2025</v>
      </c>
    </row>
    <row r="3000" customFormat="false" ht="15" hidden="false" customHeight="false" outlineLevel="0" collapsed="false">
      <c r="A3000" s="38" t="n">
        <v>45862</v>
      </c>
      <c r="B3000" s="39" t="n">
        <v>1227</v>
      </c>
      <c r="C3000" s="40" t="n">
        <v>829806048.28</v>
      </c>
      <c r="D3000" s="40" t="n">
        <f aca="false">MAX(D2999,C3000)</f>
        <v>829806048.28</v>
      </c>
      <c r="E3000" s="41" t="n">
        <f aca="false">C3000/D3000-1</f>
        <v>0</v>
      </c>
      <c r="F3000" s="42" t="n">
        <f aca="false">YEAR(A3000)</f>
        <v>2025</v>
      </c>
    </row>
    <row r="3001" customFormat="false" ht="15" hidden="false" customHeight="false" outlineLevel="0" collapsed="false">
      <c r="A3001" s="38" t="n">
        <v>45863</v>
      </c>
      <c r="B3001" s="39" t="n">
        <v>1283.5</v>
      </c>
      <c r="C3001" s="40" t="n">
        <v>908254038.28</v>
      </c>
      <c r="D3001" s="40" t="n">
        <f aca="false">MAX(D3000,C3001)</f>
        <v>908254038.28</v>
      </c>
      <c r="E3001" s="41" t="n">
        <f aca="false">C3001/D3001-1</f>
        <v>0</v>
      </c>
      <c r="F3001" s="42" t="n">
        <f aca="false">YEAR(A3001)</f>
        <v>2025</v>
      </c>
    </row>
    <row r="3002" customFormat="false" ht="15" hidden="false" customHeight="false" outlineLevel="0" collapsed="false">
      <c r="A3002" s="38" t="n">
        <v>45866</v>
      </c>
      <c r="B3002" s="39" t="n">
        <v>1137</v>
      </c>
      <c r="C3002" s="40" t="n">
        <v>704844648.28</v>
      </c>
      <c r="D3002" s="40" t="n">
        <f aca="false">MAX(D3001,C3002)</f>
        <v>908254038.28</v>
      </c>
      <c r="E3002" s="41" t="n">
        <f aca="false">C3002/D3002-1</f>
        <v>-0.223956493917941</v>
      </c>
      <c r="F3002" s="42" t="n">
        <f aca="false">YEAR(A3002)</f>
        <v>2025</v>
      </c>
    </row>
    <row r="3003" customFormat="false" ht="15" hidden="false" customHeight="false" outlineLevel="0" collapsed="false">
      <c r="A3003" s="38" t="n">
        <v>45867</v>
      </c>
      <c r="B3003" s="39" t="n">
        <v>1170.5</v>
      </c>
      <c r="C3003" s="40" t="n">
        <v>751358058.28</v>
      </c>
      <c r="D3003" s="40" t="n">
        <f aca="false">MAX(D3002,C3003)</f>
        <v>908254038.28</v>
      </c>
      <c r="E3003" s="41" t="n">
        <f aca="false">C3003/D3003-1</f>
        <v>-0.172744599404282</v>
      </c>
      <c r="F3003" s="42" t="n">
        <f aca="false">YEAR(A3003)</f>
        <v>2025</v>
      </c>
    </row>
    <row r="3004" customFormat="false" ht="15" hidden="false" customHeight="false" outlineLevel="0" collapsed="false">
      <c r="A3004" s="38" t="n">
        <v>45868</v>
      </c>
      <c r="B3004" s="39" t="n">
        <v>1185.5</v>
      </c>
      <c r="C3004" s="40" t="n">
        <v>772184958.28</v>
      </c>
      <c r="D3004" s="40" t="n">
        <f aca="false">MAX(D3003,C3004)</f>
        <v>908254038.28</v>
      </c>
      <c r="E3004" s="41" t="n">
        <f aca="false">C3004/D3004-1</f>
        <v>-0.149813900368315</v>
      </c>
      <c r="F3004" s="42" t="n">
        <f aca="false">YEAR(A3004)</f>
        <v>2025</v>
      </c>
    </row>
    <row r="3005" customFormat="false" ht="15" hidden="false" customHeight="false" outlineLevel="0" collapsed="false">
      <c r="A3005" s="38" t="n">
        <v>45869</v>
      </c>
      <c r="B3005" s="39" t="n">
        <v>1100</v>
      </c>
      <c r="C3005" s="40" t="n">
        <v>653471628.28</v>
      </c>
      <c r="D3005" s="40" t="n">
        <f aca="false">MAX(D3004,C3005)</f>
        <v>908254038.28</v>
      </c>
      <c r="E3005" s="41" t="n">
        <f aca="false">C3005/D3005-1</f>
        <v>-0.280518884873325</v>
      </c>
      <c r="F3005" s="42" t="n">
        <f aca="false">YEAR(A3005)</f>
        <v>2025</v>
      </c>
    </row>
    <row r="3006" customFormat="false" ht="15" hidden="false" customHeight="false" outlineLevel="0" collapsed="false">
      <c r="A3006" s="38" t="n">
        <v>45870</v>
      </c>
      <c r="B3006" s="39" t="n">
        <v>1055</v>
      </c>
      <c r="C3006" s="40" t="n">
        <v>590990928.28</v>
      </c>
      <c r="D3006" s="40" t="n">
        <f aca="false">MAX(D3005,C3006)</f>
        <v>908254038.28</v>
      </c>
      <c r="E3006" s="41" t="n">
        <f aca="false">C3006/D3006-1</f>
        <v>-0.349310981981225</v>
      </c>
      <c r="F3006" s="42" t="n">
        <f aca="false">YEAR(A3006)</f>
        <v>2025</v>
      </c>
    </row>
    <row r="3007" customFormat="false" ht="15" hidden="false" customHeight="false" outlineLevel="0" collapsed="false">
      <c r="A3007" s="38" t="n">
        <v>45873</v>
      </c>
      <c r="B3007" s="39" t="n">
        <v>1101</v>
      </c>
      <c r="C3007" s="40" t="n">
        <v>654860088.28</v>
      </c>
      <c r="D3007" s="40" t="n">
        <f aca="false">MAX(D3006,C3007)</f>
        <v>908254038.28</v>
      </c>
      <c r="E3007" s="41" t="n">
        <f aca="false">C3007/D3007-1</f>
        <v>-0.278990171604261</v>
      </c>
      <c r="F3007" s="42" t="n">
        <f aca="false">YEAR(A3007)</f>
        <v>2025</v>
      </c>
    </row>
    <row r="3008" customFormat="false" ht="15" hidden="false" customHeight="false" outlineLevel="0" collapsed="false">
      <c r="A3008" s="38" t="n">
        <v>45874</v>
      </c>
      <c r="B3008" s="39" t="n">
        <v>1146.5</v>
      </c>
      <c r="C3008" s="40" t="n">
        <v>718035018.28</v>
      </c>
      <c r="D3008" s="40" t="n">
        <f aca="false">MAX(D3007,C3008)</f>
        <v>908254038.28</v>
      </c>
      <c r="E3008" s="41" t="n">
        <f aca="false">C3008/D3008-1</f>
        <v>-0.209433717861829</v>
      </c>
      <c r="F3008" s="42" t="n">
        <f aca="false">YEAR(A3008)</f>
        <v>2025</v>
      </c>
    </row>
    <row r="3009" customFormat="false" ht="15" hidden="false" customHeight="false" outlineLevel="0" collapsed="false">
      <c r="A3009" s="38" t="n">
        <v>45875</v>
      </c>
      <c r="B3009" s="39" t="n">
        <v>1194.5</v>
      </c>
      <c r="C3009" s="40" t="n">
        <v>784681098.28</v>
      </c>
      <c r="D3009" s="40" t="n">
        <f aca="false">MAX(D3008,C3009)</f>
        <v>908254038.28</v>
      </c>
      <c r="E3009" s="41" t="n">
        <f aca="false">C3009/D3009-1</f>
        <v>-0.136055480946735</v>
      </c>
      <c r="F3009" s="42" t="n">
        <f aca="false">YEAR(A3009)</f>
        <v>2025</v>
      </c>
    </row>
    <row r="3010" customFormat="false" ht="15" hidden="false" customHeight="false" outlineLevel="0" collapsed="false">
      <c r="A3010" s="38" t="n">
        <v>45876</v>
      </c>
      <c r="B3010" s="39" t="n">
        <v>1207</v>
      </c>
      <c r="C3010" s="40" t="n">
        <v>802036848.28</v>
      </c>
      <c r="D3010" s="40" t="n">
        <f aca="false">MAX(D3009,C3010)</f>
        <v>908254038.28</v>
      </c>
      <c r="E3010" s="41" t="n">
        <f aca="false">C3010/D3010-1</f>
        <v>-0.11694656508343</v>
      </c>
      <c r="F3010" s="42" t="n">
        <f aca="false">YEAR(A3010)</f>
        <v>2025</v>
      </c>
    </row>
    <row r="3011" customFormat="false" ht="15" hidden="false" customHeight="false" outlineLevel="0" collapsed="false">
      <c r="A3011" s="38" t="n">
        <v>45877</v>
      </c>
      <c r="B3011" s="39" t="n">
        <v>1203.5</v>
      </c>
      <c r="C3011" s="40" t="n">
        <v>797177238.28</v>
      </c>
      <c r="D3011" s="40" t="n">
        <f aca="false">MAX(D3010,C3011)</f>
        <v>908254038.28</v>
      </c>
      <c r="E3011" s="41" t="n">
        <f aca="false">C3011/D3011-1</f>
        <v>-0.122297061525155</v>
      </c>
      <c r="F3011" s="42" t="n">
        <f aca="false">YEAR(A3011)</f>
        <v>2025</v>
      </c>
    </row>
    <row r="3012" customFormat="false" ht="15" hidden="false" customHeight="false" outlineLevel="0" collapsed="false">
      <c r="A3012" s="38" t="n">
        <v>45880</v>
      </c>
      <c r="B3012" s="39" t="n">
        <v>1235</v>
      </c>
      <c r="C3012" s="40" t="n">
        <v>840913728.28</v>
      </c>
      <c r="D3012" s="40" t="n">
        <f aca="false">MAX(D3011,C3012)</f>
        <v>908254038.28</v>
      </c>
      <c r="E3012" s="41" t="n">
        <f aca="false">C3012/D3012-1</f>
        <v>-0.0741425935496255</v>
      </c>
      <c r="F3012" s="42" t="n">
        <f aca="false">YEAR(A3012)</f>
        <v>2025</v>
      </c>
    </row>
    <row r="3013" customFormat="false" ht="15" hidden="false" customHeight="false" outlineLevel="0" collapsed="false">
      <c r="A3013" s="38" t="n">
        <v>45881</v>
      </c>
      <c r="B3013" s="39" t="n">
        <v>1292.5</v>
      </c>
      <c r="C3013" s="40" t="n">
        <v>920750178.28</v>
      </c>
      <c r="D3013" s="40" t="n">
        <f aca="false">MAX(D3012,C3013)</f>
        <v>920750178.28</v>
      </c>
      <c r="E3013" s="41" t="n">
        <f aca="false">C3013/D3013-1</f>
        <v>0</v>
      </c>
      <c r="F3013" s="42" t="n">
        <f aca="false">YEAR(A3013)</f>
        <v>2025</v>
      </c>
    </row>
    <row r="3014" customFormat="false" ht="15" hidden="false" customHeight="false" outlineLevel="0" collapsed="false">
      <c r="A3014" s="38" t="n">
        <v>45882</v>
      </c>
      <c r="B3014" s="39" t="n">
        <v>1226.5</v>
      </c>
      <c r="C3014" s="40" t="n">
        <v>829111818.28</v>
      </c>
      <c r="D3014" s="40" t="n">
        <f aca="false">MAX(D3013,C3014)</f>
        <v>920750178.28</v>
      </c>
      <c r="E3014" s="41" t="n">
        <f aca="false">C3014/D3014-1</f>
        <v>-0.099525758627801</v>
      </c>
      <c r="F3014" s="42" t="n">
        <f aca="false">YEAR(A3014)</f>
        <v>2025</v>
      </c>
    </row>
    <row r="3015" customFormat="false" ht="15" hidden="false" customHeight="false" outlineLevel="0" collapsed="false">
      <c r="A3015" s="38" t="n">
        <v>45883</v>
      </c>
      <c r="B3015" s="39" t="n">
        <v>1196</v>
      </c>
      <c r="C3015" s="40" t="n">
        <v>786763788.28</v>
      </c>
      <c r="D3015" s="40" t="n">
        <f aca="false">MAX(D3014,C3015)</f>
        <v>920750178.28</v>
      </c>
      <c r="E3015" s="41" t="n">
        <f aca="false">C3015/D3015-1</f>
        <v>-0.145518722842164</v>
      </c>
      <c r="F3015" s="42" t="n">
        <f aca="false">YEAR(A3015)</f>
        <v>2025</v>
      </c>
    </row>
    <row r="3016" customFormat="false" ht="15" hidden="false" customHeight="false" outlineLevel="0" collapsed="false">
      <c r="A3016" s="38" t="n">
        <v>45884</v>
      </c>
      <c r="B3016" s="39" t="n">
        <v>1215</v>
      </c>
      <c r="C3016" s="40" t="n">
        <v>813144528.28</v>
      </c>
      <c r="D3016" s="40" t="n">
        <f aca="false">MAX(D3015,C3016)</f>
        <v>920750178.28</v>
      </c>
      <c r="E3016" s="41" t="n">
        <f aca="false">C3016/D3016-1</f>
        <v>-0.116867368085675</v>
      </c>
      <c r="F3016" s="42" t="n">
        <f aca="false">YEAR(A3016)</f>
        <v>2025</v>
      </c>
    </row>
    <row r="3017" customFormat="false" ht="15" hidden="false" customHeight="false" outlineLevel="0" collapsed="false">
      <c r="A3017" s="38" t="n">
        <v>45887</v>
      </c>
      <c r="B3017" s="39" t="n">
        <v>1174</v>
      </c>
      <c r="C3017" s="40" t="n">
        <v>756217668.28</v>
      </c>
      <c r="D3017" s="40" t="n">
        <f aca="false">MAX(D3016,C3017)</f>
        <v>920750178.28</v>
      </c>
      <c r="E3017" s="41" t="n">
        <f aca="false">C3017/D3017-1</f>
        <v>-0.178693975718097</v>
      </c>
      <c r="F3017" s="42" t="n">
        <f aca="false">YEAR(A3017)</f>
        <v>2025</v>
      </c>
    </row>
    <row r="3018" customFormat="false" ht="15" hidden="false" customHeight="false" outlineLevel="0" collapsed="false">
      <c r="A3018" s="38" t="n">
        <v>45888</v>
      </c>
      <c r="B3018" s="39" t="n">
        <v>1182</v>
      </c>
      <c r="C3018" s="40" t="n">
        <v>767325348.28</v>
      </c>
      <c r="D3018" s="40" t="n">
        <f aca="false">MAX(D3017,C3018)</f>
        <v>920750178.28</v>
      </c>
      <c r="E3018" s="41" t="n">
        <f aca="false">C3018/D3018-1</f>
        <v>-0.166630247399576</v>
      </c>
      <c r="F3018" s="42" t="n">
        <f aca="false">YEAR(A3018)</f>
        <v>2025</v>
      </c>
    </row>
    <row r="3019" customFormat="false" ht="15" hidden="false" customHeight="false" outlineLevel="0" collapsed="false">
      <c r="A3019" s="38" t="n">
        <v>45889</v>
      </c>
      <c r="B3019" s="39" t="n">
        <v>1154.5</v>
      </c>
      <c r="C3019" s="40" t="n">
        <v>729142698.28</v>
      </c>
      <c r="D3019" s="40" t="n">
        <f aca="false">MAX(D3018,C3019)</f>
        <v>920750178.28</v>
      </c>
      <c r="E3019" s="41" t="n">
        <f aca="false">C3019/D3019-1</f>
        <v>-0.208099313494493</v>
      </c>
      <c r="F3019" s="42" t="n">
        <f aca="false">YEAR(A3019)</f>
        <v>2025</v>
      </c>
    </row>
    <row r="3020" customFormat="false" ht="15" hidden="false" customHeight="false" outlineLevel="0" collapsed="false">
      <c r="A3020" s="38" t="n">
        <v>45890</v>
      </c>
      <c r="B3020" s="39" t="n">
        <v>1140.5</v>
      </c>
      <c r="C3020" s="40" t="n">
        <v>735229614.35</v>
      </c>
      <c r="D3020" s="40" t="n">
        <f aca="false">MAX(D3019,C3020)</f>
        <v>920750178.28</v>
      </c>
      <c r="E3020" s="41" t="n">
        <f aca="false">C3020/D3020-1</f>
        <v>-0.201488490913529</v>
      </c>
      <c r="F3020" s="42" t="n">
        <f aca="false">YEAR(A3020)</f>
        <v>2025</v>
      </c>
    </row>
    <row r="3021" customFormat="false" ht="15" hidden="false" customHeight="false" outlineLevel="0" collapsed="false">
      <c r="A3021" s="38" t="n">
        <v>45891</v>
      </c>
      <c r="B3021" s="39" t="n">
        <v>1156.5</v>
      </c>
      <c r="C3021" s="40" t="n">
        <v>735229614.35</v>
      </c>
      <c r="D3021" s="40" t="n">
        <f aca="false">MAX(D3020,C3021)</f>
        <v>920750178.28</v>
      </c>
      <c r="E3021" s="41" t="n">
        <f aca="false">C3021/D3021-1</f>
        <v>-0.201488490913529</v>
      </c>
      <c r="F3021" s="42" t="n">
        <f aca="false">YEAR(A3021)</f>
        <v>2025</v>
      </c>
    </row>
    <row r="3022" customFormat="false" ht="15" hidden="false" customHeight="false" outlineLevel="0" collapsed="false">
      <c r="A3022" s="38" t="n">
        <v>45894</v>
      </c>
      <c r="B3022" s="39" t="n">
        <v>1209</v>
      </c>
      <c r="C3022" s="40" t="n">
        <v>735229614.35</v>
      </c>
      <c r="D3022" s="40" t="n">
        <f aca="false">MAX(D3021,C3022)</f>
        <v>920750178.28</v>
      </c>
      <c r="E3022" s="41" t="n">
        <f aca="false">C3022/D3022-1</f>
        <v>-0.201488490913529</v>
      </c>
      <c r="F3022" s="42" t="n">
        <f aca="false">YEAR(A3022)</f>
        <v>2025</v>
      </c>
    </row>
    <row r="3023" customFormat="false" ht="15" hidden="false" customHeight="false" outlineLevel="0" collapsed="false">
      <c r="A3023" s="38" t="n">
        <v>45895</v>
      </c>
      <c r="B3023" s="39" t="n">
        <v>1155.5</v>
      </c>
      <c r="C3023" s="40" t="n">
        <v>735229614.35</v>
      </c>
      <c r="D3023" s="40" t="n">
        <f aca="false">MAX(D3022,C3023)</f>
        <v>920750178.28</v>
      </c>
      <c r="E3023" s="41" t="n">
        <f aca="false">C3023/D3023-1</f>
        <v>-0.201488490913529</v>
      </c>
      <c r="F3023" s="42" t="n">
        <f aca="false">YEAR(A3023)</f>
        <v>2025</v>
      </c>
    </row>
    <row r="3024" customFormat="false" ht="15" hidden="false" customHeight="false" outlineLevel="0" collapsed="false">
      <c r="A3024" s="38" t="n">
        <v>45896</v>
      </c>
      <c r="B3024" s="39" t="n">
        <v>1149</v>
      </c>
      <c r="C3024" s="40" t="n">
        <v>735229614.35</v>
      </c>
      <c r="D3024" s="40" t="n">
        <f aca="false">MAX(D3023,C3024)</f>
        <v>920750178.28</v>
      </c>
      <c r="E3024" s="41" t="n">
        <f aca="false">C3024/D3024-1</f>
        <v>-0.201488490913529</v>
      </c>
      <c r="F3024" s="42" t="n">
        <f aca="false">YEAR(A3024)</f>
        <v>2025</v>
      </c>
    </row>
    <row r="3025" customFormat="false" ht="15" hidden="false" customHeight="false" outlineLevel="0" collapsed="false">
      <c r="A3025" s="38" t="n">
        <v>45897</v>
      </c>
      <c r="B3025" s="39" t="n">
        <v>1171</v>
      </c>
      <c r="C3025" s="40" t="n">
        <v>735229614.35</v>
      </c>
      <c r="D3025" s="40" t="n">
        <f aca="false">MAX(D3024,C3025)</f>
        <v>920750178.28</v>
      </c>
      <c r="E3025" s="41" t="n">
        <f aca="false">C3025/D3025-1</f>
        <v>-0.201488490913529</v>
      </c>
      <c r="F3025" s="42" t="n">
        <f aca="false">YEAR(A3025)</f>
        <v>2025</v>
      </c>
    </row>
    <row r="3026" customFormat="false" ht="15" hidden="false" customHeight="false" outlineLevel="0" collapsed="false">
      <c r="A3026" s="38" t="n">
        <v>45898</v>
      </c>
      <c r="B3026" s="39" t="n">
        <v>1149</v>
      </c>
      <c r="C3026" s="40" t="n">
        <v>735229614.35</v>
      </c>
      <c r="D3026" s="40" t="n">
        <f aca="false">MAX(D3025,C3026)</f>
        <v>920750178.28</v>
      </c>
      <c r="E3026" s="41" t="n">
        <f aca="false">C3026/D3026-1</f>
        <v>-0.201488490913529</v>
      </c>
      <c r="F3026" s="42" t="n">
        <f aca="false">YEAR(A3026)</f>
        <v>2025</v>
      </c>
    </row>
    <row r="3027" customFormat="false" ht="15" hidden="false" customHeight="false" outlineLevel="0" collapsed="false">
      <c r="A3027" s="38" t="n">
        <v>45901</v>
      </c>
      <c r="B3027" s="39" t="n">
        <v>1117</v>
      </c>
      <c r="C3027" s="40" t="n">
        <v>735229614.35</v>
      </c>
      <c r="D3027" s="40" t="n">
        <f aca="false">MAX(D3026,C3027)</f>
        <v>920750178.28</v>
      </c>
      <c r="E3027" s="41" t="n">
        <f aca="false">C3027/D3027-1</f>
        <v>-0.201488490913529</v>
      </c>
      <c r="F3027" s="42" t="n">
        <f aca="false">YEAR(A3027)</f>
        <v>2025</v>
      </c>
    </row>
    <row r="3028" customFormat="false" ht="15" hidden="false" customHeight="false" outlineLevel="0" collapsed="false">
      <c r="A3028" s="38" t="n">
        <v>45902</v>
      </c>
      <c r="B3028" s="39" t="n">
        <v>1111</v>
      </c>
      <c r="C3028" s="40" t="n">
        <v>735229614.35</v>
      </c>
      <c r="D3028" s="40" t="n">
        <f aca="false">MAX(D3027,C3028)</f>
        <v>920750178.28</v>
      </c>
      <c r="E3028" s="41" t="n">
        <f aca="false">C3028/D3028-1</f>
        <v>-0.201488490913529</v>
      </c>
      <c r="F3028" s="42" t="n">
        <f aca="false">YEAR(A3028)</f>
        <v>2025</v>
      </c>
    </row>
    <row r="3029" customFormat="false" ht="15" hidden="false" customHeight="false" outlineLevel="0" collapsed="false">
      <c r="A3029" s="38" t="n">
        <v>45903</v>
      </c>
      <c r="B3029" s="39" t="n">
        <v>1105</v>
      </c>
      <c r="C3029" s="40" t="n">
        <v>735229614.35</v>
      </c>
      <c r="D3029" s="40" t="n">
        <f aca="false">MAX(D3028,C3029)</f>
        <v>920750178.28</v>
      </c>
      <c r="E3029" s="41" t="n">
        <f aca="false">C3029/D3029-1</f>
        <v>-0.201488490913529</v>
      </c>
      <c r="F3029" s="42" t="n">
        <f aca="false">YEAR(A3029)</f>
        <v>2025</v>
      </c>
    </row>
    <row r="3030" customFormat="false" ht="15" hidden="false" customHeight="false" outlineLevel="0" collapsed="false">
      <c r="A3030" s="38" t="n">
        <v>45904</v>
      </c>
      <c r="B3030" s="39" t="n">
        <v>1093.5</v>
      </c>
      <c r="C3030" s="40" t="n">
        <v>735229614.35</v>
      </c>
      <c r="D3030" s="40" t="n">
        <f aca="false">MAX(D3029,C3030)</f>
        <v>920750178.28</v>
      </c>
      <c r="E3030" s="41" t="n">
        <f aca="false">C3030/D3030-1</f>
        <v>-0.201488490913529</v>
      </c>
      <c r="F3030" s="42" t="n">
        <f aca="false">YEAR(A3030)</f>
        <v>2025</v>
      </c>
    </row>
    <row r="3031" customFormat="false" ht="15" hidden="false" customHeight="false" outlineLevel="0" collapsed="false">
      <c r="A3031" s="38" t="n">
        <v>45905</v>
      </c>
      <c r="B3031" s="39" t="n">
        <v>1160.5</v>
      </c>
      <c r="C3031" s="40" t="n">
        <v>735229614.35</v>
      </c>
      <c r="D3031" s="40" t="n">
        <f aca="false">MAX(D3030,C3031)</f>
        <v>920750178.28</v>
      </c>
      <c r="E3031" s="41" t="n">
        <f aca="false">C3031/D3031-1</f>
        <v>-0.201488490913529</v>
      </c>
      <c r="F3031" s="42" t="n">
        <f aca="false">YEAR(A3031)</f>
        <v>2025</v>
      </c>
    </row>
    <row r="3032" customFormat="false" ht="15" hidden="false" customHeight="false" outlineLevel="0" collapsed="false">
      <c r="A3032" s="38" t="n">
        <v>45908</v>
      </c>
      <c r="B3032" s="39" t="n">
        <v>1147.5</v>
      </c>
      <c r="C3032" s="40" t="n">
        <v>735229614.35</v>
      </c>
      <c r="D3032" s="40" t="n">
        <f aca="false">MAX(D3031,C3032)</f>
        <v>920750178.28</v>
      </c>
      <c r="E3032" s="41" t="n">
        <f aca="false">C3032/D3032-1</f>
        <v>-0.201488490913529</v>
      </c>
      <c r="F3032" s="42" t="n">
        <f aca="false">YEAR(A3032)</f>
        <v>2025</v>
      </c>
    </row>
    <row r="3033" customFormat="false" ht="15" hidden="false" customHeight="false" outlineLevel="0" collapsed="false">
      <c r="A3033" s="38" t="n">
        <v>45909</v>
      </c>
      <c r="B3033" s="39" t="n">
        <v>1127.5</v>
      </c>
      <c r="C3033" s="40" t="n">
        <v>735229614.35</v>
      </c>
      <c r="D3033" s="40" t="n">
        <f aca="false">MAX(D3032,C3033)</f>
        <v>920750178.28</v>
      </c>
      <c r="E3033" s="41" t="n">
        <f aca="false">C3033/D3033-1</f>
        <v>-0.201488490913529</v>
      </c>
      <c r="F3033" s="42" t="n">
        <f aca="false">YEAR(A3033)</f>
        <v>2025</v>
      </c>
    </row>
    <row r="3034" customFormat="false" ht="15" hidden="false" customHeight="false" outlineLevel="0" collapsed="false">
      <c r="A3034" s="38" t="n">
        <v>45910</v>
      </c>
      <c r="B3034" s="39" t="n">
        <v>1121</v>
      </c>
      <c r="C3034" s="40" t="n">
        <v>735229614.35</v>
      </c>
      <c r="D3034" s="40" t="n">
        <f aca="false">MAX(D3033,C3034)</f>
        <v>920750178.28</v>
      </c>
      <c r="E3034" s="41" t="n">
        <f aca="false">C3034/D3034-1</f>
        <v>-0.201488490913529</v>
      </c>
      <c r="F3034" s="42" t="n">
        <f aca="false">YEAR(A3034)</f>
        <v>2025</v>
      </c>
    </row>
    <row r="3035" customFormat="false" ht="15" hidden="false" customHeight="false" outlineLevel="0" collapsed="false">
      <c r="A3035" s="38" t="n">
        <v>45911</v>
      </c>
      <c r="B3035" s="39" t="n">
        <v>1147.5</v>
      </c>
      <c r="C3035" s="40" t="n">
        <v>735229614.35</v>
      </c>
      <c r="D3035" s="40" t="n">
        <f aca="false">MAX(D3034,C3035)</f>
        <v>920750178.28</v>
      </c>
      <c r="E3035" s="41" t="n">
        <f aca="false">C3035/D3035-1</f>
        <v>-0.201488490913529</v>
      </c>
      <c r="F3035" s="42" t="n">
        <f aca="false">YEAR(A3035)</f>
        <v>2025</v>
      </c>
    </row>
    <row r="3036" customFormat="false" ht="15" hidden="false" customHeight="false" outlineLevel="0" collapsed="false">
      <c r="A3036" s="38" t="n">
        <v>45912</v>
      </c>
      <c r="B3036" s="39" t="n">
        <v>1150.5</v>
      </c>
      <c r="C3036" s="40" t="n">
        <v>735229614.35</v>
      </c>
      <c r="D3036" s="40" t="n">
        <f aca="false">MAX(D3035,C3036)</f>
        <v>920750178.28</v>
      </c>
      <c r="E3036" s="41" t="n">
        <f aca="false">C3036/D3036-1</f>
        <v>-0.201488490913529</v>
      </c>
      <c r="F3036" s="42" t="n">
        <f aca="false">YEAR(A3036)</f>
        <v>2025</v>
      </c>
    </row>
    <row r="3037" customFormat="false" ht="15" hidden="false" customHeight="false" outlineLevel="0" collapsed="false">
      <c r="A3037" s="38" t="n">
        <v>45915</v>
      </c>
      <c r="B3037" s="39" t="n">
        <v>1196.5</v>
      </c>
      <c r="C3037" s="40" t="n">
        <v>735229614.35</v>
      </c>
      <c r="D3037" s="40" t="n">
        <f aca="false">MAX(D3036,C3037)</f>
        <v>920750178.28</v>
      </c>
      <c r="E3037" s="41" t="n">
        <f aca="false">C3037/D3037-1</f>
        <v>-0.201488490913529</v>
      </c>
      <c r="F3037" s="42" t="n">
        <f aca="false">YEAR(A3037)</f>
        <v>2025</v>
      </c>
    </row>
    <row r="3038" customFormat="false" ht="15" hidden="false" customHeight="false" outlineLevel="0" collapsed="false">
      <c r="A3038" s="38" t="n">
        <v>45916</v>
      </c>
      <c r="B3038" s="39" t="n">
        <v>1248.5</v>
      </c>
      <c r="C3038" s="40" t="n">
        <v>735229614.35</v>
      </c>
      <c r="D3038" s="40" t="n">
        <f aca="false">MAX(D3037,C3038)</f>
        <v>920750178.28</v>
      </c>
      <c r="E3038" s="41" t="n">
        <f aca="false">C3038/D3038-1</f>
        <v>-0.201488490913529</v>
      </c>
      <c r="F3038" s="42" t="n">
        <f aca="false">YEAR(A3038)</f>
        <v>2025</v>
      </c>
    </row>
    <row r="3039" customFormat="false" ht="15" hidden="false" customHeight="false" outlineLevel="0" collapsed="false">
      <c r="A3039" s="38" t="n">
        <v>45917</v>
      </c>
      <c r="B3039" s="39" t="n">
        <v>1240</v>
      </c>
      <c r="C3039" s="40" t="n">
        <v>735229614.35</v>
      </c>
      <c r="D3039" s="40" t="n">
        <f aca="false">MAX(D3038,C3039)</f>
        <v>920750178.28</v>
      </c>
      <c r="E3039" s="41" t="n">
        <f aca="false">C3039/D3039-1</f>
        <v>-0.201488490913529</v>
      </c>
      <c r="F3039" s="42" t="n">
        <f aca="false">YEAR(A3039)</f>
        <v>2025</v>
      </c>
    </row>
    <row r="3040" customFormat="false" ht="15" hidden="false" customHeight="false" outlineLevel="0" collapsed="false">
      <c r="A3040" s="38" t="n">
        <v>45918</v>
      </c>
      <c r="B3040" s="39" t="n">
        <v>1212.5</v>
      </c>
      <c r="C3040" s="40" t="n">
        <v>735229614.35</v>
      </c>
      <c r="D3040" s="40" t="n">
        <f aca="false">MAX(D3039,C3040)</f>
        <v>920750178.28</v>
      </c>
      <c r="E3040" s="41" t="n">
        <f aca="false">C3040/D3040-1</f>
        <v>-0.201488490913529</v>
      </c>
      <c r="F3040" s="42" t="n">
        <f aca="false">YEAR(A3040)</f>
        <v>2025</v>
      </c>
    </row>
    <row r="3041" customFormat="false" ht="15" hidden="false" customHeight="false" outlineLevel="0" collapsed="false">
      <c r="A3041" s="38" t="n">
        <v>45919</v>
      </c>
      <c r="B3041" s="39" t="n">
        <v>1244</v>
      </c>
      <c r="C3041" s="40" t="n">
        <v>735229614.35</v>
      </c>
      <c r="D3041" s="40" t="n">
        <f aca="false">MAX(D3040,C3041)</f>
        <v>920750178.28</v>
      </c>
      <c r="E3041" s="41" t="n">
        <f aca="false">C3041/D3041-1</f>
        <v>-0.201488490913529</v>
      </c>
      <c r="F3041" s="42" t="n">
        <f aca="false">YEAR(A3041)</f>
        <v>2025</v>
      </c>
    </row>
    <row r="3042" customFormat="false" ht="15" hidden="false" customHeight="false" outlineLevel="0" collapsed="false">
      <c r="A3042" s="38" t="n">
        <v>45922</v>
      </c>
      <c r="B3042" s="39" t="n">
        <v>1227.5</v>
      </c>
      <c r="C3042" s="40" t="n">
        <v>735229614.35</v>
      </c>
      <c r="D3042" s="40" t="n">
        <f aca="false">MAX(D3041,C3042)</f>
        <v>920750178.28</v>
      </c>
      <c r="E3042" s="41" t="n">
        <f aca="false">C3042/D3042-1</f>
        <v>-0.201488490913529</v>
      </c>
      <c r="F3042" s="42" t="n">
        <f aca="false">YEAR(A3042)</f>
        <v>2025</v>
      </c>
    </row>
    <row r="3043" customFormat="false" ht="15" hidden="false" customHeight="false" outlineLevel="0" collapsed="false">
      <c r="A3043" s="38" t="n">
        <v>45923</v>
      </c>
      <c r="B3043" s="39" t="n">
        <v>1229</v>
      </c>
      <c r="C3043" s="40" t="n">
        <v>735229614.35</v>
      </c>
      <c r="D3043" s="40" t="n">
        <f aca="false">MAX(D3042,C3043)</f>
        <v>920750178.28</v>
      </c>
      <c r="E3043" s="41" t="n">
        <f aca="false">C3043/D3043-1</f>
        <v>-0.201488490913529</v>
      </c>
      <c r="F3043" s="42" t="n">
        <f aca="false">YEAR(A3043)</f>
        <v>2025</v>
      </c>
    </row>
    <row r="3044" customFormat="false" ht="15" hidden="false" customHeight="false" outlineLevel="0" collapsed="false">
      <c r="A3044" s="38" t="n">
        <v>45924</v>
      </c>
      <c r="B3044" s="39" t="n">
        <v>1234</v>
      </c>
      <c r="C3044" s="40" t="n">
        <v>735229614.35</v>
      </c>
      <c r="D3044" s="40" t="n">
        <f aca="false">MAX(D3043,C3044)</f>
        <v>920750178.28</v>
      </c>
      <c r="E3044" s="41" t="n">
        <f aca="false">C3044/D3044-1</f>
        <v>-0.201488490913529</v>
      </c>
      <c r="F3044" s="42" t="n">
        <f aca="false">YEAR(A3044)</f>
        <v>2025</v>
      </c>
    </row>
    <row r="3045" customFormat="false" ht="15" hidden="false" customHeight="false" outlineLevel="0" collapsed="false">
      <c r="A3045" s="38" t="n">
        <v>45925</v>
      </c>
      <c r="B3045" s="39" t="n">
        <v>1245.5</v>
      </c>
      <c r="C3045" s="40" t="n">
        <v>735229614.35</v>
      </c>
      <c r="D3045" s="40" t="n">
        <f aca="false">MAX(D3044,C3045)</f>
        <v>920750178.28</v>
      </c>
      <c r="E3045" s="41" t="n">
        <f aca="false">C3045/D3045-1</f>
        <v>-0.201488490913529</v>
      </c>
      <c r="F3045" s="42" t="n">
        <f aca="false">YEAR(A3045)</f>
        <v>2025</v>
      </c>
    </row>
    <row r="3046" customFormat="false" ht="15" hidden="false" customHeight="false" outlineLevel="0" collapsed="false">
      <c r="A3046" s="38" t="n">
        <v>45926</v>
      </c>
      <c r="B3046" s="39" t="n">
        <v>1207</v>
      </c>
      <c r="C3046" s="40" t="n">
        <v>735229614.35</v>
      </c>
      <c r="D3046" s="40" t="n">
        <f aca="false">MAX(D3045,C3046)</f>
        <v>920750178.28</v>
      </c>
      <c r="E3046" s="41" t="n">
        <f aca="false">C3046/D3046-1</f>
        <v>-0.201488490913529</v>
      </c>
      <c r="F3046" s="42" t="n">
        <f aca="false">YEAR(A3046)</f>
        <v>2025</v>
      </c>
    </row>
    <row r="3047" customFormat="false" ht="15" hidden="false" customHeight="false" outlineLevel="0" collapsed="false">
      <c r="A3047" s="38" t="n">
        <v>45929</v>
      </c>
      <c r="B3047" s="39" t="n">
        <v>1165.5</v>
      </c>
      <c r="C3047" s="40" t="n">
        <v>735229614.35</v>
      </c>
      <c r="D3047" s="40" t="n">
        <f aca="false">MAX(D3046,C3047)</f>
        <v>920750178.28</v>
      </c>
      <c r="E3047" s="41" t="n">
        <f aca="false">C3047/D3047-1</f>
        <v>-0.201488490913529</v>
      </c>
      <c r="F3047" s="42" t="n">
        <f aca="false">YEAR(A3047)</f>
        <v>2025</v>
      </c>
    </row>
    <row r="3048" customFormat="false" ht="15" hidden="false" customHeight="false" outlineLevel="0" collapsed="false">
      <c r="A3048" s="38" t="n">
        <v>45930</v>
      </c>
      <c r="B3048" s="39" t="n">
        <v>1138</v>
      </c>
      <c r="C3048" s="40" t="n">
        <v>735229614.35</v>
      </c>
      <c r="D3048" s="40" t="n">
        <f aca="false">MAX(D3047,C3048)</f>
        <v>920750178.28</v>
      </c>
      <c r="E3048" s="41" t="n">
        <f aca="false">C3048/D3048-1</f>
        <v>-0.201488490913529</v>
      </c>
      <c r="F3048" s="42" t="n">
        <f aca="false">YEAR(A3048)</f>
        <v>2025</v>
      </c>
    </row>
    <row r="3049" customFormat="false" ht="15" hidden="false" customHeight="false" outlineLevel="0" collapsed="false">
      <c r="A3049" s="38" t="n">
        <v>45939</v>
      </c>
      <c r="B3049" s="39" t="n">
        <v>1179</v>
      </c>
      <c r="C3049" s="40" t="n">
        <v>735229614.35</v>
      </c>
      <c r="D3049" s="40" t="n">
        <f aca="false">MAX(D3048,C3049)</f>
        <v>920750178.28</v>
      </c>
      <c r="E3049" s="41" t="n">
        <f aca="false">C3049/D3049-1</f>
        <v>-0.201488490913529</v>
      </c>
      <c r="F3049" s="42" t="n">
        <f aca="false">YEAR(A3049)</f>
        <v>2025</v>
      </c>
    </row>
    <row r="3050" customFormat="false" ht="15" hidden="false" customHeight="false" outlineLevel="0" collapsed="false">
      <c r="A3050" s="38" t="n">
        <v>45940</v>
      </c>
      <c r="B3050" s="39" t="n">
        <v>1177</v>
      </c>
      <c r="C3050" s="40" t="n">
        <v>735229614.35</v>
      </c>
      <c r="D3050" s="40" t="n">
        <f aca="false">MAX(D3049,C3050)</f>
        <v>920750178.28</v>
      </c>
      <c r="E3050" s="41" t="n">
        <f aca="false">C3050/D3050-1</f>
        <v>-0.201488490913529</v>
      </c>
      <c r="F3050" s="42" t="n">
        <f aca="false">YEAR(A3050)</f>
        <v>2025</v>
      </c>
    </row>
    <row r="3051" customFormat="false" ht="15" hidden="false" customHeight="false" outlineLevel="0" collapsed="false">
      <c r="A3051" s="38" t="n">
        <v>45943</v>
      </c>
      <c r="B3051" s="39" t="n">
        <v>1162.5</v>
      </c>
      <c r="C3051" s="40" t="n">
        <v>735229614.35</v>
      </c>
      <c r="D3051" s="40" t="n">
        <f aca="false">MAX(D3050,C3051)</f>
        <v>920750178.28</v>
      </c>
      <c r="E3051" s="41" t="n">
        <f aca="false">C3051/D3051-1</f>
        <v>-0.201488490913529</v>
      </c>
      <c r="F3051" s="42" t="n">
        <f aca="false">YEAR(A3051)</f>
        <v>2025</v>
      </c>
    </row>
    <row r="3052" customFormat="false" ht="15" hidden="false" customHeight="false" outlineLevel="0" collapsed="false">
      <c r="A3052" s="38" t="n">
        <v>45944</v>
      </c>
      <c r="B3052" s="39" t="n">
        <v>1167.5</v>
      </c>
      <c r="C3052" s="40" t="n">
        <v>735229614.35</v>
      </c>
      <c r="D3052" s="40" t="n">
        <f aca="false">MAX(D3051,C3052)</f>
        <v>920750178.28</v>
      </c>
      <c r="E3052" s="41" t="n">
        <f aca="false">C3052/D3052-1</f>
        <v>-0.201488490913529</v>
      </c>
      <c r="F3052" s="42" t="n">
        <f aca="false">YEAR(A3052)</f>
        <v>2025</v>
      </c>
    </row>
    <row r="3053" customFormat="false" ht="15" hidden="false" customHeight="false" outlineLevel="0" collapsed="false">
      <c r="A3053" s="38" t="n">
        <v>45945</v>
      </c>
      <c r="B3053" s="39" t="n">
        <v>1165</v>
      </c>
      <c r="C3053" s="40" t="n">
        <v>735229614.35</v>
      </c>
      <c r="D3053" s="40" t="n">
        <f aca="false">MAX(D3052,C3053)</f>
        <v>920750178.28</v>
      </c>
      <c r="E3053" s="41" t="n">
        <f aca="false">C3053/D3053-1</f>
        <v>-0.201488490913529</v>
      </c>
      <c r="F3053" s="42" t="n">
        <f aca="false">YEAR(A3053)</f>
        <v>2025</v>
      </c>
    </row>
    <row r="3054" customFormat="false" ht="15" hidden="false" customHeight="false" outlineLevel="0" collapsed="false">
      <c r="A3054" s="38" t="n">
        <v>45946</v>
      </c>
      <c r="B3054" s="39" t="n">
        <v>1201.5</v>
      </c>
      <c r="C3054" s="40" t="n">
        <v>735229614.35</v>
      </c>
      <c r="D3054" s="40" t="n">
        <f aca="false">MAX(D3053,C3054)</f>
        <v>920750178.28</v>
      </c>
      <c r="E3054" s="41" t="n">
        <f aca="false">C3054/D3054-1</f>
        <v>-0.201488490913529</v>
      </c>
      <c r="F3054" s="42" t="n">
        <f aca="false">YEAR(A3054)</f>
        <v>2025</v>
      </c>
    </row>
    <row r="3055" customFormat="false" ht="15" hidden="false" customHeight="false" outlineLevel="0" collapsed="false">
      <c r="A3055" s="38" t="n">
        <v>45947</v>
      </c>
      <c r="B3055" s="39" t="n">
        <v>1194</v>
      </c>
      <c r="C3055" s="40" t="n">
        <v>735229614.35</v>
      </c>
      <c r="D3055" s="40" t="n">
        <f aca="false">MAX(D3054,C3055)</f>
        <v>920750178.28</v>
      </c>
      <c r="E3055" s="41" t="n">
        <f aca="false">C3055/D3055-1</f>
        <v>-0.201488490913529</v>
      </c>
      <c r="F3055" s="42" t="n">
        <f aca="false">YEAR(A3055)</f>
        <v>2025</v>
      </c>
    </row>
    <row r="3056" customFormat="false" ht="15" hidden="false" customHeight="false" outlineLevel="0" collapsed="false">
      <c r="A3056" s="38" t="n">
        <v>45950</v>
      </c>
      <c r="B3056" s="39" t="n">
        <v>1229</v>
      </c>
      <c r="C3056" s="40" t="n">
        <v>735229614.35</v>
      </c>
      <c r="D3056" s="40" t="n">
        <f aca="false">MAX(D3055,C3056)</f>
        <v>920750178.28</v>
      </c>
      <c r="E3056" s="41" t="n">
        <f aca="false">C3056/D3056-1</f>
        <v>-0.201488490913529</v>
      </c>
      <c r="F3056" s="42" t="n">
        <f aca="false">YEAR(A3056)</f>
        <v>2025</v>
      </c>
    </row>
    <row r="3057" customFormat="false" ht="15" hidden="false" customHeight="false" outlineLevel="0" collapsed="false">
      <c r="A3057" s="38" t="n">
        <v>45951</v>
      </c>
      <c r="B3057" s="39" t="n">
        <v>1191.5</v>
      </c>
      <c r="C3057" s="40" t="n">
        <v>735229614.35</v>
      </c>
      <c r="D3057" s="40" t="n">
        <f aca="false">MAX(D3056,C3057)</f>
        <v>920750178.28</v>
      </c>
      <c r="E3057" s="41" t="n">
        <f aca="false">C3057/D3057-1</f>
        <v>-0.201488490913529</v>
      </c>
      <c r="F3057" s="42" t="n">
        <f aca="false">YEAR(A3057)</f>
        <v>2025</v>
      </c>
    </row>
    <row r="3058" customFormat="false" ht="15" hidden="false" customHeight="false" outlineLevel="0" collapsed="false">
      <c r="A3058" s="38" t="n">
        <v>45952</v>
      </c>
      <c r="B3058" s="39" t="n">
        <v>1224.5</v>
      </c>
      <c r="C3058" s="40" t="n">
        <v>735229614.35</v>
      </c>
      <c r="D3058" s="40" t="n">
        <f aca="false">MAX(D3057,C3058)</f>
        <v>920750178.28</v>
      </c>
      <c r="E3058" s="41" t="n">
        <f aca="false">C3058/D3058-1</f>
        <v>-0.201488490913529</v>
      </c>
      <c r="F3058" s="42" t="n">
        <f aca="false">YEAR(A3058)</f>
        <v>2025</v>
      </c>
    </row>
    <row r="3059" customFormat="false" ht="15" hidden="false" customHeight="false" outlineLevel="0" collapsed="false">
      <c r="A3059" s="38" t="n">
        <v>45953</v>
      </c>
      <c r="B3059" s="39" t="n">
        <v>1271.5</v>
      </c>
      <c r="C3059" s="40" t="n">
        <v>735229614.35</v>
      </c>
      <c r="D3059" s="40" t="n">
        <f aca="false">MAX(D3058,C3059)</f>
        <v>920750178.28</v>
      </c>
      <c r="E3059" s="41" t="n">
        <f aca="false">C3059/D3059-1</f>
        <v>-0.201488490913529</v>
      </c>
      <c r="F3059" s="42" t="n">
        <f aca="false">YEAR(A3059)</f>
        <v>2025</v>
      </c>
    </row>
    <row r="3060" customFormat="false" ht="15" hidden="false" customHeight="false" outlineLevel="0" collapsed="false">
      <c r="A3060" s="38" t="n">
        <v>45954</v>
      </c>
      <c r="B3060" s="39" t="n">
        <v>1261</v>
      </c>
      <c r="C3060" s="40" t="n">
        <v>735229614.35</v>
      </c>
      <c r="D3060" s="40" t="n">
        <f aca="false">MAX(D3059,C3060)</f>
        <v>920750178.28</v>
      </c>
      <c r="E3060" s="41" t="n">
        <f aca="false">C3060/D3060-1</f>
        <v>-0.201488490913529</v>
      </c>
      <c r="F3060" s="42" t="n">
        <f aca="false">YEAR(A3060)</f>
        <v>2025</v>
      </c>
    </row>
    <row r="3061" customFormat="false" ht="15" hidden="false" customHeight="false" outlineLevel="0" collapsed="false">
      <c r="A3061" s="38" t="n">
        <v>45957</v>
      </c>
      <c r="B3061" s="39" t="n">
        <v>1276.5</v>
      </c>
      <c r="C3061" s="40" t="n">
        <v>735229614.35</v>
      </c>
      <c r="D3061" s="40" t="n">
        <f aca="false">MAX(D3060,C3061)</f>
        <v>920750178.28</v>
      </c>
      <c r="E3061" s="41" t="n">
        <f aca="false">C3061/D3061-1</f>
        <v>-0.201488490913529</v>
      </c>
      <c r="F3061" s="42" t="n">
        <f aca="false">YEAR(A3061)</f>
        <v>2025</v>
      </c>
    </row>
    <row r="3062" customFormat="false" ht="15" hidden="false" customHeight="false" outlineLevel="0" collapsed="false">
      <c r="A3062" s="38" t="n">
        <v>45958</v>
      </c>
      <c r="B3062" s="39" t="n">
        <v>1256</v>
      </c>
      <c r="C3062" s="40" t="n">
        <v>735229614.35</v>
      </c>
      <c r="D3062" s="40" t="n">
        <f aca="false">MAX(D3061,C3062)</f>
        <v>920750178.28</v>
      </c>
      <c r="E3062" s="41" t="n">
        <f aca="false">C3062/D3062-1</f>
        <v>-0.201488490913529</v>
      </c>
      <c r="F3062" s="42" t="n">
        <f aca="false">YEAR(A3062)</f>
        <v>2025</v>
      </c>
    </row>
    <row r="3063" customFormat="false" ht="15" hidden="false" customHeight="false" outlineLevel="0" collapsed="false">
      <c r="A3063" s="38" t="n">
        <v>45959</v>
      </c>
      <c r="B3063" s="39" t="n">
        <v>1318.5</v>
      </c>
      <c r="C3063" s="40" t="n">
        <v>735229614.35</v>
      </c>
      <c r="D3063" s="40" t="n">
        <f aca="false">MAX(D3062,C3063)</f>
        <v>920750178.28</v>
      </c>
      <c r="E3063" s="41" t="n">
        <f aca="false">C3063/D3063-1</f>
        <v>-0.201488490913529</v>
      </c>
      <c r="F3063" s="42" t="n">
        <f aca="false">YEAR(A3063)</f>
        <v>2025</v>
      </c>
    </row>
    <row r="3064" customFormat="false" ht="15" hidden="false" customHeight="false" outlineLevel="0" collapsed="false">
      <c r="A3064" s="38" t="n">
        <v>45960</v>
      </c>
      <c r="B3064" s="39" t="n">
        <v>1304</v>
      </c>
      <c r="C3064" s="40" t="n">
        <v>735229614.35</v>
      </c>
      <c r="D3064" s="40" t="n">
        <f aca="false">MAX(D3063,C3064)</f>
        <v>920750178.28</v>
      </c>
      <c r="E3064" s="41" t="n">
        <f aca="false">C3064/D3064-1</f>
        <v>-0.201488490913529</v>
      </c>
      <c r="F3064" s="42" t="n">
        <f aca="false">YEAR(A3064)</f>
        <v>2025</v>
      </c>
    </row>
    <row r="3065" customFormat="false" ht="15" hidden="false" customHeight="false" outlineLevel="0" collapsed="false">
      <c r="A3065" s="38" t="n">
        <v>45961</v>
      </c>
      <c r="B3065" s="39" t="n">
        <v>1302.5</v>
      </c>
      <c r="C3065" s="40" t="n">
        <v>735229614.35</v>
      </c>
      <c r="D3065" s="40" t="n">
        <f aca="false">MAX(D3064,C3065)</f>
        <v>920750178.28</v>
      </c>
      <c r="E3065" s="41" t="n">
        <f aca="false">C3065/D3065-1</f>
        <v>-0.201488490913529</v>
      </c>
      <c r="F3065" s="42" t="n">
        <f aca="false">YEAR(A3065)</f>
        <v>2025</v>
      </c>
    </row>
    <row r="3066" customFormat="false" ht="15" hidden="false" customHeight="false" outlineLevel="0" collapsed="false">
      <c r="A3066" s="38" t="n">
        <v>45964</v>
      </c>
      <c r="B3066" s="39" t="n">
        <v>1300</v>
      </c>
      <c r="C3066" s="40" t="n">
        <v>735229614.35</v>
      </c>
      <c r="D3066" s="40" t="n">
        <f aca="false">MAX(D3065,C3066)</f>
        <v>920750178.28</v>
      </c>
      <c r="E3066" s="41" t="n">
        <f aca="false">C3066/D3066-1</f>
        <v>-0.201488490913529</v>
      </c>
      <c r="F3066" s="42" t="n">
        <f aca="false">YEAR(A3066)</f>
        <v>2025</v>
      </c>
    </row>
    <row r="3067" customFormat="false" ht="15" hidden="false" customHeight="false" outlineLevel="0" collapsed="false">
      <c r="A3067" s="38" t="n">
        <v>45965</v>
      </c>
      <c r="B3067" s="39" t="n">
        <v>1268.5</v>
      </c>
      <c r="C3067" s="40" t="n">
        <v>735229614.35</v>
      </c>
      <c r="D3067" s="40" t="n">
        <f aca="false">MAX(D3066,C3067)</f>
        <v>920750178.28</v>
      </c>
      <c r="E3067" s="41" t="n">
        <f aca="false">C3067/D3067-1</f>
        <v>-0.201488490913529</v>
      </c>
      <c r="F3067" s="42" t="n">
        <f aca="false">YEAR(A3067)</f>
        <v>2025</v>
      </c>
    </row>
    <row r="3068" customFormat="false" ht="15" hidden="false" customHeight="false" outlineLevel="0" collapsed="false">
      <c r="A3068" s="38" t="n">
        <v>45966</v>
      </c>
      <c r="B3068" s="39" t="n">
        <v>1285.5</v>
      </c>
      <c r="C3068" s="40" t="n">
        <v>735229614.35</v>
      </c>
      <c r="D3068" s="40" t="n">
        <f aca="false">MAX(D3067,C3068)</f>
        <v>920750178.28</v>
      </c>
      <c r="E3068" s="41" t="n">
        <f aca="false">C3068/D3068-1</f>
        <v>-0.201488490913529</v>
      </c>
      <c r="F3068" s="42" t="n">
        <f aca="false">YEAR(A3068)</f>
        <v>2025</v>
      </c>
    </row>
    <row r="3069" customFormat="false" ht="15" hidden="false" customHeight="false" outlineLevel="0" collapsed="false">
      <c r="A3069" s="38" t="n">
        <v>45967</v>
      </c>
      <c r="B3069" s="39" t="n">
        <v>1305</v>
      </c>
      <c r="C3069" s="40" t="n">
        <v>735229614.35</v>
      </c>
      <c r="D3069" s="40" t="n">
        <f aca="false">MAX(D3068,C3069)</f>
        <v>920750178.28</v>
      </c>
      <c r="E3069" s="41" t="n">
        <f aca="false">C3069/D3069-1</f>
        <v>-0.201488490913529</v>
      </c>
      <c r="F3069" s="42" t="n">
        <f aca="false">YEAR(A3069)</f>
        <v>2025</v>
      </c>
    </row>
    <row r="3070" customFormat="false" ht="15" hidden="false" customHeight="false" outlineLevel="0" collapsed="false">
      <c r="A3070" s="38" t="n">
        <v>45968</v>
      </c>
      <c r="B3070" s="39" t="n">
        <v>1283.5</v>
      </c>
      <c r="C3070" s="40" t="n">
        <v>735229614.35</v>
      </c>
      <c r="D3070" s="40" t="n">
        <f aca="false">MAX(D3069,C3070)</f>
        <v>920750178.28</v>
      </c>
      <c r="E3070" s="41" t="n">
        <f aca="false">C3070/D3070-1</f>
        <v>-0.201488490913529</v>
      </c>
      <c r="F3070" s="42" t="n">
        <f aca="false">YEAR(A3070)</f>
        <v>2025</v>
      </c>
    </row>
    <row r="3071" customFormat="false" ht="15" hidden="false" customHeight="false" outlineLevel="0" collapsed="false">
      <c r="A3071" s="38" t="n">
        <v>45971</v>
      </c>
      <c r="B3071" s="39" t="n">
        <v>1277</v>
      </c>
      <c r="C3071" s="40" t="n">
        <v>735229614.35</v>
      </c>
      <c r="D3071" s="40" t="n">
        <f aca="false">MAX(D3070,C3071)</f>
        <v>920750178.28</v>
      </c>
      <c r="E3071" s="41" t="n">
        <f aca="false">C3071/D3071-1</f>
        <v>-0.201488490913529</v>
      </c>
      <c r="F3071" s="42" t="n">
        <f aca="false">YEAR(A3071)</f>
        <v>2025</v>
      </c>
    </row>
    <row r="3072" customFormat="false" ht="15" hidden="false" customHeight="false" outlineLevel="0" collapsed="false">
      <c r="A3072" s="38" t="n">
        <v>45972</v>
      </c>
      <c r="B3072" s="39" t="n">
        <v>1232</v>
      </c>
      <c r="C3072" s="40" t="n">
        <v>735229614.35</v>
      </c>
      <c r="D3072" s="40" t="n">
        <f aca="false">MAX(D3071,C3072)</f>
        <v>920750178.28</v>
      </c>
      <c r="E3072" s="41" t="n">
        <f aca="false">C3072/D3072-1</f>
        <v>-0.201488490913529</v>
      </c>
      <c r="F3072" s="42" t="n">
        <f aca="false">YEAR(A3072)</f>
        <v>2025</v>
      </c>
    </row>
    <row r="3073" customFormat="false" ht="15" hidden="false" customHeight="false" outlineLevel="0" collapsed="false">
      <c r="A3073" s="38" t="n">
        <v>45973</v>
      </c>
      <c r="B3073" s="39" t="n">
        <v>1239.5</v>
      </c>
      <c r="C3073" s="40" t="n">
        <v>735229614.35</v>
      </c>
      <c r="D3073" s="40" t="n">
        <f aca="false">MAX(D3072,C3073)</f>
        <v>920750178.28</v>
      </c>
      <c r="E3073" s="41" t="n">
        <f aca="false">C3073/D3073-1</f>
        <v>-0.201488490913529</v>
      </c>
      <c r="F3073" s="42" t="n">
        <f aca="false">YEAR(A3073)</f>
        <v>2025</v>
      </c>
    </row>
    <row r="3074" customFormat="false" ht="15" hidden="false" customHeight="false" outlineLevel="0" collapsed="false">
      <c r="A3074" s="38" t="n">
        <v>45974</v>
      </c>
      <c r="B3074" s="39" t="n">
        <v>1230.5</v>
      </c>
      <c r="C3074" s="40" t="n">
        <v>735229614.35</v>
      </c>
      <c r="D3074" s="40" t="n">
        <f aca="false">MAX(D3073,C3074)</f>
        <v>920750178.28</v>
      </c>
      <c r="E3074" s="41" t="n">
        <f aca="false">C3074/D3074-1</f>
        <v>-0.201488490913529</v>
      </c>
      <c r="F3074" s="42" t="n">
        <f aca="false">YEAR(A3074)</f>
        <v>2025</v>
      </c>
    </row>
    <row r="3075" customFormat="false" ht="15" hidden="false" customHeight="false" outlineLevel="0" collapsed="false">
      <c r="A3075" s="38" t="n">
        <v>45975</v>
      </c>
      <c r="B3075" s="39" t="n">
        <v>1212.5</v>
      </c>
      <c r="C3075" s="40" t="n">
        <v>735229614.35</v>
      </c>
      <c r="D3075" s="40" t="n">
        <f aca="false">MAX(D3074,C3075)</f>
        <v>920750178.28</v>
      </c>
      <c r="E3075" s="41" t="n">
        <f aca="false">C3075/D3075-1</f>
        <v>-0.201488490913529</v>
      </c>
      <c r="F3075" s="42" t="n">
        <f aca="false">YEAR(A3075)</f>
        <v>2025</v>
      </c>
    </row>
    <row r="3076" customFormat="false" ht="15" hidden="false" customHeight="false" outlineLevel="0" collapsed="false">
      <c r="A3076" s="38" t="n">
        <v>45978</v>
      </c>
      <c r="B3076" s="39" t="n">
        <v>1234.5</v>
      </c>
      <c r="C3076" s="40" t="n">
        <v>735229614.35</v>
      </c>
      <c r="D3076" s="40" t="n">
        <f aca="false">MAX(D3075,C3076)</f>
        <v>920750178.28</v>
      </c>
      <c r="E3076" s="41" t="n">
        <f aca="false">C3076/D3076-1</f>
        <v>-0.201488490913529</v>
      </c>
      <c r="F3076" s="42" t="n">
        <f aca="false">YEAR(A3076)</f>
        <v>2025</v>
      </c>
    </row>
    <row r="3077" customFormat="false" ht="15" hidden="false" customHeight="false" outlineLevel="0" collapsed="false">
      <c r="A3077" s="38" t="n">
        <v>45979</v>
      </c>
      <c r="B3077" s="39" t="n">
        <v>1186</v>
      </c>
      <c r="C3077" s="40" t="n">
        <v>735229614.35</v>
      </c>
      <c r="D3077" s="40" t="n">
        <f aca="false">MAX(D3076,C3077)</f>
        <v>920750178.28</v>
      </c>
      <c r="E3077" s="41" t="n">
        <f aca="false">C3077/D3077-1</f>
        <v>-0.201488490913529</v>
      </c>
      <c r="F3077" s="42" t="n">
        <f aca="false">YEAR(A3077)</f>
        <v>2025</v>
      </c>
    </row>
    <row r="3078" customFormat="false" ht="15" hidden="false" customHeight="false" outlineLevel="0" collapsed="false">
      <c r="A3078" s="38" t="n">
        <v>45980</v>
      </c>
      <c r="B3078" s="39" t="n">
        <v>1166.5</v>
      </c>
      <c r="C3078" s="40" t="n">
        <v>735229614.35</v>
      </c>
      <c r="D3078" s="40" t="n">
        <f aca="false">MAX(D3077,C3078)</f>
        <v>920750178.28</v>
      </c>
      <c r="E3078" s="41" t="n">
        <f aca="false">C3078/D3078-1</f>
        <v>-0.201488490913529</v>
      </c>
      <c r="F3078" s="42" t="n">
        <f aca="false">YEAR(A3078)</f>
        <v>2025</v>
      </c>
    </row>
    <row r="3079" customFormat="false" ht="15" hidden="false" customHeight="false" outlineLevel="0" collapsed="false">
      <c r="A3079" s="38" t="n">
        <v>45981</v>
      </c>
      <c r="B3079" s="39" t="n">
        <v>1140.5</v>
      </c>
      <c r="C3079" s="40" t="n">
        <v>735229614.35</v>
      </c>
      <c r="D3079" s="40" t="n">
        <f aca="false">MAX(D3078,C3079)</f>
        <v>920750178.28</v>
      </c>
      <c r="E3079" s="41" t="n">
        <f aca="false">C3079/D3079-1</f>
        <v>-0.201488490913529</v>
      </c>
      <c r="F3079" s="42" t="n">
        <f aca="false">YEAR(A3079)</f>
        <v>2025</v>
      </c>
    </row>
    <row r="3080" customFormat="false" ht="15" hidden="false" customHeight="false" outlineLevel="0" collapsed="false">
      <c r="A3080" s="38" t="n">
        <v>45982</v>
      </c>
      <c r="B3080" s="39" t="n">
        <v>1136</v>
      </c>
      <c r="C3080" s="40" t="n">
        <v>735229614.35</v>
      </c>
      <c r="D3080" s="40" t="n">
        <f aca="false">MAX(D3079,C3080)</f>
        <v>920750178.28</v>
      </c>
      <c r="E3080" s="41" t="n">
        <f aca="false">C3080/D3080-1</f>
        <v>-0.201488490913529</v>
      </c>
      <c r="F3080" s="42" t="n">
        <f aca="false">YEAR(A3080)</f>
        <v>2025</v>
      </c>
    </row>
    <row r="3081" customFormat="false" ht="15" hidden="false" customHeight="false" outlineLevel="0" collapsed="false">
      <c r="A3081" s="38" t="n">
        <v>45985</v>
      </c>
      <c r="B3081" s="39" t="n">
        <v>1129.5</v>
      </c>
      <c r="C3081" s="40" t="n">
        <v>735229614.35</v>
      </c>
      <c r="D3081" s="40" t="n">
        <f aca="false">MAX(D3080,C3081)</f>
        <v>920750178.28</v>
      </c>
      <c r="E3081" s="41" t="n">
        <f aca="false">C3081/D3081-1</f>
        <v>-0.201488490913529</v>
      </c>
      <c r="F3081" s="42" t="n">
        <f aca="false">YEAR(A3081)</f>
        <v>2025</v>
      </c>
    </row>
    <row r="3082" customFormat="false" ht="15" hidden="false" customHeight="false" outlineLevel="0" collapsed="false">
      <c r="A3082" s="38" t="n">
        <v>45986</v>
      </c>
      <c r="B3082" s="39" t="n">
        <v>1127</v>
      </c>
      <c r="C3082" s="40" t="n">
        <v>735229614.35</v>
      </c>
      <c r="D3082" s="40" t="n">
        <f aca="false">MAX(D3081,C3082)</f>
        <v>920750178.28</v>
      </c>
      <c r="E3082" s="41" t="n">
        <f aca="false">C3082/D3082-1</f>
        <v>-0.201488490913529</v>
      </c>
      <c r="F3082" s="42" t="n">
        <f aca="false">YEAR(A3082)</f>
        <v>2025</v>
      </c>
    </row>
    <row r="3083" customFormat="false" ht="15" hidden="false" customHeight="false" outlineLevel="0" collapsed="false">
      <c r="A3083" s="38" t="n">
        <v>45987</v>
      </c>
      <c r="B3083" s="39" t="n">
        <v>1125</v>
      </c>
      <c r="C3083" s="40" t="n">
        <v>735229614.35</v>
      </c>
      <c r="D3083" s="40" t="n">
        <f aca="false">MAX(D3082,C3083)</f>
        <v>920750178.28</v>
      </c>
      <c r="E3083" s="41" t="n">
        <f aca="false">C3083/D3083-1</f>
        <v>-0.201488490913529</v>
      </c>
      <c r="F3083" s="42" t="n">
        <f aca="false">YEAR(A3083)</f>
        <v>2025</v>
      </c>
    </row>
    <row r="3084" customFormat="false" ht="15" hidden="false" customHeight="false" outlineLevel="0" collapsed="false">
      <c r="A3084" s="38" t="n">
        <v>45988</v>
      </c>
      <c r="B3084" s="39" t="n">
        <v>1114</v>
      </c>
      <c r="C3084" s="40" t="n">
        <v>735229614.35</v>
      </c>
      <c r="D3084" s="40" t="n">
        <f aca="false">MAX(D3083,C3084)</f>
        <v>920750178.28</v>
      </c>
      <c r="E3084" s="41" t="n">
        <f aca="false">C3084/D3084-1</f>
        <v>-0.201488490913529</v>
      </c>
      <c r="F3084" s="42" t="n">
        <f aca="false">YEAR(A3084)</f>
        <v>2025</v>
      </c>
    </row>
    <row r="3085" customFormat="false" ht="15" hidden="false" customHeight="false" outlineLevel="0" collapsed="false">
      <c r="A3085" s="38" t="n">
        <v>45989</v>
      </c>
      <c r="B3085" s="39" t="n">
        <v>1107.5</v>
      </c>
      <c r="C3085" s="40" t="n">
        <v>735229614.35</v>
      </c>
      <c r="D3085" s="40" t="n">
        <f aca="false">MAX(D3084,C3085)</f>
        <v>920750178.28</v>
      </c>
      <c r="E3085" s="41" t="n">
        <f aca="false">C3085/D3085-1</f>
        <v>-0.201488490913529</v>
      </c>
      <c r="F3085" s="42" t="n">
        <f aca="false">YEAR(A3085)</f>
        <v>2025</v>
      </c>
    </row>
    <row r="3086" customFormat="false" ht="15" hidden="false" customHeight="false" outlineLevel="0" collapsed="false">
      <c r="A3086" s="38" t="n">
        <v>45992</v>
      </c>
      <c r="B3086" s="39" t="n">
        <v>1137</v>
      </c>
      <c r="C3086" s="40" t="n">
        <v>735229614.35</v>
      </c>
      <c r="D3086" s="40" t="n">
        <f aca="false">MAX(D3085,C3086)</f>
        <v>920750178.28</v>
      </c>
      <c r="E3086" s="41" t="n">
        <f aca="false">C3086/D3086-1</f>
        <v>-0.201488490913529</v>
      </c>
      <c r="F3086" s="42" t="n">
        <f aca="false">YEAR(A3086)</f>
        <v>2025</v>
      </c>
    </row>
    <row r="3087" customFormat="false" ht="15" hidden="false" customHeight="false" outlineLevel="0" collapsed="false">
      <c r="A3087" s="38" t="n">
        <v>45993</v>
      </c>
      <c r="B3087" s="39" t="n">
        <v>1139.5</v>
      </c>
      <c r="C3087" s="40" t="n">
        <v>735229614.35</v>
      </c>
      <c r="D3087" s="40" t="n">
        <f aca="false">MAX(D3086,C3087)</f>
        <v>920750178.28</v>
      </c>
      <c r="E3087" s="41" t="n">
        <f aca="false">C3087/D3087-1</f>
        <v>-0.201488490913529</v>
      </c>
      <c r="F3087" s="42" t="n">
        <f aca="false">YEAR(A3087)</f>
        <v>2025</v>
      </c>
    </row>
    <row r="3088" customFormat="false" ht="15" hidden="false" customHeight="false" outlineLevel="0" collapsed="false">
      <c r="A3088" s="38" t="n">
        <v>45994</v>
      </c>
      <c r="B3088" s="39" t="n">
        <v>1120</v>
      </c>
      <c r="C3088" s="40" t="n">
        <v>735229614.35</v>
      </c>
      <c r="D3088" s="40" t="n">
        <f aca="false">MAX(D3087,C3088)</f>
        <v>920750178.28</v>
      </c>
      <c r="E3088" s="41" t="n">
        <f aca="false">C3088/D3088-1</f>
        <v>-0.201488490913529</v>
      </c>
      <c r="F3088" s="42" t="n">
        <f aca="false">YEAR(A3088)</f>
        <v>2025</v>
      </c>
    </row>
    <row r="3089" customFormat="false" ht="15" hidden="false" customHeight="false" outlineLevel="0" collapsed="false">
      <c r="A3089" s="38" t="n">
        <v>45995</v>
      </c>
      <c r="B3089" s="39" t="n">
        <v>1144</v>
      </c>
      <c r="C3089" s="40" t="n">
        <v>735229614.35</v>
      </c>
      <c r="D3089" s="40" t="n">
        <f aca="false">MAX(D3088,C3089)</f>
        <v>920750178.28</v>
      </c>
      <c r="E3089" s="41" t="n">
        <f aca="false">C3089/D3089-1</f>
        <v>-0.201488490913529</v>
      </c>
      <c r="F3089" s="42" t="n">
        <f aca="false">YEAR(A3089)</f>
        <v>2025</v>
      </c>
    </row>
    <row r="3090" customFormat="false" ht="15" hidden="false" customHeight="false" outlineLevel="0" collapsed="false">
      <c r="A3090" s="38" t="n">
        <v>45996</v>
      </c>
      <c r="B3090" s="39" t="n">
        <v>1109</v>
      </c>
      <c r="C3090" s="40" t="n">
        <v>735229614.35</v>
      </c>
      <c r="D3090" s="40" t="n">
        <f aca="false">MAX(D3089,C3090)</f>
        <v>920750178.28</v>
      </c>
      <c r="E3090" s="41" t="n">
        <f aca="false">C3090/D3090-1</f>
        <v>-0.201488490913529</v>
      </c>
      <c r="F3090" s="42" t="n">
        <f aca="false">YEAR(A3090)</f>
        <v>2025</v>
      </c>
    </row>
    <row r="3091" customFormat="false" ht="15" hidden="false" customHeight="false" outlineLevel="0" collapsed="false">
      <c r="A3091" s="38" t="n">
        <v>45999</v>
      </c>
      <c r="B3091" s="39" t="n">
        <v>1063</v>
      </c>
      <c r="C3091" s="40" t="n">
        <v>735229614.35</v>
      </c>
      <c r="D3091" s="40" t="n">
        <f aca="false">MAX(D3090,C3091)</f>
        <v>920750178.28</v>
      </c>
      <c r="E3091" s="41" t="n">
        <f aca="false">C3091/D3091-1</f>
        <v>-0.201488490913529</v>
      </c>
      <c r="F3091" s="42" t="n">
        <f aca="false">YEAR(A3091)</f>
        <v>2025</v>
      </c>
    </row>
    <row r="3092" customFormat="false" ht="15" hidden="false" customHeight="false" outlineLevel="0" collapsed="false">
      <c r="A3092" s="38" t="n">
        <v>46000</v>
      </c>
      <c r="B3092" s="39" t="n">
        <v>1053</v>
      </c>
      <c r="C3092" s="40" t="n">
        <v>772281672.58</v>
      </c>
      <c r="D3092" s="40" t="n">
        <f aca="false">MAX(D3091,C3092)</f>
        <v>920750178.28</v>
      </c>
      <c r="E3092" s="41" t="n">
        <f aca="false">C3092/D3092-1</f>
        <v>-0.161247327670732</v>
      </c>
      <c r="F3092" s="42" t="n">
        <f aca="false">YEAR(A3092)</f>
        <v>2025</v>
      </c>
    </row>
    <row r="3093" customFormat="false" ht="15" hidden="false" customHeight="false" outlineLevel="0" collapsed="false">
      <c r="A3093" s="38" t="n">
        <v>46001</v>
      </c>
      <c r="B3093" s="39" t="n">
        <v>1040</v>
      </c>
      <c r="C3093" s="40" t="n">
        <v>809640552.58</v>
      </c>
      <c r="D3093" s="40" t="n">
        <f aca="false">MAX(D3092,C3093)</f>
        <v>920750178.28</v>
      </c>
      <c r="E3093" s="41" t="n">
        <f aca="false">C3093/D3093-1</f>
        <v>-0.120672934223654</v>
      </c>
      <c r="F3093" s="42" t="n">
        <f aca="false">YEAR(A3093)</f>
        <v>2025</v>
      </c>
    </row>
    <row r="3094" customFormat="false" ht="15" hidden="false" customHeight="false" outlineLevel="0" collapsed="false">
      <c r="A3094" s="38" t="n">
        <v>46002</v>
      </c>
      <c r="B3094" s="39" t="n">
        <v>1009</v>
      </c>
      <c r="C3094" s="40" t="n">
        <v>898727112.58</v>
      </c>
      <c r="D3094" s="40" t="n">
        <f aca="false">MAX(D3093,C3094)</f>
        <v>920750178.28</v>
      </c>
      <c r="E3094" s="41" t="n">
        <f aca="false">C3094/D3094-1</f>
        <v>-0.0239186113883138</v>
      </c>
      <c r="F3094" s="42" t="n">
        <f aca="false">YEAR(A3094)</f>
        <v>2025</v>
      </c>
    </row>
    <row r="3095" customFormat="false" ht="15" hidden="false" customHeight="false" outlineLevel="0" collapsed="false">
      <c r="A3095" s="38" t="n">
        <v>46003</v>
      </c>
      <c r="B3095" s="39" t="n">
        <v>999.5</v>
      </c>
      <c r="C3095" s="40" t="n">
        <v>926027832.58</v>
      </c>
      <c r="D3095" s="40" t="n">
        <f aca="false">MAX(D3094,C3095)</f>
        <v>926027832.58</v>
      </c>
      <c r="E3095" s="41" t="n">
        <f aca="false">C3095/D3095-1</f>
        <v>0</v>
      </c>
      <c r="F3095" s="42" t="n">
        <f aca="false">YEAR(A3095)</f>
        <v>2025</v>
      </c>
    </row>
    <row r="3096" customFormat="false" ht="15" hidden="false" customHeight="false" outlineLevel="0" collapsed="false">
      <c r="A3096" s="38" t="n">
        <v>46006</v>
      </c>
      <c r="B3096" s="39" t="n">
        <v>1040</v>
      </c>
      <c r="C3096" s="40" t="n">
        <v>809640552.58</v>
      </c>
      <c r="D3096" s="40" t="n">
        <f aca="false">MAX(D3095,C3096)</f>
        <v>926027832.58</v>
      </c>
      <c r="E3096" s="41" t="n">
        <f aca="false">C3096/D3096-1</f>
        <v>-0.125684429673927</v>
      </c>
      <c r="F3096" s="42" t="n">
        <f aca="false">YEAR(A3096)</f>
        <v>2025</v>
      </c>
    </row>
    <row r="3097" customFormat="false" ht="15" hidden="false" customHeight="false" outlineLevel="0" collapsed="false">
      <c r="A3097" s="38" t="n">
        <v>46007</v>
      </c>
      <c r="B3097" s="39" t="n">
        <v>1049.5</v>
      </c>
      <c r="C3097" s="40" t="n">
        <v>782339832.58</v>
      </c>
      <c r="D3097" s="40" t="n">
        <f aca="false">MAX(D3096,C3097)</f>
        <v>926027832.58</v>
      </c>
      <c r="E3097" s="41" t="n">
        <f aca="false">C3097/D3097-1</f>
        <v>-0.155165962560404</v>
      </c>
      <c r="F3097" s="42" t="n">
        <f aca="false">YEAR(A3097)</f>
        <v>2025</v>
      </c>
    </row>
    <row r="3098" customFormat="false" ht="15" hidden="false" customHeight="false" outlineLevel="0" collapsed="false">
      <c r="A3098" s="38" t="n">
        <v>46008</v>
      </c>
      <c r="B3098" s="39" t="n">
        <v>1045</v>
      </c>
      <c r="C3098" s="40" t="n">
        <v>795271752.58</v>
      </c>
      <c r="D3098" s="40" t="n">
        <f aca="false">MAX(D3097,C3098)</f>
        <v>926027832.58</v>
      </c>
      <c r="E3098" s="41" t="n">
        <f aca="false">C3098/D3098-1</f>
        <v>-0.141201025929967</v>
      </c>
      <c r="F3098" s="42" t="n">
        <f aca="false">YEAR(A3098)</f>
        <v>2025</v>
      </c>
    </row>
    <row r="3099" customFormat="false" ht="15" hidden="false" customHeight="false" outlineLevel="0" collapsed="false">
      <c r="A3099" s="38" t="n">
        <v>46009</v>
      </c>
      <c r="B3099" s="39" t="n">
        <v>1107.5</v>
      </c>
      <c r="C3099" s="40" t="n">
        <v>615661752.58</v>
      </c>
      <c r="D3099" s="40" t="n">
        <f aca="false">MAX(D3098,C3099)</f>
        <v>926027832.58</v>
      </c>
      <c r="E3099" s="41" t="n">
        <f aca="false">C3099/D3099-1</f>
        <v>-0.335158479130472</v>
      </c>
      <c r="F3099" s="42" t="n">
        <f aca="false">YEAR(A3099)</f>
        <v>2025</v>
      </c>
    </row>
    <row r="3100" customFormat="false" ht="15" hidden="false" customHeight="false" outlineLevel="0" collapsed="false">
      <c r="A3100" s="38" t="n">
        <v>46010</v>
      </c>
      <c r="B3100" s="39" t="n">
        <v>1090</v>
      </c>
      <c r="C3100" s="40" t="n">
        <v>665952552.58</v>
      </c>
      <c r="D3100" s="40" t="n">
        <f aca="false">MAX(D3099,C3100)</f>
        <v>926027832.58</v>
      </c>
      <c r="E3100" s="41" t="n">
        <f aca="false">C3100/D3100-1</f>
        <v>-0.280850392234331</v>
      </c>
      <c r="F3100" s="42" t="n">
        <f aca="false">YEAR(A3100)</f>
        <v>2025</v>
      </c>
    </row>
    <row r="3101" customFormat="false" ht="15" hidden="false" customHeight="false" outlineLevel="0" collapsed="false">
      <c r="A3101" s="38" t="n">
        <v>46013</v>
      </c>
      <c r="B3101" s="39" t="n">
        <v>1098</v>
      </c>
      <c r="C3101" s="40" t="n">
        <v>642962472.58</v>
      </c>
      <c r="D3101" s="40" t="n">
        <f aca="false">MAX(D3100,C3101)</f>
        <v>926027832.58</v>
      </c>
      <c r="E3101" s="41" t="n">
        <f aca="false">C3101/D3101-1</f>
        <v>-0.305676946243995</v>
      </c>
      <c r="F3101" s="42" t="n">
        <f aca="false">YEAR(A3101)</f>
        <v>2025</v>
      </c>
    </row>
    <row r="3102" customFormat="false" ht="15" hidden="false" customHeight="false" outlineLevel="0" collapsed="false">
      <c r="A3102" s="38" t="n">
        <v>46014</v>
      </c>
      <c r="B3102" s="39" t="n">
        <v>1114</v>
      </c>
      <c r="C3102" s="40" t="n">
        <v>596982312.58</v>
      </c>
      <c r="D3102" s="40" t="n">
        <f aca="false">MAX(D3101,C3102)</f>
        <v>926027832.58</v>
      </c>
      <c r="E3102" s="41" t="n">
        <f aca="false">C3102/D3102-1</f>
        <v>-0.355330054263324</v>
      </c>
      <c r="F3102" s="42" t="n">
        <f aca="false">YEAR(A3102)</f>
        <v>2025</v>
      </c>
    </row>
    <row r="3103" customFormat="false" ht="15" hidden="false" customHeight="false" outlineLevel="0" collapsed="false">
      <c r="A3103" s="38" t="n">
        <v>46015</v>
      </c>
      <c r="B3103" s="39" t="n">
        <v>1119.5</v>
      </c>
      <c r="C3103" s="40" t="n">
        <v>581176632.58</v>
      </c>
      <c r="D3103" s="40" t="n">
        <f aca="false">MAX(D3102,C3103)</f>
        <v>926027832.58</v>
      </c>
      <c r="E3103" s="41" t="n">
        <f aca="false">C3103/D3103-1</f>
        <v>-0.372398310144969</v>
      </c>
      <c r="F3103" s="42" t="n">
        <f aca="false">YEAR(A3103)</f>
        <v>2025</v>
      </c>
    </row>
    <row r="3104" customFormat="false" ht="15" hidden="false" customHeight="false" outlineLevel="0" collapsed="false">
      <c r="A3104" s="38" t="n">
        <v>46016</v>
      </c>
      <c r="B3104" s="39" t="n">
        <v>1113</v>
      </c>
      <c r="C3104" s="40" t="n">
        <v>599856072.58</v>
      </c>
      <c r="D3104" s="40" t="n">
        <f aca="false">MAX(D3103,C3104)</f>
        <v>926027832.58</v>
      </c>
      <c r="E3104" s="41" t="n">
        <f aca="false">C3104/D3104-1</f>
        <v>-0.352226735012116</v>
      </c>
      <c r="F3104" s="42" t="n">
        <f aca="false">YEAR(A3104)</f>
        <v>2025</v>
      </c>
    </row>
    <row r="3105" customFormat="false" ht="15" hidden="false" customHeight="false" outlineLevel="0" collapsed="false">
      <c r="A3105" s="38" t="n">
        <v>46017</v>
      </c>
      <c r="B3105" s="39" t="n">
        <v>1105</v>
      </c>
      <c r="C3105" s="40" t="n">
        <v>622846152.58</v>
      </c>
      <c r="D3105" s="40" t="n">
        <f aca="false">MAX(D3104,C3105)</f>
        <v>926027832.58</v>
      </c>
      <c r="E3105" s="41" t="n">
        <f aca="false">C3105/D3105-1</f>
        <v>-0.327400181002452</v>
      </c>
      <c r="F3105" s="42" t="n">
        <f aca="false">YEAR(A3105)</f>
        <v>2025</v>
      </c>
    </row>
    <row r="3106" customFormat="false" ht="15" hidden="false" customHeight="false" outlineLevel="0" collapsed="false">
      <c r="A3106" s="38" t="n">
        <v>46020</v>
      </c>
      <c r="B3106" s="39" t="n">
        <v>1080.5</v>
      </c>
      <c r="C3106" s="40" t="n">
        <v>693253272.58</v>
      </c>
      <c r="D3106" s="40" t="n">
        <f aca="false">MAX(D3105,C3106)</f>
        <v>926027832.58</v>
      </c>
      <c r="E3106" s="41" t="n">
        <f aca="false">C3106/D3106-1</f>
        <v>-0.251368859347854</v>
      </c>
      <c r="F3106" s="42" t="n">
        <f aca="false">YEAR(A3106)</f>
        <v>2025</v>
      </c>
    </row>
    <row r="3107" customFormat="false" ht="15" hidden="false" customHeight="false" outlineLevel="0" collapsed="false">
      <c r="A3107" s="38" t="n">
        <v>46021</v>
      </c>
      <c r="B3107" s="39" t="n">
        <v>1114</v>
      </c>
      <c r="C3107" s="40" t="n">
        <v>596982312.58</v>
      </c>
      <c r="D3107" s="40" t="n">
        <f aca="false">MAX(D3106,C3107)</f>
        <v>926027832.58</v>
      </c>
      <c r="E3107" s="41" t="n">
        <f aca="false">C3107/D3107-1</f>
        <v>-0.355330054263324</v>
      </c>
      <c r="F3107" s="42" t="n">
        <f aca="false">YEAR(A3107)</f>
        <v>2025</v>
      </c>
    </row>
    <row r="3108" customFormat="false" ht="15" hidden="false" customHeight="false" outlineLevel="0" collapsed="false">
      <c r="A3108" s="38" t="n">
        <v>46022</v>
      </c>
      <c r="B3108" s="39" t="n">
        <v>1112.5</v>
      </c>
      <c r="C3108" s="40" t="n">
        <v>601292952.58</v>
      </c>
      <c r="D3108" s="40" t="n">
        <f aca="false">MAX(D3107,C3108)</f>
        <v>926027832.58</v>
      </c>
      <c r="E3108" s="41" t="n">
        <f aca="false">C3108/D3108-1</f>
        <v>-0.350675075386512</v>
      </c>
      <c r="F3108" s="42" t="n">
        <f aca="false">YEAR(A3108)</f>
        <v>2025</v>
      </c>
    </row>
    <row r="3109" customFormat="false" ht="15" hidden="false" customHeight="false" outlineLevel="0" collapsed="false">
      <c r="A3109" s="38" t="n">
        <v>46027</v>
      </c>
      <c r="B3109" s="39" t="n">
        <v>1080</v>
      </c>
      <c r="C3109" s="40" t="n">
        <v>694690152.58</v>
      </c>
      <c r="D3109" s="40" t="n">
        <f aca="false">MAX(D3108,C3109)</f>
        <v>926027832.58</v>
      </c>
      <c r="E3109" s="41" t="n">
        <f aca="false">C3109/D3109-1</f>
        <v>-0.24981719972225</v>
      </c>
      <c r="F3109" s="42" t="n">
        <f aca="false">YEAR(A3109)</f>
        <v>2026</v>
      </c>
    </row>
    <row r="3110" customFormat="false" ht="15" hidden="false" customHeight="false" outlineLevel="0" collapsed="false">
      <c r="A3110" s="38" t="n">
        <v>46028</v>
      </c>
      <c r="B3110" s="39" t="n">
        <v>1096</v>
      </c>
      <c r="C3110" s="40" t="n">
        <v>648709992.58</v>
      </c>
      <c r="D3110" s="40" t="n">
        <f aca="false">MAX(D3109,C3110)</f>
        <v>926027832.58</v>
      </c>
      <c r="E3110" s="41" t="n">
        <f aca="false">C3110/D3110-1</f>
        <v>-0.299470307741579</v>
      </c>
      <c r="F3110" s="42" t="n">
        <f aca="false">YEAR(A3110)</f>
        <v>2026</v>
      </c>
    </row>
    <row r="3111" customFormat="false" ht="15" hidden="false" customHeight="false" outlineLevel="0" collapsed="false">
      <c r="A3111" s="38" t="n">
        <v>46029</v>
      </c>
      <c r="B3111" s="39" t="n">
        <v>1166</v>
      </c>
      <c r="C3111" s="40" t="n">
        <v>486832029.17</v>
      </c>
      <c r="D3111" s="40" t="n">
        <f aca="false">MAX(D3110,C3111)</f>
        <v>926027832.58</v>
      </c>
      <c r="E3111" s="41" t="n">
        <f aca="false">C3111/D3111-1</f>
        <v>-0.474279268892339</v>
      </c>
      <c r="F3111" s="42" t="n">
        <f aca="false">YEAR(A3111)</f>
        <v>2026</v>
      </c>
    </row>
    <row r="3112" customFormat="false" ht="15" hidden="false" customHeight="false" outlineLevel="0" collapsed="false">
      <c r="A3112" s="38" t="n">
        <v>46030</v>
      </c>
      <c r="B3112" s="39" t="n">
        <v>1191.5</v>
      </c>
      <c r="C3112" s="40" t="n">
        <v>489185714.82</v>
      </c>
      <c r="D3112" s="40" t="n">
        <f aca="false">MAX(D3111,C3112)</f>
        <v>926027832.58</v>
      </c>
      <c r="E3112" s="41" t="n">
        <f aca="false">C3112/D3112-1</f>
        <v>-0.471737568127858</v>
      </c>
      <c r="F3112" s="42" t="n">
        <f aca="false">YEAR(A3112)</f>
        <v>2026</v>
      </c>
    </row>
    <row r="3113" customFormat="false" ht="15" hidden="false" customHeight="false" outlineLevel="0" collapsed="false">
      <c r="A3113" s="38" t="n">
        <v>46031</v>
      </c>
      <c r="B3113" s="39" t="n">
        <v>1198</v>
      </c>
      <c r="C3113" s="40" t="n">
        <v>500265224.82</v>
      </c>
      <c r="D3113" s="40" t="n">
        <f aca="false">MAX(D3112,C3113)</f>
        <v>926027832.58</v>
      </c>
      <c r="E3113" s="41" t="n">
        <f aca="false">C3113/D3113-1</f>
        <v>-0.459773014136936</v>
      </c>
      <c r="F3113" s="42" t="n">
        <f aca="false">YEAR(A3113)</f>
        <v>2026</v>
      </c>
    </row>
    <row r="3114" customFormat="false" ht="15" hidden="false" customHeight="false" outlineLevel="0" collapsed="false">
      <c r="A3114" s="38" t="n">
        <v>46034</v>
      </c>
      <c r="B3114" s="39" t="n">
        <v>1240.5</v>
      </c>
      <c r="C3114" s="40" t="n">
        <v>572708174.82</v>
      </c>
      <c r="D3114" s="40" t="n">
        <f aca="false">MAX(D3113,C3114)</f>
        <v>926027832.58</v>
      </c>
      <c r="E3114" s="41" t="n">
        <f aca="false">C3114/D3114-1</f>
        <v>-0.381543238042445</v>
      </c>
      <c r="F3114" s="42" t="n">
        <f aca="false">YEAR(A3114)</f>
        <v>2026</v>
      </c>
    </row>
    <row r="3115" customFormat="false" ht="15" hidden="false" customHeight="false" outlineLevel="0" collapsed="false">
      <c r="A3115" s="38" t="n">
        <v>46035</v>
      </c>
      <c r="B3115" s="39" t="n">
        <v>1194</v>
      </c>
      <c r="C3115" s="40" t="n">
        <v>493447064.82</v>
      </c>
      <c r="D3115" s="40" t="n">
        <f aca="false">MAX(D3114,C3115)</f>
        <v>926027832.58</v>
      </c>
      <c r="E3115" s="41" t="n">
        <f aca="false">C3115/D3115-1</f>
        <v>-0.467135816592888</v>
      </c>
      <c r="F3115" s="42" t="n">
        <f aca="false">YEAR(A3115)</f>
        <v>2026</v>
      </c>
    </row>
    <row r="3116" customFormat="false" ht="15" hidden="false" customHeight="false" outlineLevel="0" collapsed="false">
      <c r="A3116" s="38" t="n">
        <v>46036</v>
      </c>
      <c r="B3116" s="39" t="n">
        <v>1200.5</v>
      </c>
      <c r="C3116" s="40" t="n">
        <v>504526574.82</v>
      </c>
      <c r="D3116" s="40" t="n">
        <f aca="false">MAX(D3115,C3116)</f>
        <v>926027832.58</v>
      </c>
      <c r="E3116" s="41" t="n">
        <f aca="false">C3116/D3116-1</f>
        <v>-0.455171262601965</v>
      </c>
      <c r="F3116" s="42" t="n">
        <f aca="false">YEAR(A3116)</f>
        <v>2026</v>
      </c>
    </row>
    <row r="3117" customFormat="false" ht="15" hidden="false" customHeight="false" outlineLevel="0" collapsed="false">
      <c r="A3117" s="38" t="n">
        <v>46037</v>
      </c>
      <c r="B3117" s="39" t="n">
        <v>1192</v>
      </c>
      <c r="C3117" s="40" t="n">
        <v>490037984.82</v>
      </c>
      <c r="D3117" s="40" t="n">
        <f aca="false">MAX(D3116,C3117)</f>
        <v>926027832.58</v>
      </c>
      <c r="E3117" s="41" t="n">
        <f aca="false">C3117/D3117-1</f>
        <v>-0.470817217820864</v>
      </c>
      <c r="F3117" s="42" t="n">
        <f aca="false">YEAR(A3117)</f>
        <v>2026</v>
      </c>
    </row>
    <row r="3118" customFormat="false" ht="15" hidden="false" customHeight="false" outlineLevel="0" collapsed="false">
      <c r="A3118" s="38" t="n">
        <v>46038</v>
      </c>
      <c r="B3118" s="39" t="n">
        <v>1176</v>
      </c>
      <c r="C3118" s="40" t="n">
        <v>462765344.82</v>
      </c>
      <c r="D3118" s="40" t="n">
        <f aca="false">MAX(D3117,C3118)</f>
        <v>926027832.58</v>
      </c>
      <c r="E3118" s="41" t="n">
        <f aca="false">C3118/D3118-1</f>
        <v>-0.500268427644672</v>
      </c>
      <c r="F3118" s="42" t="n">
        <f aca="false">YEAR(A3118)</f>
        <v>2026</v>
      </c>
    </row>
    <row r="3119" customFormat="false" ht="15" hidden="false" customHeight="false" outlineLevel="0" collapsed="false">
      <c r="A3119" s="38" t="n">
        <v>46041</v>
      </c>
      <c r="B3119" s="39" t="n">
        <v>1180</v>
      </c>
      <c r="C3119" s="40" t="n">
        <v>469583504.82</v>
      </c>
      <c r="D3119" s="40" t="n">
        <f aca="false">MAX(D3118,C3119)</f>
        <v>926027832.58</v>
      </c>
      <c r="E3119" s="41" t="n">
        <f aca="false">C3119/D3119-1</f>
        <v>-0.49290562518872</v>
      </c>
      <c r="F3119" s="42" t="n">
        <f aca="false">YEAR(A3119)</f>
        <v>2026</v>
      </c>
    </row>
    <row r="3120" customFormat="false" ht="15" hidden="false" customHeight="false" outlineLevel="0" collapsed="false">
      <c r="A3120" s="38" t="n">
        <v>46042</v>
      </c>
      <c r="B3120" s="39" t="n">
        <v>1130.5</v>
      </c>
      <c r="C3120" s="40" t="n">
        <v>385208774.82</v>
      </c>
      <c r="D3120" s="40" t="n">
        <f aca="false">MAX(D3119,C3120)</f>
        <v>926027832.58</v>
      </c>
      <c r="E3120" s="41" t="n">
        <f aca="false">C3120/D3120-1</f>
        <v>-0.584020305581127</v>
      </c>
      <c r="F3120" s="42" t="n">
        <f aca="false">YEAR(A3120)</f>
        <v>2026</v>
      </c>
    </row>
    <row r="3121" customFormat="false" ht="15" hidden="false" customHeight="false" outlineLevel="0" collapsed="false">
      <c r="A3121" s="38" t="n">
        <v>46043</v>
      </c>
      <c r="B3121" s="39" t="n">
        <v>1135.5</v>
      </c>
      <c r="C3121" s="40" t="n">
        <v>393731474.82</v>
      </c>
      <c r="D3121" s="40" t="n">
        <f aca="false">MAX(D3120,C3121)</f>
        <v>926027832.58</v>
      </c>
      <c r="E3121" s="41" t="n">
        <f aca="false">C3121/D3121-1</f>
        <v>-0.574816802511187</v>
      </c>
      <c r="F3121" s="42" t="n">
        <f aca="false">YEAR(A3121)</f>
        <v>2026</v>
      </c>
    </row>
    <row r="3122" customFormat="false" ht="15" hidden="false" customHeight="false" outlineLevel="0" collapsed="false">
      <c r="A3122" s="38" t="n">
        <v>46044</v>
      </c>
      <c r="B3122" s="39" t="n">
        <v>1137.5</v>
      </c>
      <c r="C3122" s="40" t="n">
        <v>397140554.82</v>
      </c>
      <c r="D3122" s="40" t="n">
        <f aca="false">MAX(D3121,C3122)</f>
        <v>926027832.58</v>
      </c>
      <c r="E3122" s="41" t="n">
        <f aca="false">C3122/D3122-1</f>
        <v>-0.571135401283211</v>
      </c>
      <c r="F3122" s="42" t="n">
        <f aca="false">YEAR(A3122)</f>
        <v>2026</v>
      </c>
    </row>
    <row r="3123" customFormat="false" ht="15" hidden="false" customHeight="false" outlineLevel="0" collapsed="false">
      <c r="A3123" s="38" t="n">
        <v>46045</v>
      </c>
      <c r="B3123" s="39" t="n">
        <v>1163.5</v>
      </c>
      <c r="C3123" s="40" t="n">
        <v>441458594.82</v>
      </c>
      <c r="D3123" s="40" t="n">
        <f aca="false">MAX(D3122,C3123)</f>
        <v>926027832.58</v>
      </c>
      <c r="E3123" s="41" t="n">
        <f aca="false">C3123/D3123-1</f>
        <v>-0.523277185319522</v>
      </c>
      <c r="F3123" s="42" t="n">
        <f aca="false">YEAR(A3123)</f>
        <v>2026</v>
      </c>
    </row>
    <row r="3124" customFormat="false" ht="15" hidden="false" customHeight="false" outlineLevel="0" collapsed="false">
      <c r="A3124" s="38" t="n">
        <v>46048</v>
      </c>
      <c r="B3124" s="39" t="n">
        <v>1166</v>
      </c>
      <c r="C3124" s="40" t="n">
        <v>445719944.82</v>
      </c>
      <c r="D3124" s="40" t="n">
        <f aca="false">MAX(D3123,C3124)</f>
        <v>926027832.58</v>
      </c>
      <c r="E3124" s="41" t="n">
        <f aca="false">C3124/D3124-1</f>
        <v>-0.518675433784552</v>
      </c>
      <c r="F3124" s="42" t="n">
        <f aca="false">YEAR(A3124)</f>
        <v>2026</v>
      </c>
    </row>
    <row r="3125" customFormat="false" ht="15" hidden="false" customHeight="false" outlineLevel="0" collapsed="false">
      <c r="A3125" s="38" t="n">
        <v>46049</v>
      </c>
      <c r="B3125" s="39" t="n">
        <v>1124</v>
      </c>
      <c r="C3125" s="40" t="n">
        <v>374129264.82</v>
      </c>
      <c r="D3125" s="40" t="n">
        <f aca="false">MAX(D3124,C3125)</f>
        <v>926027832.58</v>
      </c>
      <c r="E3125" s="41" t="n">
        <f aca="false">C3125/D3125-1</f>
        <v>-0.595984859572049</v>
      </c>
      <c r="F3125" s="42" t="n">
        <f aca="false">YEAR(A3125)</f>
        <v>2026</v>
      </c>
    </row>
    <row r="3126" customFormat="false" ht="15" hidden="false" customHeight="false" outlineLevel="0" collapsed="false">
      <c r="A3126" s="38" t="n">
        <v>46050</v>
      </c>
      <c r="B3126" s="39" t="n">
        <v>1142.5</v>
      </c>
      <c r="C3126" s="40" t="n">
        <v>405663254.82</v>
      </c>
      <c r="D3126" s="40" t="n">
        <f aca="false">MAX(D3125,C3126)</f>
        <v>926027832.58</v>
      </c>
      <c r="E3126" s="41" t="n">
        <f aca="false">C3126/D3126-1</f>
        <v>-0.56193189821327</v>
      </c>
      <c r="F3126" s="42" t="n">
        <f aca="false">YEAR(A3126)</f>
        <v>2026</v>
      </c>
    </row>
    <row r="3127" customFormat="false" ht="15" hidden="false" customHeight="false" outlineLevel="0" collapsed="false">
      <c r="A3127" s="38" t="n">
        <v>46051</v>
      </c>
      <c r="B3127" s="39" t="n">
        <v>1173</v>
      </c>
      <c r="C3127" s="40" t="n">
        <v>457651724.82</v>
      </c>
      <c r="D3127" s="40" t="n">
        <f aca="false">MAX(D3126,C3127)</f>
        <v>926027832.58</v>
      </c>
      <c r="E3127" s="41" t="n">
        <f aca="false">C3127/D3127-1</f>
        <v>-0.505790529486636</v>
      </c>
      <c r="F3127" s="42" t="n">
        <f aca="false">YEAR(A3127)</f>
        <v>2026</v>
      </c>
    </row>
    <row r="3128" customFormat="false" ht="15" hidden="false" customHeight="false" outlineLevel="0" collapsed="false">
      <c r="A3128" s="38" t="n">
        <v>46052</v>
      </c>
      <c r="B3128" s="39" t="n">
        <v>1164</v>
      </c>
      <c r="C3128" s="40" t="n">
        <v>442310864.82</v>
      </c>
      <c r="D3128" s="40" t="n">
        <f aca="false">MAX(D3127,C3128)</f>
        <v>926027832.58</v>
      </c>
      <c r="E3128" s="41" t="n">
        <f aca="false">C3128/D3128-1</f>
        <v>-0.522356835012528</v>
      </c>
      <c r="F3128" s="42" t="n">
        <f aca="false">YEAR(A3128)</f>
        <v>2026</v>
      </c>
    </row>
    <row r="3129" customFormat="false" ht="15" hidden="false" customHeight="false" outlineLevel="0" collapsed="false">
      <c r="A3129" s="38" t="n">
        <v>46055</v>
      </c>
      <c r="B3129" s="39" t="n">
        <v>1152</v>
      </c>
      <c r="C3129" s="40" t="n">
        <v>421856384.82</v>
      </c>
      <c r="D3129" s="40" t="n">
        <f aca="false">MAX(D3128,C3129)</f>
        <v>926027832.58</v>
      </c>
      <c r="E3129" s="41" t="n">
        <f aca="false">C3129/D3129-1</f>
        <v>-0.544445242380384</v>
      </c>
      <c r="F3129" s="42" t="n">
        <f aca="false">YEAR(A3129)</f>
        <v>2026</v>
      </c>
    </row>
    <row r="3130" customFormat="false" ht="15" hidden="false" customHeight="false" outlineLevel="0" collapsed="false">
      <c r="A3130" s="38" t="n">
        <v>46056</v>
      </c>
      <c r="B3130" s="39" t="n">
        <v>1176.5</v>
      </c>
      <c r="C3130" s="40" t="n">
        <v>463617614.82</v>
      </c>
      <c r="D3130" s="40" t="n">
        <f aca="false">MAX(D3129,C3130)</f>
        <v>926027832.58</v>
      </c>
      <c r="E3130" s="41" t="n">
        <f aca="false">C3130/D3130-1</f>
        <v>-0.499348077337678</v>
      </c>
      <c r="F3130" s="42" t="n">
        <f aca="false">YEAR(A3130)</f>
        <v>2026</v>
      </c>
    </row>
    <row r="3131" customFormat="false" ht="15" hidden="false" customHeight="false" outlineLevel="0" collapsed="false">
      <c r="A3131" s="38" t="n">
        <v>46057</v>
      </c>
      <c r="B3131" s="39" t="n">
        <v>1217</v>
      </c>
      <c r="C3131" s="40" t="n">
        <v>532651484.82</v>
      </c>
      <c r="D3131" s="40" t="n">
        <f aca="false">MAX(D3130,C3131)</f>
        <v>926027832.58</v>
      </c>
      <c r="E3131" s="41" t="n">
        <f aca="false">C3131/D3131-1</f>
        <v>-0.424799702471163</v>
      </c>
      <c r="F3131" s="42" t="n">
        <f aca="false">YEAR(A3131)</f>
        <v>2026</v>
      </c>
    </row>
    <row r="3132" customFormat="false" ht="15" hidden="false" customHeight="false" outlineLevel="0" collapsed="false">
      <c r="A3132" s="38" t="n">
        <v>46058</v>
      </c>
      <c r="B3132" s="39" t="n">
        <v>1181.5</v>
      </c>
      <c r="C3132" s="40" t="n">
        <v>472140314.82</v>
      </c>
      <c r="D3132" s="40" t="n">
        <f aca="false">MAX(D3131,C3132)</f>
        <v>926027832.58</v>
      </c>
      <c r="E3132" s="41" t="n">
        <f aca="false">C3132/D3132-1</f>
        <v>-0.490144574267738</v>
      </c>
      <c r="F3132" s="42" t="n">
        <f aca="false">YEAR(A3132)</f>
        <v>2026</v>
      </c>
    </row>
    <row r="3133" customFormat="false" ht="15" hidden="false" customHeight="false" outlineLevel="0" collapsed="false">
      <c r="A3133" s="38" t="n">
        <v>46059</v>
      </c>
      <c r="B3133" s="39" t="n">
        <v>1149.5</v>
      </c>
      <c r="C3133" s="40" t="n">
        <v>417595034.82</v>
      </c>
      <c r="D3133" s="40" t="n">
        <f aca="false">MAX(D3132,C3133)</f>
        <v>926027832.58</v>
      </c>
      <c r="E3133" s="41" t="n">
        <f aca="false">C3133/D3133-1</f>
        <v>-0.549046993915354</v>
      </c>
      <c r="F3133" s="42" t="n">
        <f aca="false">YEAR(A3133)</f>
        <v>2026</v>
      </c>
    </row>
    <row r="3134" customFormat="false" ht="15" hidden="false" customHeight="false" outlineLevel="0" collapsed="false">
      <c r="A3134" s="38" t="n">
        <v>46062</v>
      </c>
      <c r="B3134" s="39" t="n">
        <v>1157.5</v>
      </c>
      <c r="C3134" s="40" t="n">
        <v>431231354.82</v>
      </c>
      <c r="D3134" s="40" t="n">
        <f aca="false">MAX(D3133,C3134)</f>
        <v>926027832.58</v>
      </c>
      <c r="E3134" s="41" t="n">
        <f aca="false">C3134/D3134-1</f>
        <v>-0.53432138900345</v>
      </c>
      <c r="F3134" s="42" t="n">
        <f aca="false">YEAR(A3134)</f>
        <v>2026</v>
      </c>
    </row>
    <row r="3135" customFormat="false" ht="15" hidden="false" customHeight="false" outlineLevel="0" collapsed="false">
      <c r="A3135" s="38" t="n">
        <v>46063</v>
      </c>
      <c r="B3135" s="39" t="n">
        <v>1130</v>
      </c>
      <c r="C3135" s="40" t="n">
        <v>384356504.82</v>
      </c>
      <c r="D3135" s="40" t="n">
        <f aca="false">MAX(D3134,C3135)</f>
        <v>926027832.58</v>
      </c>
      <c r="E3135" s="41" t="n">
        <f aca="false">C3135/D3135-1</f>
        <v>-0.584940655888121</v>
      </c>
      <c r="F3135" s="42" t="n">
        <f aca="false">YEAR(A3135)</f>
        <v>2026</v>
      </c>
    </row>
    <row r="3136" customFormat="false" ht="15" hidden="false" customHeight="false" outlineLevel="0" collapsed="false">
      <c r="A3136" s="38" t="n">
        <v>46064</v>
      </c>
      <c r="B3136" s="39" t="n">
        <v>1135</v>
      </c>
      <c r="C3136" s="40" t="n">
        <v>392879204.82</v>
      </c>
      <c r="D3136" s="40" t="n">
        <f aca="false">MAX(D3135,C3136)</f>
        <v>926027832.58</v>
      </c>
      <c r="E3136" s="41" t="n">
        <f aca="false">C3136/D3136-1</f>
        <v>-0.575737152818181</v>
      </c>
      <c r="F3136" s="42" t="n">
        <f aca="false">YEAR(A3136)</f>
        <v>2026</v>
      </c>
    </row>
    <row r="3137" customFormat="false" ht="15" hidden="false" customHeight="false" outlineLevel="0" collapsed="false">
      <c r="A3137" s="38" t="n">
        <v>46065</v>
      </c>
      <c r="B3137" s="39" t="n">
        <v>1132.5</v>
      </c>
      <c r="C3137" s="40" t="n">
        <v>388617854.82</v>
      </c>
      <c r="D3137" s="40" t="n">
        <f aca="false">MAX(D3136,C3137)</f>
        <v>926027832.58</v>
      </c>
      <c r="E3137" s="41" t="n">
        <f aca="false">C3137/D3137-1</f>
        <v>-0.580338904353151</v>
      </c>
      <c r="F3137" s="42" t="n">
        <f aca="false">YEAR(A3137)</f>
        <v>2026</v>
      </c>
    </row>
    <row r="3138" customFormat="false" ht="15" hidden="false" customHeight="false" outlineLevel="0" collapsed="false">
      <c r="A3138" s="38" t="n">
        <v>46066</v>
      </c>
      <c r="B3138" s="39" t="n">
        <v>1134.5</v>
      </c>
      <c r="C3138" s="40" t="n">
        <v>392026934.82</v>
      </c>
      <c r="D3138" s="40" t="n">
        <f aca="false">MAX(D3137,C3138)</f>
        <v>926027832.58</v>
      </c>
      <c r="E3138" s="41" t="n">
        <f aca="false">C3138/D3138-1</f>
        <v>-0.576657503125175</v>
      </c>
      <c r="F3138" s="42" t="n">
        <f aca="false">YEAR(A3138)</f>
        <v>2026</v>
      </c>
    </row>
    <row r="3139" customFormat="false" ht="15" hidden="false" customHeight="false" outlineLevel="0" collapsed="false">
      <c r="A3139" s="38" t="n">
        <v>46077</v>
      </c>
      <c r="B3139" s="39" t="n">
        <v>1115.5</v>
      </c>
      <c r="C3139" s="40" t="n">
        <v>359640674.82</v>
      </c>
      <c r="D3139" s="40" t="n">
        <f aca="false">MAX(D3138,C3139)</f>
        <v>926027832.58</v>
      </c>
      <c r="E3139" s="41" t="n">
        <f aca="false">C3139/D3139-1</f>
        <v>-0.611630814790947</v>
      </c>
      <c r="F3139" s="42" t="n">
        <f aca="false">YEAR(A3139)</f>
        <v>2026</v>
      </c>
    </row>
    <row r="3140" customFormat="false" ht="15" hidden="false" customHeight="false" outlineLevel="0" collapsed="false">
      <c r="A3140" s="38" t="n">
        <v>46078</v>
      </c>
      <c r="B3140" s="39" t="n">
        <v>1140</v>
      </c>
      <c r="C3140" s="40" t="n">
        <v>401401904.82</v>
      </c>
      <c r="D3140" s="40" t="n">
        <f aca="false">MAX(D3139,C3140)</f>
        <v>926027832.58</v>
      </c>
      <c r="E3140" s="41" t="n">
        <f aca="false">C3140/D3140-1</f>
        <v>-0.566533649748241</v>
      </c>
      <c r="F3140" s="42" t="n">
        <f aca="false">YEAR(A3140)</f>
        <v>2026</v>
      </c>
    </row>
    <row r="3141" customFormat="false" ht="15" hidden="false" customHeight="false" outlineLevel="0" collapsed="false">
      <c r="A3141" s="38" t="n">
        <v>46079</v>
      </c>
      <c r="B3141" s="39" t="n">
        <v>1105.5</v>
      </c>
      <c r="C3141" s="40" t="n">
        <v>342595274.82</v>
      </c>
      <c r="D3141" s="40" t="n">
        <f aca="false">MAX(D3140,C3141)</f>
        <v>926027832.58</v>
      </c>
      <c r="E3141" s="41" t="n">
        <f aca="false">C3141/D3141-1</f>
        <v>-0.630037820930827</v>
      </c>
      <c r="F3141" s="42" t="n">
        <f aca="false">YEAR(A3141)</f>
        <v>2026</v>
      </c>
    </row>
    <row r="3142" customFormat="false" ht="15" hidden="false" customHeight="false" outlineLevel="0" collapsed="false">
      <c r="A3142" s="38" t="n">
        <v>46080</v>
      </c>
      <c r="B3142" s="39" t="n">
        <v>1111</v>
      </c>
      <c r="C3142" s="40" t="n">
        <v>351970244.82</v>
      </c>
      <c r="D3142" s="40" t="n">
        <f aca="false">MAX(D3141,C3142)</f>
        <v>926027832.58</v>
      </c>
      <c r="E3142" s="41" t="n">
        <f aca="false">C3142/D3142-1</f>
        <v>-0.619913967553893</v>
      </c>
      <c r="F3142" s="42" t="n">
        <f aca="false">YEAR(A3142)</f>
        <v>2026</v>
      </c>
    </row>
    <row r="3143" customFormat="false" ht="15" hidden="false" customHeight="false" outlineLevel="0" collapsed="false">
      <c r="A3143" s="38" t="n">
        <v>46083</v>
      </c>
      <c r="B3143" s="39" t="n">
        <v>1113.5</v>
      </c>
      <c r="C3143" s="40" t="n">
        <v>307071320.92</v>
      </c>
      <c r="D3143" s="40" t="n">
        <f aca="false">MAX(D3142,C3143)</f>
        <v>926027832.58</v>
      </c>
      <c r="E3143" s="41" t="n">
        <f aca="false">C3143/D3143-1</f>
        <v>-0.668399469091042</v>
      </c>
      <c r="F3143" s="42" t="n">
        <f aca="false">YEAR(A3143)</f>
        <v>2026</v>
      </c>
    </row>
    <row r="3144" customFormat="false" ht="15" hidden="false" customHeight="false" outlineLevel="0" collapsed="false">
      <c r="A3144" s="38" t="n">
        <v>46084</v>
      </c>
      <c r="B3144" s="39" t="n">
        <v>1147.5</v>
      </c>
      <c r="C3144" s="40" t="n">
        <v>307071320.92</v>
      </c>
      <c r="D3144" s="40" t="n">
        <f aca="false">MAX(D3143,C3144)</f>
        <v>926027832.58</v>
      </c>
      <c r="E3144" s="41" t="n">
        <f aca="false">C3144/D3144-1</f>
        <v>-0.668399469091042</v>
      </c>
      <c r="F3144" s="42" t="n">
        <f aca="false">YEAR(A3144)</f>
        <v>2026</v>
      </c>
    </row>
    <row r="3145" customFormat="false" ht="15" hidden="false" customHeight="false" outlineLevel="0" collapsed="false">
      <c r="A3145" s="38" t="n">
        <v>46085</v>
      </c>
      <c r="B3145" s="39" t="n">
        <v>1120</v>
      </c>
      <c r="C3145" s="40" t="n">
        <v>307071320.92</v>
      </c>
      <c r="D3145" s="40" t="n">
        <f aca="false">MAX(D3144,C3145)</f>
        <v>926027832.58</v>
      </c>
      <c r="E3145" s="41" t="n">
        <f aca="false">C3145/D3145-1</f>
        <v>-0.668399469091042</v>
      </c>
      <c r="F3145" s="42" t="n">
        <f aca="false">YEAR(A3145)</f>
        <v>2026</v>
      </c>
    </row>
    <row r="3146" customFormat="false" ht="15" hidden="false" customHeight="false" outlineLevel="0" collapsed="false">
      <c r="A3146" s="38" t="n">
        <v>46086</v>
      </c>
      <c r="B3146" s="39" t="n">
        <v>1127</v>
      </c>
      <c r="C3146" s="40" t="n">
        <v>307071320.92</v>
      </c>
      <c r="D3146" s="40" t="n">
        <f aca="false">MAX(D3145,C3146)</f>
        <v>926027832.58</v>
      </c>
      <c r="E3146" s="41" t="n">
        <f aca="false">C3146/D3146-1</f>
        <v>-0.668399469091042</v>
      </c>
      <c r="F3146" s="42" t="n">
        <f aca="false">YEAR(A3146)</f>
        <v>2026</v>
      </c>
    </row>
    <row r="3147" customFormat="false" ht="15" hidden="false" customHeight="false" outlineLevel="0" collapsed="false">
      <c r="A3147" s="38" t="n">
        <v>46087</v>
      </c>
      <c r="B3147" s="39" t="n">
        <v>1145</v>
      </c>
      <c r="C3147" s="40" t="n">
        <v>307071320.92</v>
      </c>
      <c r="D3147" s="40" t="n">
        <f aca="false">MAX(D3146,C3147)</f>
        <v>926027832.58</v>
      </c>
      <c r="E3147" s="41" t="n">
        <f aca="false">C3147/D3147-1</f>
        <v>-0.668399469091042</v>
      </c>
      <c r="F3147" s="42" t="n">
        <f aca="false">YEAR(A3147)</f>
        <v>2026</v>
      </c>
    </row>
    <row r="3148" customFormat="false" ht="15" hidden="false" customHeight="false" outlineLevel="0" collapsed="false">
      <c r="A3148" s="38" t="n">
        <v>46090</v>
      </c>
      <c r="B3148" s="39" t="n">
        <v>1190.5</v>
      </c>
      <c r="C3148" s="40" t="n">
        <v>307071320.92</v>
      </c>
      <c r="D3148" s="40" t="n">
        <f aca="false">MAX(D3147,C3148)</f>
        <v>926027832.58</v>
      </c>
      <c r="E3148" s="41" t="n">
        <f aca="false">C3148/D3148-1</f>
        <v>-0.668399469091042</v>
      </c>
      <c r="F3148" s="42" t="n">
        <f aca="false">YEAR(A3148)</f>
        <v>2026</v>
      </c>
    </row>
    <row r="3149" customFormat="false" ht="15" hidden="false" customHeight="false" outlineLevel="0" collapsed="false">
      <c r="A3149" s="38" t="n">
        <v>46091</v>
      </c>
      <c r="B3149" s="39" t="n">
        <v>1147</v>
      </c>
      <c r="C3149" s="40" t="n">
        <v>307071320.92</v>
      </c>
      <c r="D3149" s="40" t="n">
        <f aca="false">MAX(D3148,C3149)</f>
        <v>926027832.58</v>
      </c>
      <c r="E3149" s="41" t="n">
        <f aca="false">C3149/D3149-1</f>
        <v>-0.668399469091042</v>
      </c>
      <c r="F3149" s="42" t="n">
        <f aca="false">YEAR(A3149)</f>
        <v>2026</v>
      </c>
    </row>
    <row r="3150" customFormat="false" ht="15" hidden="false" customHeight="false" outlineLevel="0" collapsed="false">
      <c r="A3150" s="38" t="n">
        <v>46092</v>
      </c>
      <c r="B3150" s="39" t="n">
        <v>1172.5</v>
      </c>
      <c r="C3150" s="40" t="n">
        <v>307071320.92</v>
      </c>
      <c r="D3150" s="40" t="n">
        <f aca="false">MAX(D3149,C3150)</f>
        <v>926027832.58</v>
      </c>
      <c r="E3150" s="41" t="n">
        <f aca="false">C3150/D3150-1</f>
        <v>-0.668399469091042</v>
      </c>
      <c r="F3150" s="42" t="n">
        <f aca="false">YEAR(A3150)</f>
        <v>2026</v>
      </c>
    </row>
    <row r="3151" customFormat="false" ht="15" hidden="false" customHeight="false" outlineLevel="0" collapsed="false">
      <c r="A3151" s="38" t="n">
        <v>46093</v>
      </c>
      <c r="B3151" s="39" t="n">
        <v>1182</v>
      </c>
      <c r="C3151" s="40" t="n">
        <v>307071320.92</v>
      </c>
      <c r="D3151" s="40" t="n">
        <f aca="false">MAX(D3150,C3151)</f>
        <v>926027832.58</v>
      </c>
      <c r="E3151" s="41" t="n">
        <f aca="false">C3151/D3151-1</f>
        <v>-0.668399469091042</v>
      </c>
      <c r="F3151" s="42" t="n">
        <f aca="false">YEAR(A3151)</f>
        <v>2026</v>
      </c>
    </row>
    <row r="3152" customFormat="false" ht="15" hidden="false" customHeight="false" outlineLevel="0" collapsed="false">
      <c r="A3152" s="38" t="n">
        <v>46094</v>
      </c>
      <c r="B3152" s="39" t="n">
        <v>1206</v>
      </c>
      <c r="C3152" s="40" t="n">
        <v>307071320.92</v>
      </c>
      <c r="D3152" s="40" t="n">
        <f aca="false">MAX(D3151,C3152)</f>
        <v>926027832.58</v>
      </c>
      <c r="E3152" s="41" t="n">
        <f aca="false">C3152/D3152-1</f>
        <v>-0.668399469091042</v>
      </c>
      <c r="F3152" s="42" t="n">
        <f aca="false">YEAR(A3152)</f>
        <v>2026</v>
      </c>
    </row>
    <row r="3153" customFormat="false" ht="15" hidden="false" customHeight="false" outlineLevel="0" collapsed="false">
      <c r="A3153" s="38" t="n">
        <v>46097</v>
      </c>
      <c r="B3153" s="39" t="n">
        <v>1209.5</v>
      </c>
      <c r="C3153" s="40" t="n">
        <v>307071320.92</v>
      </c>
      <c r="D3153" s="40" t="n">
        <f aca="false">MAX(D3152,C3153)</f>
        <v>926027832.58</v>
      </c>
      <c r="E3153" s="41" t="n">
        <f aca="false">C3153/D3153-1</f>
        <v>-0.668399469091042</v>
      </c>
      <c r="F3153" s="42" t="n">
        <f aca="false">YEAR(A3153)</f>
        <v>2026</v>
      </c>
    </row>
    <row r="3154" customFormat="false" ht="15" hidden="false" customHeight="false" outlineLevel="0" collapsed="false">
      <c r="A3154" s="38" t="n">
        <v>46098</v>
      </c>
      <c r="B3154" s="39" t="n">
        <v>1206.5</v>
      </c>
      <c r="C3154" s="40" t="n">
        <v>307071320.92</v>
      </c>
      <c r="D3154" s="40" t="n">
        <f aca="false">MAX(D3153,C3154)</f>
        <v>926027832.58</v>
      </c>
      <c r="E3154" s="41" t="n">
        <f aca="false">C3154/D3154-1</f>
        <v>-0.668399469091042</v>
      </c>
      <c r="F3154" s="42" t="n">
        <f aca="false">YEAR(A3154)</f>
        <v>2026</v>
      </c>
    </row>
    <row r="3155" customFormat="false" ht="15" hidden="false" customHeight="false" outlineLevel="0" collapsed="false">
      <c r="A3155" s="38" t="n">
        <v>46099</v>
      </c>
      <c r="B3155" s="39" t="n">
        <v>1189</v>
      </c>
      <c r="C3155" s="40" t="n">
        <v>307071320.92</v>
      </c>
      <c r="D3155" s="40" t="n">
        <f aca="false">MAX(D3154,C3155)</f>
        <v>926027832.58</v>
      </c>
      <c r="E3155" s="41" t="n">
        <f aca="false">C3155/D3155-1</f>
        <v>-0.668399469091042</v>
      </c>
      <c r="F3155" s="42" t="n">
        <f aca="false">YEAR(A3155)</f>
        <v>2026</v>
      </c>
    </row>
    <row r="3156" customFormat="false" ht="15" hidden="false" customHeight="false" outlineLevel="0" collapsed="false">
      <c r="A3156" s="38" t="n">
        <v>46100</v>
      </c>
      <c r="B3156" s="39" t="n">
        <v>1196</v>
      </c>
      <c r="C3156" s="40" t="n">
        <v>307071320.92</v>
      </c>
      <c r="D3156" s="40" t="n">
        <f aca="false">MAX(D3155,C3156)</f>
        <v>926027832.58</v>
      </c>
      <c r="E3156" s="41" t="n">
        <f aca="false">C3156/D3156-1</f>
        <v>-0.668399469091042</v>
      </c>
      <c r="F3156" s="42" t="n">
        <f aca="false">YEAR(A3156)</f>
        <v>2026</v>
      </c>
    </row>
    <row r="3157" customFormat="false" ht="15" hidden="false" customHeight="false" outlineLevel="0" collapsed="false">
      <c r="A3157" s="38" t="n">
        <v>46101</v>
      </c>
      <c r="B3157" s="39" t="n">
        <v>1210.5</v>
      </c>
      <c r="C3157" s="40" t="n">
        <v>307071320.92</v>
      </c>
      <c r="D3157" s="40" t="n">
        <f aca="false">MAX(D3156,C3157)</f>
        <v>926027832.58</v>
      </c>
      <c r="E3157" s="41" t="n">
        <f aca="false">C3157/D3157-1</f>
        <v>-0.668399469091042</v>
      </c>
      <c r="F3157" s="42" t="n">
        <f aca="false">YEAR(A3157)</f>
        <v>2026</v>
      </c>
    </row>
    <row r="3158" customFormat="false" ht="15" hidden="false" customHeight="false" outlineLevel="0" collapsed="false">
      <c r="A3158" s="38" t="n">
        <v>46104</v>
      </c>
      <c r="B3158" s="39" t="n">
        <v>1323.5</v>
      </c>
      <c r="C3158" s="40" t="n">
        <v>307071320.92</v>
      </c>
      <c r="D3158" s="40" t="n">
        <f aca="false">MAX(D3157,C3158)</f>
        <v>926027832.58</v>
      </c>
      <c r="E3158" s="41" t="n">
        <f aca="false">C3158/D3158-1</f>
        <v>-0.668399469091042</v>
      </c>
      <c r="F3158" s="42" t="n">
        <f aca="false">YEAR(A3158)</f>
        <v>2026</v>
      </c>
    </row>
    <row r="3159" customFormat="false" ht="15" hidden="false" customHeight="false" outlineLevel="0" collapsed="false">
      <c r="A3159" s="38" t="n">
        <v>46105</v>
      </c>
      <c r="B3159" s="39" t="n">
        <v>1297</v>
      </c>
      <c r="C3159" s="40" t="n">
        <v>307071320.92</v>
      </c>
      <c r="D3159" s="40" t="n">
        <f aca="false">MAX(D3158,C3159)</f>
        <v>926027832.58</v>
      </c>
      <c r="E3159" s="41" t="n">
        <f aca="false">C3159/D3159-1</f>
        <v>-0.668399469091042</v>
      </c>
      <c r="F3159" s="42" t="n">
        <f aca="false">YEAR(A3159)</f>
        <v>2026</v>
      </c>
    </row>
    <row r="3160" customFormat="false" ht="15" hidden="false" customHeight="false" outlineLevel="0" collapsed="false">
      <c r="A3160" s="38" t="n">
        <v>46106</v>
      </c>
      <c r="B3160" s="39" t="n">
        <v>1296.5</v>
      </c>
      <c r="C3160" s="40" t="n">
        <v>307071320.92</v>
      </c>
      <c r="D3160" s="40" t="n">
        <f aca="false">MAX(D3159,C3160)</f>
        <v>926027832.58</v>
      </c>
      <c r="E3160" s="41" t="n">
        <f aca="false">C3160/D3160-1</f>
        <v>-0.668399469091042</v>
      </c>
      <c r="F3160" s="42" t="n">
        <f aca="false">YEAR(A3160)</f>
        <v>2026</v>
      </c>
    </row>
    <row r="3161" customFormat="false" ht="15" hidden="false" customHeight="false" outlineLevel="0" collapsed="false">
      <c r="A3161" s="38" t="n">
        <v>46107</v>
      </c>
      <c r="B3161" s="39" t="n">
        <v>1287.5</v>
      </c>
      <c r="C3161" s="40" t="n">
        <v>307071320.92</v>
      </c>
      <c r="D3161" s="40" t="n">
        <f aca="false">MAX(D3160,C3161)</f>
        <v>926027832.58</v>
      </c>
      <c r="E3161" s="41" t="n">
        <f aca="false">C3161/D3161-1</f>
        <v>-0.668399469091042</v>
      </c>
      <c r="F3161" s="42" t="n">
        <f aca="false">YEAR(A3161)</f>
        <v>2026</v>
      </c>
    </row>
    <row r="3162" customFormat="false" ht="15" hidden="false" customHeight="false" outlineLevel="0" collapsed="false">
      <c r="A3162" s="38" t="n">
        <v>46108</v>
      </c>
      <c r="B3162" s="39" t="n">
        <v>1274.5</v>
      </c>
      <c r="C3162" s="40" t="n">
        <v>307071320.92</v>
      </c>
      <c r="D3162" s="40" t="n">
        <f aca="false">MAX(D3161,C3162)</f>
        <v>926027832.58</v>
      </c>
      <c r="E3162" s="41" t="n">
        <f aca="false">C3162/D3162-1</f>
        <v>-0.668399469091042</v>
      </c>
      <c r="F3162" s="42" t="n">
        <f aca="false">YEAR(A3162)</f>
        <v>2026</v>
      </c>
    </row>
    <row r="3163" customFormat="false" ht="15" hidden="false" customHeight="false" outlineLevel="0" collapsed="false">
      <c r="A3163" s="38" t="n">
        <v>46111</v>
      </c>
      <c r="B3163" s="39" t="n">
        <v>1271.5</v>
      </c>
      <c r="C3163" s="40" t="n">
        <v>307071320.92</v>
      </c>
      <c r="D3163" s="40" t="n">
        <f aca="false">MAX(D3162,C3163)</f>
        <v>926027832.58</v>
      </c>
      <c r="E3163" s="41" t="n">
        <f aca="false">C3163/D3163-1</f>
        <v>-0.668399469091042</v>
      </c>
      <c r="F3163" s="42" t="n">
        <f aca="false">YEAR(A3163)</f>
        <v>2026</v>
      </c>
    </row>
    <row r="3164" customFormat="false" ht="15" hidden="false" customHeight="false" outlineLevel="0" collapsed="false">
      <c r="A3164" s="38" t="n">
        <v>46112</v>
      </c>
      <c r="B3164" s="39" t="n">
        <v>1203</v>
      </c>
      <c r="C3164" s="40" t="n">
        <v>307071320.92</v>
      </c>
      <c r="D3164" s="40" t="n">
        <f aca="false">MAX(D3163,C3164)</f>
        <v>926027832.58</v>
      </c>
      <c r="E3164" s="41" t="n">
        <f aca="false">C3164/D3164-1</f>
        <v>-0.668399469091042</v>
      </c>
      <c r="F3164" s="42" t="n">
        <f aca="false">YEAR(A3164)</f>
        <v>2026</v>
      </c>
    </row>
    <row r="3165" customFormat="false" ht="15" hidden="false" customHeight="false" outlineLevel="0" collapsed="false">
      <c r="A3165" s="38" t="n">
        <v>46113</v>
      </c>
      <c r="B3165" s="39" t="n">
        <v>1173.5</v>
      </c>
      <c r="C3165" s="40" t="n">
        <v>307071320.92</v>
      </c>
      <c r="D3165" s="40" t="n">
        <f aca="false">MAX(D3164,C3165)</f>
        <v>926027832.58</v>
      </c>
      <c r="E3165" s="41" t="n">
        <f aca="false">C3165/D3165-1</f>
        <v>-0.668399469091042</v>
      </c>
      <c r="F3165" s="42" t="n">
        <f aca="false">YEAR(A3165)</f>
        <v>2026</v>
      </c>
    </row>
    <row r="3166" customFormat="false" ht="15" hidden="false" customHeight="false" outlineLevel="0" collapsed="false">
      <c r="A3166" s="38" t="n">
        <v>46114</v>
      </c>
      <c r="B3166" s="39" t="n">
        <v>1195</v>
      </c>
      <c r="C3166" s="40" t="n">
        <v>307071320.92</v>
      </c>
      <c r="D3166" s="40" t="n">
        <f aca="false">MAX(D3165,C3166)</f>
        <v>926027832.58</v>
      </c>
      <c r="E3166" s="41" t="n">
        <f aca="false">C3166/D3166-1</f>
        <v>-0.668399469091042</v>
      </c>
      <c r="F3166" s="42" t="n">
        <f aca="false">YEAR(A3166)</f>
        <v>2026</v>
      </c>
    </row>
    <row r="3167" customFormat="false" ht="15" hidden="false" customHeight="false" outlineLevel="0" collapsed="false">
      <c r="A3167" s="38" t="n">
        <v>46115</v>
      </c>
      <c r="B3167" s="39" t="n">
        <v>1175.5</v>
      </c>
      <c r="C3167" s="40" t="n">
        <v>307071320.92</v>
      </c>
      <c r="D3167" s="40" t="n">
        <f aca="false">MAX(D3166,C3167)</f>
        <v>926027832.58</v>
      </c>
      <c r="E3167" s="41" t="n">
        <f aca="false">C3167/D3167-1</f>
        <v>-0.668399469091042</v>
      </c>
      <c r="F3167" s="42" t="n">
        <f aca="false">YEAR(A3167)</f>
        <v>2026</v>
      </c>
    </row>
    <row r="3168" customFormat="false" ht="15" hidden="false" customHeight="false" outlineLevel="0" collapsed="false">
      <c r="A3168" s="38" t="n">
        <v>46119</v>
      </c>
      <c r="B3168" s="39" t="n">
        <v>1174.5</v>
      </c>
      <c r="C3168" s="40" t="n">
        <v>307071320.92</v>
      </c>
      <c r="D3168" s="40" t="n">
        <f aca="false">MAX(D3167,C3168)</f>
        <v>926027832.58</v>
      </c>
      <c r="E3168" s="41" t="n">
        <f aca="false">C3168/D3168-1</f>
        <v>-0.668399469091042</v>
      </c>
      <c r="F3168" s="42" t="n">
        <f aca="false">YEAR(A3168)</f>
        <v>2026</v>
      </c>
    </row>
    <row r="3169" customFormat="false" ht="15" hidden="false" customHeight="false" outlineLevel="0" collapsed="false">
      <c r="A3169" s="38" t="n">
        <v>46120</v>
      </c>
      <c r="B3169" s="39" t="n">
        <v>1190</v>
      </c>
      <c r="C3169" s="40" t="n">
        <v>307071320.92</v>
      </c>
      <c r="D3169" s="40" t="n">
        <f aca="false">MAX(D3168,C3169)</f>
        <v>926027832.58</v>
      </c>
      <c r="E3169" s="41" t="n">
        <f aca="false">C3169/D3169-1</f>
        <v>-0.668399469091042</v>
      </c>
      <c r="F3169" s="42" t="n">
        <f aca="false">YEAR(A3169)</f>
        <v>2026</v>
      </c>
    </row>
    <row r="3170" customFormat="false" ht="15" hidden="false" customHeight="false" outlineLevel="0" collapsed="false">
      <c r="A3170" s="38" t="n">
        <v>46121</v>
      </c>
      <c r="B3170" s="39" t="n">
        <v>1147</v>
      </c>
      <c r="C3170" s="40" t="n">
        <v>307071320.92</v>
      </c>
      <c r="D3170" s="40" t="n">
        <f aca="false">MAX(D3169,C3170)</f>
        <v>926027832.58</v>
      </c>
      <c r="E3170" s="41" t="n">
        <f aca="false">C3170/D3170-1</f>
        <v>-0.668399469091042</v>
      </c>
      <c r="F3170" s="42" t="n">
        <f aca="false">YEAR(A3170)</f>
        <v>2026</v>
      </c>
    </row>
    <row r="3171" customFormat="false" ht="15" hidden="false" customHeight="false" outlineLevel="0" collapsed="false">
      <c r="A3171" s="38" t="n">
        <v>46122</v>
      </c>
      <c r="B3171" s="39" t="n">
        <v>1134.5</v>
      </c>
      <c r="C3171" s="40" t="n">
        <v>307071320.92</v>
      </c>
      <c r="D3171" s="40" t="n">
        <f aca="false">MAX(D3170,C3171)</f>
        <v>926027832.58</v>
      </c>
      <c r="E3171" s="41" t="n">
        <f aca="false">C3171/D3171-1</f>
        <v>-0.668399469091042</v>
      </c>
      <c r="F3171" s="42" t="n">
        <f aca="false">YEAR(A3171)</f>
        <v>2026</v>
      </c>
    </row>
    <row r="3172" customFormat="false" ht="15" hidden="false" customHeight="false" outlineLevel="0" collapsed="false">
      <c r="A3172" s="38" t="n">
        <v>46125</v>
      </c>
      <c r="B3172" s="39" t="n">
        <v>1150</v>
      </c>
      <c r="C3172" s="40" t="n">
        <v>307071320.92</v>
      </c>
      <c r="D3172" s="40" t="n">
        <f aca="false">MAX(D3171,C3172)</f>
        <v>926027832.58</v>
      </c>
      <c r="E3172" s="41" t="n">
        <f aca="false">C3172/D3172-1</f>
        <v>-0.668399469091042</v>
      </c>
      <c r="F3172" s="42" t="n">
        <f aca="false">YEAR(A3172)</f>
        <v>2026</v>
      </c>
    </row>
    <row r="3173" customFormat="false" ht="15" hidden="false" customHeight="false" outlineLevel="0" collapsed="false">
      <c r="A3173" s="38" t="n">
        <v>46126</v>
      </c>
      <c r="B3173" s="39" t="n">
        <v>1152</v>
      </c>
      <c r="C3173" s="40" t="n">
        <v>307071320.92</v>
      </c>
      <c r="D3173" s="40" t="n">
        <f aca="false">MAX(D3172,C3173)</f>
        <v>926027832.58</v>
      </c>
      <c r="E3173" s="41" t="n">
        <f aca="false">C3173/D3173-1</f>
        <v>-0.668399469091042</v>
      </c>
      <c r="F3173" s="42" t="n">
        <f aca="false">YEAR(A3173)</f>
        <v>2026</v>
      </c>
    </row>
    <row r="3174" customFormat="false" ht="15" hidden="false" customHeight="false" outlineLevel="0" collapsed="false">
      <c r="A3174" s="38" t="n">
        <v>46127</v>
      </c>
      <c r="B3174" s="39" t="n">
        <v>1175</v>
      </c>
      <c r="C3174" s="40" t="n">
        <v>307071320.92</v>
      </c>
      <c r="D3174" s="40" t="n">
        <f aca="false">MAX(D3173,C3174)</f>
        <v>926027832.58</v>
      </c>
      <c r="E3174" s="41" t="n">
        <f aca="false">C3174/D3174-1</f>
        <v>-0.668399469091042</v>
      </c>
      <c r="F3174" s="42" t="n">
        <f aca="false">YEAR(A3174)</f>
        <v>2026</v>
      </c>
    </row>
    <row r="3175" customFormat="false" ht="15" hidden="false" customHeight="false" outlineLevel="0" collapsed="false">
      <c r="A3175" s="38" t="n">
        <v>46128</v>
      </c>
      <c r="B3175" s="39" t="n">
        <v>1197.5</v>
      </c>
      <c r="C3175" s="40" t="n">
        <v>307071320.92</v>
      </c>
      <c r="D3175" s="40" t="n">
        <f aca="false">MAX(D3174,C3175)</f>
        <v>926027832.58</v>
      </c>
      <c r="E3175" s="41" t="n">
        <f aca="false">C3175/D3175-1</f>
        <v>-0.668399469091042</v>
      </c>
      <c r="F3175" s="42" t="n">
        <f aca="false">YEAR(A3175)</f>
        <v>2026</v>
      </c>
    </row>
    <row r="3176" customFormat="false" ht="15" hidden="false" customHeight="false" outlineLevel="0" collapsed="false">
      <c r="A3176" s="38" t="n">
        <v>46129</v>
      </c>
      <c r="B3176" s="39" t="n">
        <v>1182.5</v>
      </c>
      <c r="C3176" s="40" t="n">
        <v>307071320.92</v>
      </c>
      <c r="D3176" s="40" t="n">
        <f aca="false">MAX(D3175,C3176)</f>
        <v>926027832.58</v>
      </c>
      <c r="E3176" s="41" t="n">
        <f aca="false">C3176/D3176-1</f>
        <v>-0.668399469091042</v>
      </c>
      <c r="F3176" s="42" t="n">
        <f aca="false">YEAR(A3176)</f>
        <v>2026</v>
      </c>
    </row>
    <row r="3177" customFormat="false" ht="15" hidden="false" customHeight="false" outlineLevel="0" collapsed="false">
      <c r="A3177" s="38" t="n">
        <v>46132</v>
      </c>
      <c r="B3177" s="39" t="n">
        <v>1231</v>
      </c>
      <c r="C3177" s="40" t="n">
        <v>307071320.92</v>
      </c>
      <c r="D3177" s="40" t="n">
        <f aca="false">MAX(D3176,C3177)</f>
        <v>926027832.58</v>
      </c>
      <c r="E3177" s="41" t="n">
        <f aca="false">C3177/D3177-1</f>
        <v>-0.668399469091042</v>
      </c>
      <c r="F3177" s="42" t="n">
        <f aca="false">YEAR(A3177)</f>
        <v>2026</v>
      </c>
    </row>
    <row r="3178" customFormat="false" ht="15" hidden="false" customHeight="false" outlineLevel="0" collapsed="false">
      <c r="A3178" s="38" t="n">
        <v>46133</v>
      </c>
      <c r="B3178" s="39" t="n">
        <v>1233.5</v>
      </c>
      <c r="C3178" s="40" t="n">
        <v>307071320.92</v>
      </c>
      <c r="D3178" s="40" t="n">
        <f aca="false">MAX(D3177,C3178)</f>
        <v>926027832.58</v>
      </c>
      <c r="E3178" s="41" t="n">
        <f aca="false">C3178/D3178-1</f>
        <v>-0.668399469091042</v>
      </c>
      <c r="F3178" s="42" t="n">
        <f aca="false">YEAR(A3178)</f>
        <v>2026</v>
      </c>
    </row>
    <row r="3179" customFormat="false" ht="15" hidden="false" customHeight="false" outlineLevel="0" collapsed="false">
      <c r="A3179" s="38" t="n">
        <v>46134</v>
      </c>
      <c r="B3179" s="39" t="n">
        <v>1252</v>
      </c>
      <c r="C3179" s="40" t="n">
        <v>307071320.92</v>
      </c>
      <c r="D3179" s="40" t="n">
        <f aca="false">MAX(D3178,C3179)</f>
        <v>926027832.58</v>
      </c>
      <c r="E3179" s="41" t="n">
        <f aca="false">C3179/D3179-1</f>
        <v>-0.668399469091042</v>
      </c>
      <c r="F3179" s="42" t="n">
        <f aca="false">YEAR(A3179)</f>
        <v>2026</v>
      </c>
    </row>
    <row r="3180" customFormat="false" ht="15" hidden="false" customHeight="false" outlineLevel="0" collapsed="false">
      <c r="A3180" s="38" t="n">
        <v>46135</v>
      </c>
      <c r="B3180" s="39" t="n">
        <v>1238</v>
      </c>
      <c r="C3180" s="40" t="n">
        <v>307071320.92</v>
      </c>
      <c r="D3180" s="40" t="n">
        <f aca="false">MAX(D3179,C3180)</f>
        <v>926027832.58</v>
      </c>
      <c r="E3180" s="41" t="n">
        <f aca="false">C3180/D3180-1</f>
        <v>-0.668399469091042</v>
      </c>
      <c r="F3180" s="42" t="n">
        <f aca="false">YEAR(A3180)</f>
        <v>2026</v>
      </c>
    </row>
    <row r="3181" customFormat="false" ht="15" hidden="false" customHeight="false" outlineLevel="0" collapsed="false">
      <c r="A3181" s="38" t="n">
        <v>46136</v>
      </c>
      <c r="B3181" s="39" t="n">
        <v>1243</v>
      </c>
      <c r="C3181" s="40" t="n">
        <v>307071320.92</v>
      </c>
      <c r="D3181" s="40" t="n">
        <f aca="false">MAX(D3180,C3181)</f>
        <v>926027832.58</v>
      </c>
      <c r="E3181" s="41" t="n">
        <f aca="false">C3181/D3181-1</f>
        <v>-0.668399469091042</v>
      </c>
      <c r="F3181" s="42" t="n">
        <f aca="false">YEAR(A3181)</f>
        <v>2026</v>
      </c>
    </row>
    <row r="3182" customFormat="false" ht="15" hidden="false" customHeight="false" outlineLevel="0" collapsed="false">
      <c r="A3182" s="38" t="n">
        <v>46139</v>
      </c>
      <c r="B3182" s="39" t="n">
        <v>1266</v>
      </c>
      <c r="C3182" s="40" t="n">
        <v>307071320.92</v>
      </c>
      <c r="D3182" s="40" t="n">
        <f aca="false">MAX(D3181,C3182)</f>
        <v>926027832.58</v>
      </c>
      <c r="E3182" s="41" t="n">
        <f aca="false">C3182/D3182-1</f>
        <v>-0.668399469091042</v>
      </c>
      <c r="F3182" s="42" t="n">
        <f aca="false">YEAR(A3182)</f>
        <v>2026</v>
      </c>
    </row>
    <row r="3183" customFormat="false" ht="15" hidden="false" customHeight="false" outlineLevel="0" collapsed="false">
      <c r="A3183" s="38" t="n">
        <v>46140</v>
      </c>
      <c r="B3183" s="39" t="n">
        <v>1258.5</v>
      </c>
      <c r="C3183" s="40" t="n">
        <v>307071320.92</v>
      </c>
      <c r="D3183" s="40" t="n">
        <f aca="false">MAX(D3182,C3183)</f>
        <v>926027832.58</v>
      </c>
      <c r="E3183" s="41" t="n">
        <f aca="false">C3183/D3183-1</f>
        <v>-0.668399469091042</v>
      </c>
      <c r="F3183" s="42" t="n">
        <f aca="false">YEAR(A3183)</f>
        <v>2026</v>
      </c>
    </row>
    <row r="3184" customFormat="false" ht="15" hidden="false" customHeight="false" outlineLevel="0" collapsed="false">
      <c r="A3184" s="38" t="n">
        <v>46141</v>
      </c>
      <c r="B3184" s="39" t="n">
        <v>1268</v>
      </c>
      <c r="C3184" s="40" t="n">
        <v>307071320.92</v>
      </c>
      <c r="D3184" s="40" t="n">
        <f aca="false">MAX(D3183,C3184)</f>
        <v>926027832.58</v>
      </c>
      <c r="E3184" s="41" t="n">
        <f aca="false">C3184/D3184-1</f>
        <v>-0.668399469091042</v>
      </c>
      <c r="F3184" s="42" t="n">
        <f aca="false">YEAR(A3184)</f>
        <v>2026</v>
      </c>
    </row>
    <row r="3185" customFormat="false" ht="15" hidden="false" customHeight="false" outlineLevel="0" collapsed="false">
      <c r="A3185" s="38" t="n">
        <v>46142</v>
      </c>
      <c r="B3185" s="39" t="n">
        <v>1289</v>
      </c>
      <c r="C3185" s="40" t="n">
        <v>307071320.92</v>
      </c>
      <c r="D3185" s="40" t="n">
        <f aca="false">MAX(D3184,C3185)</f>
        <v>926027832.58</v>
      </c>
      <c r="E3185" s="41" t="n">
        <f aca="false">C3185/D3185-1</f>
        <v>-0.668399469091042</v>
      </c>
      <c r="F3185" s="42" t="n">
        <f aca="false">YEAR(A3185)</f>
        <v>2026</v>
      </c>
    </row>
    <row r="3186" customFormat="false" ht="15" hidden="false" customHeight="false" outlineLevel="0" collapsed="false">
      <c r="A3186" s="38" t="n">
        <v>46148</v>
      </c>
      <c r="B3186" s="39" t="n">
        <v>1316.5</v>
      </c>
      <c r="C3186" s="40" t="n">
        <v>307071320.92</v>
      </c>
      <c r="D3186" s="40" t="n">
        <f aca="false">MAX(D3185,C3186)</f>
        <v>926027832.58</v>
      </c>
      <c r="E3186" s="41" t="n">
        <f aca="false">C3186/D3186-1</f>
        <v>-0.668399469091042</v>
      </c>
      <c r="F3186" s="42" t="n">
        <f aca="false">YEAR(A3186)</f>
        <v>2026</v>
      </c>
    </row>
    <row r="3187" customFormat="false" ht="15" hidden="false" customHeight="false" outlineLevel="0" collapsed="false">
      <c r="A3187" s="38" t="n">
        <v>46149</v>
      </c>
      <c r="B3187" s="39" t="n">
        <v>1308.5</v>
      </c>
      <c r="C3187" s="40" t="n">
        <v>307071320.92</v>
      </c>
      <c r="D3187" s="40" t="n">
        <f aca="false">MAX(D3186,C3187)</f>
        <v>926027832.58</v>
      </c>
      <c r="E3187" s="41" t="n">
        <f aca="false">C3187/D3187-1</f>
        <v>-0.668399469091042</v>
      </c>
      <c r="F3187" s="42" t="n">
        <f aca="false">YEAR(A3187)</f>
        <v>2026</v>
      </c>
    </row>
    <row r="3188" customFormat="false" ht="15" hidden="false" customHeight="false" outlineLevel="0" collapsed="false">
      <c r="A3188" s="38" t="n">
        <v>46150</v>
      </c>
      <c r="B3188" s="39" t="n">
        <v>1294</v>
      </c>
      <c r="C3188" s="40" t="n">
        <v>307071320.92</v>
      </c>
      <c r="D3188" s="40" t="n">
        <f aca="false">MAX(D3187,C3188)</f>
        <v>926027832.58</v>
      </c>
      <c r="E3188" s="41" t="n">
        <f aca="false">C3188/D3188-1</f>
        <v>-0.668399469091042</v>
      </c>
      <c r="F3188" s="42" t="n">
        <f aca="false">YEAR(A3188)</f>
        <v>2026</v>
      </c>
    </row>
    <row r="3189" customFormat="false" ht="15" hidden="false" customHeight="false" outlineLevel="0" collapsed="false">
      <c r="A3189" s="38" t="n">
        <v>46153</v>
      </c>
      <c r="B3189" s="39" t="n">
        <v>1321.5</v>
      </c>
      <c r="C3189" s="40" t="n">
        <v>307071320.92</v>
      </c>
      <c r="D3189" s="40" t="n">
        <f aca="false">MAX(D3188,C3189)</f>
        <v>926027832.58</v>
      </c>
      <c r="E3189" s="41" t="n">
        <f aca="false">C3189/D3189-1</f>
        <v>-0.668399469091042</v>
      </c>
      <c r="F3189" s="42" t="n">
        <f aca="false">YEAR(A3189)</f>
        <v>2026</v>
      </c>
    </row>
    <row r="3190" customFormat="false" ht="15" hidden="false" customHeight="false" outlineLevel="0" collapsed="false">
      <c r="A3190" s="38" t="n">
        <v>46154</v>
      </c>
      <c r="B3190" s="39" t="n">
        <v>1257</v>
      </c>
      <c r="C3190" s="40" t="n">
        <v>307071320.92</v>
      </c>
      <c r="D3190" s="40" t="n">
        <f aca="false">MAX(D3189,C3190)</f>
        <v>926027832.58</v>
      </c>
      <c r="E3190" s="41" t="n">
        <f aca="false">C3190/D3190-1</f>
        <v>-0.668399469091042</v>
      </c>
      <c r="F3190" s="42" t="n">
        <f aca="false">YEAR(A3190)</f>
        <v>2026</v>
      </c>
    </row>
    <row r="3191" customFormat="false" ht="15" hidden="false" customHeight="false" outlineLevel="0" collapsed="false">
      <c r="A3191" s="38" t="n">
        <v>46155</v>
      </c>
      <c r="B3191" s="39" t="n">
        <v>1262.5</v>
      </c>
      <c r="C3191" s="40" t="n">
        <v>307071320.92</v>
      </c>
      <c r="D3191" s="40" t="n">
        <f aca="false">MAX(D3190,C3191)</f>
        <v>926027832.58</v>
      </c>
      <c r="E3191" s="41" t="n">
        <f aca="false">C3191/D3191-1</f>
        <v>-0.668399469091042</v>
      </c>
      <c r="F3191" s="42" t="n">
        <f aca="false">YEAR(A3191)</f>
        <v>2026</v>
      </c>
    </row>
    <row r="3192" customFormat="false" ht="15" hidden="false" customHeight="false" outlineLevel="0" collapsed="false">
      <c r="A3192" s="38" t="n">
        <v>46156</v>
      </c>
      <c r="B3192" s="39" t="n">
        <v>1261</v>
      </c>
      <c r="C3192" s="40" t="n">
        <v>307071320.92</v>
      </c>
      <c r="D3192" s="40" t="n">
        <f aca="false">MAX(D3191,C3192)</f>
        <v>926027832.58</v>
      </c>
      <c r="E3192" s="41" t="n">
        <f aca="false">C3192/D3192-1</f>
        <v>-0.668399469091042</v>
      </c>
      <c r="F3192" s="42" t="n">
        <f aca="false">YEAR(A3192)</f>
        <v>2026</v>
      </c>
    </row>
    <row r="3193" customFormat="false" ht="15" hidden="false" customHeight="false" outlineLevel="0" collapsed="false">
      <c r="A3193" s="38" t="n">
        <v>46157</v>
      </c>
      <c r="B3193" s="39" t="n">
        <v>1244</v>
      </c>
      <c r="C3193" s="40" t="n">
        <v>307071320.92</v>
      </c>
      <c r="D3193" s="40" t="n">
        <f aca="false">MAX(D3192,C3193)</f>
        <v>926027832.58</v>
      </c>
      <c r="E3193" s="41" t="n">
        <f aca="false">C3193/D3193-1</f>
        <v>-0.668399469091042</v>
      </c>
      <c r="F3193" s="42" t="n">
        <f aca="false">YEAR(A3193)</f>
        <v>2026</v>
      </c>
    </row>
    <row r="3194" customFormat="false" ht="15" hidden="false" customHeight="false" outlineLevel="0" collapsed="false">
      <c r="A3194" s="38" t="n">
        <v>46160</v>
      </c>
      <c r="B3194" s="39" t="n">
        <v>1227.5</v>
      </c>
      <c r="C3194" s="40" t="n">
        <v>307071320.92</v>
      </c>
      <c r="D3194" s="40" t="n">
        <f aca="false">MAX(D3193,C3194)</f>
        <v>926027832.58</v>
      </c>
      <c r="E3194" s="41" t="n">
        <f aca="false">C3194/D3194-1</f>
        <v>-0.668399469091042</v>
      </c>
      <c r="F3194" s="42" t="n">
        <f aca="false">YEAR(A3194)</f>
        <v>2026</v>
      </c>
    </row>
    <row r="3195" customFormat="false" ht="15" hidden="false" customHeight="false" outlineLevel="0" collapsed="false">
      <c r="A3195" s="38" t="n">
        <v>46161</v>
      </c>
      <c r="B3195" s="39" t="n">
        <v>1240.5</v>
      </c>
      <c r="C3195" s="40" t="n">
        <v>307071320.92</v>
      </c>
      <c r="D3195" s="40" t="n">
        <f aca="false">MAX(D3194,C3195)</f>
        <v>926027832.58</v>
      </c>
      <c r="E3195" s="41" t="n">
        <f aca="false">C3195/D3195-1</f>
        <v>-0.668399469091042</v>
      </c>
      <c r="F3195" s="42" t="n">
        <f aca="false">YEAR(A3195)</f>
        <v>2026</v>
      </c>
    </row>
    <row r="3196" customFormat="false" ht="15" hidden="false" customHeight="false" outlineLevel="0" collapsed="false">
      <c r="A3196" s="38" t="n">
        <v>46162</v>
      </c>
      <c r="B3196" s="39" t="n">
        <v>1240</v>
      </c>
      <c r="C3196" s="40" t="n">
        <v>307071320.92</v>
      </c>
      <c r="D3196" s="40" t="n">
        <f aca="false">MAX(D3195,C3196)</f>
        <v>926027832.58</v>
      </c>
      <c r="E3196" s="41" t="n">
        <f aca="false">C3196/D3196-1</f>
        <v>-0.668399469091042</v>
      </c>
      <c r="F3196" s="42" t="n">
        <f aca="false">YEAR(A3196)</f>
        <v>2026</v>
      </c>
    </row>
    <row r="3197" customFormat="false" ht="15" hidden="false" customHeight="false" outlineLevel="0" collapsed="false">
      <c r="A3197" s="38" t="n">
        <v>46163</v>
      </c>
      <c r="B3197" s="39" t="n">
        <v>1213</v>
      </c>
      <c r="C3197" s="40" t="n">
        <v>307071320.92</v>
      </c>
      <c r="D3197" s="40" t="n">
        <f aca="false">MAX(D3196,C3197)</f>
        <v>926027832.58</v>
      </c>
      <c r="E3197" s="41" t="n">
        <f aca="false">C3197/D3197-1</f>
        <v>-0.668399469091042</v>
      </c>
      <c r="F3197" s="42" t="n">
        <f aca="false">YEAR(A3197)</f>
        <v>2026</v>
      </c>
    </row>
    <row r="3198" customFormat="false" ht="15" hidden="false" customHeight="false" outlineLevel="0" collapsed="false">
      <c r="A3198" s="38" t="n">
        <v>46164</v>
      </c>
      <c r="B3198" s="39" t="n">
        <v>1182.5</v>
      </c>
      <c r="C3198" s="40" t="n">
        <v>307071320.92</v>
      </c>
      <c r="D3198" s="40" t="n">
        <f aca="false">MAX(D3197,C3198)</f>
        <v>926027832.58</v>
      </c>
      <c r="E3198" s="41" t="n">
        <f aca="false">C3198/D3198-1</f>
        <v>-0.668399469091042</v>
      </c>
      <c r="F3198" s="42" t="n">
        <f aca="false">YEAR(A3198)</f>
        <v>2026</v>
      </c>
    </row>
    <row r="3199" customFormat="false" ht="15" hidden="false" customHeight="false" outlineLevel="0" collapsed="false">
      <c r="A3199" s="38" t="n">
        <v>46167</v>
      </c>
      <c r="B3199" s="39" t="n">
        <v>1297</v>
      </c>
      <c r="C3199" s="40" t="n">
        <v>307071320.92</v>
      </c>
      <c r="D3199" s="40" t="n">
        <f aca="false">MAX(D3198,C3199)</f>
        <v>926027832.58</v>
      </c>
      <c r="E3199" s="41" t="n">
        <f aca="false">C3199/D3199-1</f>
        <v>-0.668399469091042</v>
      </c>
      <c r="F3199" s="42" t="n">
        <f aca="false">YEAR(A3199)</f>
        <v>2026</v>
      </c>
    </row>
    <row r="3200" customFormat="false" ht="15" hidden="false" customHeight="false" outlineLevel="0" collapsed="false">
      <c r="A3200" s="38" t="n">
        <v>46168</v>
      </c>
      <c r="B3200" s="39" t="n">
        <v>1290</v>
      </c>
      <c r="C3200" s="40" t="n">
        <v>307071320.92</v>
      </c>
      <c r="D3200" s="40" t="n">
        <f aca="false">MAX(D3199,C3200)</f>
        <v>926027832.58</v>
      </c>
      <c r="E3200" s="41" t="n">
        <f aca="false">C3200/D3200-1</f>
        <v>-0.668399469091042</v>
      </c>
      <c r="F3200" s="42" t="n">
        <f aca="false">YEAR(A3200)</f>
        <v>2026</v>
      </c>
    </row>
    <row r="3201" customFormat="false" ht="15" hidden="false" customHeight="false" outlineLevel="0" collapsed="false">
      <c r="A3201" s="38" t="n">
        <v>46169</v>
      </c>
      <c r="B3201" s="39" t="n">
        <v>1305</v>
      </c>
      <c r="C3201" s="40" t="n">
        <v>307071320.92</v>
      </c>
      <c r="D3201" s="40" t="n">
        <f aca="false">MAX(D3200,C3201)</f>
        <v>926027832.58</v>
      </c>
      <c r="E3201" s="41" t="n">
        <f aca="false">C3201/D3201-1</f>
        <v>-0.668399469091042</v>
      </c>
      <c r="F3201" s="42" t="n">
        <f aca="false">YEAR(A3201)</f>
        <v>2026</v>
      </c>
    </row>
    <row r="3202" customFormat="false" ht="15" hidden="false" customHeight="false" outlineLevel="0" collapsed="false">
      <c r="A3202" s="38" t="n">
        <v>46170</v>
      </c>
      <c r="B3202" s="39" t="n">
        <v>1321.5</v>
      </c>
      <c r="C3202" s="40" t="n">
        <v>307071320.92</v>
      </c>
      <c r="D3202" s="40" t="n">
        <f aca="false">MAX(D3201,C3202)</f>
        <v>926027832.58</v>
      </c>
      <c r="E3202" s="41" t="n">
        <f aca="false">C3202/D3202-1</f>
        <v>-0.668399469091042</v>
      </c>
      <c r="F3202" s="42" t="n">
        <f aca="false">YEAR(A3202)</f>
        <v>2026</v>
      </c>
    </row>
    <row r="3203" customFormat="false" ht="15" hidden="false" customHeight="false" outlineLevel="0" collapsed="false">
      <c r="A3203" s="38" t="n">
        <v>46171</v>
      </c>
      <c r="B3203" s="39" t="n">
        <v>1317</v>
      </c>
      <c r="C3203" s="40" t="n">
        <v>307071320.92</v>
      </c>
      <c r="D3203" s="40" t="n">
        <f aca="false">MAX(D3202,C3203)</f>
        <v>926027832.58</v>
      </c>
      <c r="E3203" s="41" t="n">
        <f aca="false">C3203/D3203-1</f>
        <v>-0.668399469091042</v>
      </c>
      <c r="F3203" s="42" t="n">
        <f aca="false">YEAR(A3203)</f>
        <v>2026</v>
      </c>
    </row>
    <row r="3204" customFormat="false" ht="15" hidden="false" customHeight="false" outlineLevel="0" collapsed="false">
      <c r="A3204" s="38" t="n">
        <v>46174</v>
      </c>
      <c r="B3204" s="39" t="n">
        <v>1407</v>
      </c>
      <c r="C3204" s="40" t="n">
        <v>307071320.92</v>
      </c>
      <c r="D3204" s="40" t="n">
        <f aca="false">MAX(D3203,C3204)</f>
        <v>926027832.58</v>
      </c>
      <c r="E3204" s="41" t="n">
        <f aca="false">C3204/D3204-1</f>
        <v>-0.668399469091042</v>
      </c>
      <c r="F3204" s="42" t="n">
        <f aca="false">YEAR(A3204)</f>
        <v>2026</v>
      </c>
    </row>
    <row r="3205" customFormat="false" ht="15" hidden="false" customHeight="false" outlineLevel="0" collapsed="false">
      <c r="A3205" s="38" t="n">
        <v>46175</v>
      </c>
      <c r="B3205" s="39" t="n">
        <v>1392.5</v>
      </c>
      <c r="C3205" s="40" t="n">
        <v>307071320.92</v>
      </c>
      <c r="D3205" s="40" t="n">
        <f aca="false">MAX(D3204,C3205)</f>
        <v>926027832.58</v>
      </c>
      <c r="E3205" s="41" t="n">
        <f aca="false">C3205/D3205-1</f>
        <v>-0.668399469091042</v>
      </c>
      <c r="F3205" s="42" t="n">
        <f aca="false">YEAR(A3205)</f>
        <v>2026</v>
      </c>
    </row>
    <row r="3206" customFormat="false" ht="15" hidden="false" customHeight="false" outlineLevel="0" collapsed="false">
      <c r="A3206" s="38" t="n">
        <v>46176</v>
      </c>
      <c r="B3206" s="39" t="n">
        <v>1411.5</v>
      </c>
      <c r="C3206" s="40" t="n">
        <v>307071320.92</v>
      </c>
      <c r="D3206" s="40" t="n">
        <f aca="false">MAX(D3205,C3206)</f>
        <v>926027832.58</v>
      </c>
      <c r="E3206" s="41" t="n">
        <f aca="false">C3206/D3206-1</f>
        <v>-0.668399469091042</v>
      </c>
      <c r="F3206" s="42" t="n">
        <f aca="false">YEAR(A3206)</f>
        <v>2026</v>
      </c>
    </row>
    <row r="3207" customFormat="false" ht="15" hidden="false" customHeight="false" outlineLevel="0" collapsed="false">
      <c r="A3207" s="38" t="n">
        <v>46177</v>
      </c>
      <c r="B3207" s="39" t="n">
        <v>1459.5</v>
      </c>
      <c r="C3207" s="40" t="n">
        <v>307071320.92</v>
      </c>
      <c r="D3207" s="40" t="n">
        <f aca="false">MAX(D3206,C3207)</f>
        <v>926027832.58</v>
      </c>
      <c r="E3207" s="41" t="n">
        <f aca="false">C3207/D3207-1</f>
        <v>-0.668399469091042</v>
      </c>
      <c r="F3207" s="42" t="n">
        <f aca="false">YEAR(A3207)</f>
        <v>2026</v>
      </c>
    </row>
    <row r="3208" customFormat="false" ht="15" hidden="false" customHeight="false" outlineLevel="0" collapsed="false">
      <c r="A3208" s="38" t="n">
        <v>46178</v>
      </c>
      <c r="B3208" s="39" t="n">
        <v>1485.5</v>
      </c>
      <c r="C3208" s="40" t="n">
        <v>307071320.92</v>
      </c>
      <c r="D3208" s="40" t="n">
        <f aca="false">MAX(D3207,C3208)</f>
        <v>926027832.58</v>
      </c>
      <c r="E3208" s="41" t="n">
        <f aca="false">C3208/D3208-1</f>
        <v>-0.668399469091042</v>
      </c>
      <c r="F3208" s="42" t="n">
        <f aca="false">YEAR(A3208)</f>
        <v>2026</v>
      </c>
    </row>
    <row r="3209" customFormat="false" ht="15" hidden="false" customHeight="false" outlineLevel="0" collapsed="false">
      <c r="A3209" s="38" t="n">
        <v>46181</v>
      </c>
      <c r="B3209" s="39" t="n">
        <v>1455</v>
      </c>
      <c r="C3209" s="40" t="n">
        <v>307071320.92</v>
      </c>
      <c r="D3209" s="40" t="n">
        <f aca="false">MAX(D3208,C3209)</f>
        <v>926027832.58</v>
      </c>
      <c r="E3209" s="41" t="n">
        <f aca="false">C3209/D3209-1</f>
        <v>-0.668399469091042</v>
      </c>
      <c r="F3209" s="42" t="n">
        <f aca="false">YEAR(A3209)</f>
        <v>2026</v>
      </c>
    </row>
    <row r="3210" customFormat="false" ht="15" hidden="false" customHeight="false" outlineLevel="0" collapsed="false">
      <c r="A3210" s="38" t="n">
        <v>46182</v>
      </c>
      <c r="B3210" s="39" t="n">
        <v>1398</v>
      </c>
      <c r="C3210" s="40" t="n">
        <v>307071320.92</v>
      </c>
      <c r="D3210" s="40" t="n">
        <f aca="false">MAX(D3209,C3210)</f>
        <v>926027832.58</v>
      </c>
      <c r="E3210" s="41" t="n">
        <f aca="false">C3210/D3210-1</f>
        <v>-0.668399469091042</v>
      </c>
      <c r="F3210" s="42" t="n">
        <f aca="false">YEAR(A3210)</f>
        <v>2026</v>
      </c>
    </row>
    <row r="3211" customFormat="false" ht="15" hidden="false" customHeight="false" outlineLevel="0" collapsed="false">
      <c r="A3211" s="38" t="n">
        <v>46183</v>
      </c>
      <c r="B3211" s="39" t="n">
        <v>1404.5</v>
      </c>
      <c r="C3211" s="40" t="n">
        <v>307071320.92</v>
      </c>
      <c r="D3211" s="40" t="n">
        <f aca="false">MAX(D3210,C3211)</f>
        <v>926027832.58</v>
      </c>
      <c r="E3211" s="41" t="n">
        <f aca="false">C3211/D3211-1</f>
        <v>-0.668399469091042</v>
      </c>
      <c r="F3211" s="42" t="n">
        <f aca="false">YEAR(A3211)</f>
        <v>2026</v>
      </c>
    </row>
    <row r="3212" customFormat="false" ht="15" hidden="false" customHeight="false" outlineLevel="0" collapsed="false">
      <c r="A3212" s="38" t="n">
        <v>46184</v>
      </c>
      <c r="B3212" s="39" t="n">
        <v>1401</v>
      </c>
      <c r="C3212" s="40" t="n">
        <v>307071320.92</v>
      </c>
      <c r="D3212" s="40" t="n">
        <f aca="false">MAX(D3211,C3212)</f>
        <v>926027832.58</v>
      </c>
      <c r="E3212" s="41" t="n">
        <f aca="false">C3212/D3212-1</f>
        <v>-0.668399469091042</v>
      </c>
      <c r="F3212" s="42" t="n">
        <f aca="false">YEAR(A3212)</f>
        <v>2026</v>
      </c>
    </row>
    <row r="3213" customFormat="false" ht="15" hidden="false" customHeight="false" outlineLevel="0" collapsed="false">
      <c r="A3213" s="38" t="n">
        <v>46185</v>
      </c>
      <c r="B3213" s="39" t="n">
        <v>1407</v>
      </c>
      <c r="C3213" s="40" t="n">
        <v>307071320.92</v>
      </c>
      <c r="D3213" s="40" t="n">
        <f aca="false">MAX(D3212,C3213)</f>
        <v>926027832.58</v>
      </c>
      <c r="E3213" s="41" t="n">
        <f aca="false">C3213/D3213-1</f>
        <v>-0.668399469091042</v>
      </c>
      <c r="F3213" s="42" t="n">
        <f aca="false">YEAR(A3213)</f>
        <v>2026</v>
      </c>
    </row>
    <row r="3214" customFormat="false" ht="15" hidden="false" customHeight="false" outlineLevel="0" collapsed="false">
      <c r="A3214" s="38" t="n">
        <v>46188</v>
      </c>
      <c r="B3214" s="39" t="n">
        <v>1385</v>
      </c>
      <c r="C3214" s="40" t="n">
        <v>307071320.92</v>
      </c>
      <c r="D3214" s="40" t="n">
        <f aca="false">MAX(D3213,C3214)</f>
        <v>926027832.58</v>
      </c>
      <c r="E3214" s="41" t="n">
        <f aca="false">C3214/D3214-1</f>
        <v>-0.668399469091042</v>
      </c>
      <c r="F3214" s="42" t="n">
        <f aca="false">YEAR(A3214)</f>
        <v>2026</v>
      </c>
    </row>
    <row r="3215" customFormat="false" ht="15" hidden="false" customHeight="false" outlineLevel="0" collapsed="false">
      <c r="A3215" s="38" t="n">
        <v>46189</v>
      </c>
      <c r="B3215" s="39" t="n">
        <v>1383</v>
      </c>
      <c r="C3215" s="40" t="n">
        <v>307071320.92</v>
      </c>
      <c r="D3215" s="40" t="n">
        <f aca="false">MAX(D3214,C3215)</f>
        <v>926027832.58</v>
      </c>
      <c r="E3215" s="41" t="n">
        <f aca="false">C3215/D3215-1</f>
        <v>-0.668399469091042</v>
      </c>
      <c r="F3215" s="42" t="n">
        <f aca="false">YEAR(A3215)</f>
        <v>2026</v>
      </c>
    </row>
    <row r="3216" customFormat="false" ht="15" hidden="false" customHeight="false" outlineLevel="0" collapsed="false">
      <c r="A3216" s="38" t="n">
        <v>46190</v>
      </c>
      <c r="B3216" s="39" t="n">
        <v>1384</v>
      </c>
      <c r="C3216" s="40" t="n">
        <v>307071320.92</v>
      </c>
      <c r="D3216" s="40" t="n">
        <f aca="false">MAX(D3215,C3216)</f>
        <v>926027832.58</v>
      </c>
      <c r="E3216" s="41" t="n">
        <f aca="false">C3216/D3216-1</f>
        <v>-0.668399469091042</v>
      </c>
      <c r="F3216" s="42" t="n">
        <f aca="false">YEAR(A3216)</f>
        <v>2026</v>
      </c>
    </row>
    <row r="3217" customFormat="false" ht="15" hidden="false" customHeight="false" outlineLevel="0" collapsed="false">
      <c r="A3217" s="38" t="n">
        <v>46191</v>
      </c>
      <c r="B3217" s="39" t="n">
        <v>1322</v>
      </c>
      <c r="C3217" s="40" t="n">
        <v>307071320.92</v>
      </c>
      <c r="D3217" s="40" t="n">
        <f aca="false">MAX(D3216,C3217)</f>
        <v>926027832.58</v>
      </c>
      <c r="E3217" s="41" t="n">
        <f aca="false">C3217/D3217-1</f>
        <v>-0.668399469091042</v>
      </c>
      <c r="F3217" s="42" t="n">
        <f aca="false">YEAR(A3217)</f>
        <v>2026</v>
      </c>
    </row>
    <row r="3218" customFormat="false" ht="15" hidden="false" customHeight="false" outlineLevel="0" collapsed="false">
      <c r="A3218" s="38" t="n">
        <v>46195</v>
      </c>
      <c r="B3218" s="39" t="n">
        <v>1327</v>
      </c>
      <c r="C3218" s="40" t="n">
        <v>307071320.92</v>
      </c>
      <c r="D3218" s="40" t="n">
        <f aca="false">MAX(D3217,C3218)</f>
        <v>926027832.58</v>
      </c>
      <c r="E3218" s="41" t="n">
        <f aca="false">C3218/D3218-1</f>
        <v>-0.668399469091042</v>
      </c>
      <c r="F3218" s="42" t="n">
        <f aca="false">YEAR(A3218)</f>
        <v>2026</v>
      </c>
    </row>
    <row r="3219" customFormat="false" ht="15" hidden="false" customHeight="false" outlineLevel="0" collapsed="false">
      <c r="A3219" s="38" t="n">
        <v>46196</v>
      </c>
      <c r="B3219" s="39" t="n">
        <v>1297.5</v>
      </c>
      <c r="C3219" s="40" t="n">
        <v>307071320.92</v>
      </c>
      <c r="D3219" s="40" t="n">
        <f aca="false">MAX(D3218,C3219)</f>
        <v>926027832.58</v>
      </c>
      <c r="E3219" s="41" t="n">
        <f aca="false">C3219/D3219-1</f>
        <v>-0.668399469091042</v>
      </c>
      <c r="F3219" s="42" t="n">
        <f aca="false">YEAR(A3219)</f>
        <v>2026</v>
      </c>
    </row>
    <row r="3220" customFormat="false" ht="15" hidden="false" customHeight="false" outlineLevel="0" collapsed="false">
      <c r="A3220" s="38" t="n">
        <v>46197</v>
      </c>
      <c r="B3220" s="39" t="n">
        <v>1297.5</v>
      </c>
      <c r="C3220" s="40" t="n">
        <v>307071320.92</v>
      </c>
      <c r="D3220" s="40" t="n">
        <f aca="false">MAX(D3219,C3220)</f>
        <v>926027832.58</v>
      </c>
      <c r="E3220" s="41" t="n">
        <f aca="false">C3220/D3220-1</f>
        <v>-0.668399469091042</v>
      </c>
      <c r="F3220" s="42" t="n">
        <f aca="false">YEAR(A3220)</f>
        <v>2026</v>
      </c>
    </row>
    <row r="3221" customFormat="false" ht="15" hidden="false" customHeight="false" outlineLevel="0" collapsed="false">
      <c r="A3221" s="38" t="n">
        <v>46198</v>
      </c>
      <c r="B3221" s="39" t="n">
        <v>1293</v>
      </c>
      <c r="C3221" s="40" t="n">
        <v>307071320.92</v>
      </c>
      <c r="D3221" s="40" t="n">
        <f aca="false">MAX(D3220,C3221)</f>
        <v>926027832.58</v>
      </c>
      <c r="E3221" s="41" t="n">
        <f aca="false">C3221/D3221-1</f>
        <v>-0.668399469091042</v>
      </c>
      <c r="F3221" s="42" t="n">
        <f aca="false">YEAR(A3221)</f>
        <v>2026</v>
      </c>
    </row>
    <row r="3222" customFormat="false" ht="15" hidden="false" customHeight="false" outlineLevel="0" collapsed="false">
      <c r="A3222" s="38" t="n">
        <v>46199</v>
      </c>
      <c r="B3222" s="39" t="n">
        <v>1303</v>
      </c>
      <c r="C3222" s="40" t="n">
        <v>307071320.92</v>
      </c>
      <c r="D3222" s="40" t="n">
        <f aca="false">MAX(D3221,C3222)</f>
        <v>926027832.58</v>
      </c>
      <c r="E3222" s="41" t="n">
        <f aca="false">C3222/D3222-1</f>
        <v>-0.668399469091042</v>
      </c>
      <c r="F3222" s="42" t="n">
        <f aca="false">YEAR(A3222)</f>
        <v>2026</v>
      </c>
    </row>
    <row r="3223" customFormat="false" ht="15" hidden="false" customHeight="false" outlineLevel="0" collapsed="false">
      <c r="A3223" s="38" t="n">
        <v>46202</v>
      </c>
      <c r="B3223" s="39" t="n">
        <v>1342.5</v>
      </c>
      <c r="C3223" s="40" t="n">
        <v>307071320.92</v>
      </c>
      <c r="D3223" s="40" t="n">
        <f aca="false">MAX(D3222,C3223)</f>
        <v>926027832.58</v>
      </c>
      <c r="E3223" s="41" t="n">
        <f aca="false">C3223/D3223-1</f>
        <v>-0.668399469091042</v>
      </c>
      <c r="F3223" s="42" t="n">
        <f aca="false">YEAR(A3223)</f>
        <v>2026</v>
      </c>
    </row>
    <row r="3224" customFormat="false" ht="15" hidden="false" customHeight="false" outlineLevel="0" collapsed="false">
      <c r="A3224" s="38" t="n">
        <v>46203</v>
      </c>
      <c r="B3224" s="39" t="n">
        <v>1332</v>
      </c>
      <c r="C3224" s="40" t="n">
        <v>307071320.92</v>
      </c>
      <c r="D3224" s="40" t="n">
        <f aca="false">MAX(D3223,C3224)</f>
        <v>926027832.58</v>
      </c>
      <c r="E3224" s="41" t="n">
        <f aca="false">C3224/D3224-1</f>
        <v>-0.668399469091042</v>
      </c>
      <c r="F3224" s="42" t="n">
        <f aca="false">YEAR(A3224)</f>
        <v>2026</v>
      </c>
    </row>
    <row r="3225" customFormat="false" ht="15" hidden="false" customHeight="false" outlineLevel="0" collapsed="false">
      <c r="A3225" s="38" t="n">
        <v>46204</v>
      </c>
      <c r="B3225" s="39" t="n">
        <v>1315</v>
      </c>
      <c r="C3225" s="40" t="n">
        <v>307071320.92</v>
      </c>
      <c r="D3225" s="40" t="n">
        <f aca="false">MAX(D3224,C3225)</f>
        <v>926027832.58</v>
      </c>
      <c r="E3225" s="41" t="n">
        <f aca="false">C3225/D3225-1</f>
        <v>-0.668399469091042</v>
      </c>
      <c r="F3225" s="42" t="n">
        <f aca="false">YEAR(A3225)</f>
        <v>2026</v>
      </c>
    </row>
    <row r="3226" customFormat="false" ht="15" hidden="false" customHeight="false" outlineLevel="0" collapsed="false">
      <c r="A3226" s="38" t="n">
        <v>46205</v>
      </c>
      <c r="B3226" s="39" t="n">
        <v>1320.5</v>
      </c>
      <c r="C3226" s="40" t="n">
        <v>307071320.92</v>
      </c>
      <c r="D3226" s="40" t="n">
        <f aca="false">MAX(D3225,C3226)</f>
        <v>926027832.58</v>
      </c>
      <c r="E3226" s="41" t="n">
        <f aca="false">C3226/D3226-1</f>
        <v>-0.668399469091042</v>
      </c>
      <c r="F3226" s="42" t="n">
        <f aca="false">YEAR(A3226)</f>
        <v>2026</v>
      </c>
    </row>
    <row r="3227" customFormat="false" ht="15" hidden="false" customHeight="false" outlineLevel="0" collapsed="false">
      <c r="A3227" s="38" t="n">
        <v>46206</v>
      </c>
      <c r="B3227" s="39" t="n">
        <v>1337</v>
      </c>
      <c r="C3227" s="40" t="n">
        <v>307071320.92</v>
      </c>
      <c r="D3227" s="40" t="n">
        <f aca="false">MAX(D3226,C3227)</f>
        <v>926027832.58</v>
      </c>
      <c r="E3227" s="41" t="n">
        <f aca="false">C3227/D3227-1</f>
        <v>-0.668399469091042</v>
      </c>
      <c r="F3227" s="42" t="n">
        <f aca="false">YEAR(A3227)</f>
        <v>2026</v>
      </c>
    </row>
    <row r="3228" customFormat="false" ht="15" hidden="false" customHeight="false" outlineLevel="0" collapsed="false">
      <c r="A3228" s="38" t="n">
        <v>46209</v>
      </c>
      <c r="B3228" s="39" t="n">
        <v>1338</v>
      </c>
      <c r="C3228" s="40" t="n">
        <v>307071320.92</v>
      </c>
      <c r="D3228" s="40" t="n">
        <f aca="false">MAX(D3227,C3228)</f>
        <v>926027832.58</v>
      </c>
      <c r="E3228" s="41" t="n">
        <f aca="false">C3228/D3228-1</f>
        <v>-0.668399469091042</v>
      </c>
      <c r="F3228" s="42" t="n">
        <f aca="false">YEAR(A3228)</f>
        <v>2026</v>
      </c>
    </row>
    <row r="3229" customFormat="false" ht="15" hidden="false" customHeight="false" outlineLevel="0" collapsed="false">
      <c r="A3229" s="38" t="n">
        <v>46210</v>
      </c>
      <c r="B3229" s="39" t="n">
        <v>1328.5</v>
      </c>
      <c r="C3229" s="40" t="n">
        <v>307071320.92</v>
      </c>
      <c r="D3229" s="40" t="n">
        <f aca="false">MAX(D3228,C3229)</f>
        <v>926027832.58</v>
      </c>
      <c r="E3229" s="41" t="n">
        <f aca="false">C3229/D3229-1</f>
        <v>-0.668399469091042</v>
      </c>
      <c r="F3229" s="42" t="n">
        <f aca="false">YEAR(A3229)</f>
        <v>2026</v>
      </c>
    </row>
    <row r="3230" customFormat="false" ht="15" hidden="false" customHeight="false" outlineLevel="0" collapsed="false">
      <c r="A3230" s="38" t="n">
        <v>46211</v>
      </c>
      <c r="B3230" s="39" t="n">
        <v>1349</v>
      </c>
      <c r="C3230" s="40" t="n">
        <v>307071320.92</v>
      </c>
      <c r="D3230" s="40" t="n">
        <f aca="false">MAX(D3229,C3230)</f>
        <v>926027832.58</v>
      </c>
      <c r="E3230" s="41" t="n">
        <f aca="false">C3230/D3230-1</f>
        <v>-0.668399469091042</v>
      </c>
      <c r="F3230" s="42" t="n">
        <f aca="false">YEAR(A3230)</f>
        <v>2026</v>
      </c>
    </row>
    <row r="3231" customFormat="false" ht="15" hidden="false" customHeight="false" outlineLevel="0" collapsed="false">
      <c r="A3231" s="38" t="n">
        <v>46212</v>
      </c>
      <c r="B3231" s="39" t="n">
        <v>1345</v>
      </c>
      <c r="C3231" s="40" t="n">
        <v>307071320.92</v>
      </c>
      <c r="D3231" s="40" t="n">
        <f aca="false">MAX(D3230,C3231)</f>
        <v>926027832.58</v>
      </c>
      <c r="E3231" s="41" t="n">
        <f aca="false">C3231/D3231-1</f>
        <v>-0.668399469091042</v>
      </c>
      <c r="F3231" s="42" t="n">
        <f aca="false">YEAR(A3231)</f>
        <v>2026</v>
      </c>
    </row>
    <row r="3232" customFormat="false" ht="15" hidden="false" customHeight="false" outlineLevel="0" collapsed="false">
      <c r="A3232" s="38" t="n">
        <v>46213</v>
      </c>
      <c r="B3232" s="39" t="n">
        <v>1310.5</v>
      </c>
      <c r="C3232" s="40" t="n">
        <v>307071320.92</v>
      </c>
      <c r="D3232" s="40" t="n">
        <f aca="false">MAX(D3231,C3232)</f>
        <v>926027832.58</v>
      </c>
      <c r="E3232" s="41" t="n">
        <f aca="false">C3232/D3232-1</f>
        <v>-0.668399469091042</v>
      </c>
      <c r="F3232" s="42" t="n">
        <f aca="false">YEAR(A3232)</f>
        <v>2026</v>
      </c>
    </row>
    <row r="3233" customFormat="false" ht="15" hidden="false" customHeight="false" outlineLevel="0" collapsed="false">
      <c r="A3233" s="38" t="n">
        <v>46216</v>
      </c>
      <c r="B3233" s="39" t="n">
        <v>1290.5</v>
      </c>
      <c r="C3233" s="40" t="n">
        <v>325988473.06</v>
      </c>
      <c r="D3233" s="40" t="n">
        <f aca="false">MAX(D3232,C3233)</f>
        <v>926027832.58</v>
      </c>
      <c r="E3233" s="41" t="n">
        <f aca="false">C3233/D3233-1</f>
        <v>-0.647971193099277</v>
      </c>
      <c r="F3233" s="42" t="n">
        <f aca="false">YEAR(A3233)</f>
        <v>2026</v>
      </c>
    </row>
    <row r="3234" customFormat="false" ht="15" hidden="false" customHeight="false" outlineLevel="0" collapsed="false">
      <c r="A3234" s="38" t="n">
        <v>46217</v>
      </c>
      <c r="B3234" s="39" t="n">
        <v>1313.5</v>
      </c>
      <c r="C3234" s="40" t="n">
        <v>303524833.06</v>
      </c>
      <c r="D3234" s="40" t="n">
        <f aca="false">MAX(D3233,C3234)</f>
        <v>926027832.58</v>
      </c>
      <c r="E3234" s="41" t="n">
        <f aca="false">C3234/D3234-1</f>
        <v>-0.672229254476778</v>
      </c>
      <c r="F3234" s="42" t="n">
        <f aca="false">YEAR(A3234)</f>
        <v>2026</v>
      </c>
    </row>
    <row r="3235" customFormat="false" ht="15" hidden="false" customHeight="false" outlineLevel="0" collapsed="false">
      <c r="A3235" s="38" t="n">
        <v>46218</v>
      </c>
      <c r="B3235" s="39" t="n">
        <v>1328.5</v>
      </c>
      <c r="C3235" s="40" t="n">
        <v>288874633.06</v>
      </c>
      <c r="D3235" s="40" t="n">
        <f aca="false">MAX(D3234,C3235)</f>
        <v>926027832.58</v>
      </c>
      <c r="E3235" s="41" t="n">
        <f aca="false">C3235/D3235-1</f>
        <v>-0.688049729288192</v>
      </c>
      <c r="F3235" s="42" t="n">
        <f aca="false">YEAR(A3235)</f>
        <v>2026</v>
      </c>
    </row>
    <row r="3236" customFormat="false" ht="15" hidden="false" customHeight="false" outlineLevel="0" collapsed="false">
      <c r="A3236" s="38" t="n">
        <v>46219</v>
      </c>
      <c r="B3236" s="39" t="n">
        <v>1320</v>
      </c>
      <c r="C3236" s="40" t="n">
        <v>297176413.06</v>
      </c>
      <c r="D3236" s="40" t="n">
        <f aca="false">MAX(D3235,C3236)</f>
        <v>926027832.58</v>
      </c>
      <c r="E3236" s="41" t="n">
        <f aca="false">C3236/D3236-1</f>
        <v>-0.679084793561724</v>
      </c>
      <c r="F3236" s="42" t="n">
        <f aca="false">YEAR(A3236)</f>
        <v>2026</v>
      </c>
    </row>
    <row r="3237" customFormat="false" ht="15" hidden="false" customHeight="false" outlineLevel="0" collapsed="false">
      <c r="A3237" s="38" t="n">
        <v>46220</v>
      </c>
      <c r="B3237" s="39" t="n">
        <v>1319</v>
      </c>
      <c r="C3237" s="40" t="n">
        <v>298153093.06</v>
      </c>
      <c r="D3237" s="40" t="n">
        <f aca="false">MAX(D3236,C3237)</f>
        <v>926027832.58</v>
      </c>
      <c r="E3237" s="41" t="n">
        <f aca="false">C3237/D3237-1</f>
        <v>-0.678030095240963</v>
      </c>
      <c r="F3237" s="42" t="n">
        <f aca="false">YEAR(A3237)</f>
        <v>2026</v>
      </c>
    </row>
    <row r="3238" customFormat="false" ht="15" hidden="false" customHeight="false" outlineLevel="0" collapsed="false">
      <c r="A3238" s="38" t="n">
        <v>46223</v>
      </c>
      <c r="B3238" s="39" t="n">
        <v>1333</v>
      </c>
      <c r="C3238" s="40" t="n">
        <v>284479573.06</v>
      </c>
      <c r="D3238" s="40" t="n">
        <f aca="false">MAX(D3237,C3238)</f>
        <v>926027832.58</v>
      </c>
      <c r="E3238" s="41" t="n">
        <f aca="false">C3238/D3238-1</f>
        <v>-0.692795871731616</v>
      </c>
      <c r="F3238" s="42" t="n">
        <f aca="false">YEAR(A3238)</f>
        <v>2026</v>
      </c>
    </row>
    <row r="3239" customFormat="false" ht="15" hidden="false" customHeight="false" outlineLevel="0" collapsed="false">
      <c r="A3239" s="38" t="n">
        <v>46224</v>
      </c>
      <c r="B3239" s="39" t="n">
        <v>1337.5</v>
      </c>
      <c r="C3239" s="40" t="n">
        <v>280084513.06</v>
      </c>
      <c r="D3239" s="40" t="n">
        <f aca="false">MAX(D3238,C3239)</f>
        <v>926027832.58</v>
      </c>
      <c r="E3239" s="41" t="n">
        <f aca="false">C3239/D3239-1</f>
        <v>-0.69754201417504</v>
      </c>
      <c r="F3239" s="42" t="n">
        <f aca="false">YEAR(A3239)</f>
        <v>2026</v>
      </c>
    </row>
    <row r="3240" customFormat="false" ht="15" hidden="false" customHeight="false" outlineLevel="0" collapsed="false">
      <c r="A3240" s="38" t="n">
        <v>46225</v>
      </c>
      <c r="B3240" s="39" t="n">
        <v>1328</v>
      </c>
      <c r="C3240" s="40" t="n">
        <v>289362973.06</v>
      </c>
      <c r="D3240" s="40" t="n">
        <f aca="false">MAX(D3239,C3240)</f>
        <v>926027832.58</v>
      </c>
      <c r="E3240" s="41" t="n">
        <f aca="false">C3240/D3240-1</f>
        <v>-0.687522380127811</v>
      </c>
      <c r="F3240" s="42" t="n">
        <f aca="false">YEAR(A3240)</f>
        <v>2026</v>
      </c>
    </row>
    <row r="3241" customFormat="false" ht="15" hidden="false" customHeight="false" outlineLevel="0" collapsed="false">
      <c r="A3241" s="38" t="n">
        <v>46226</v>
      </c>
      <c r="B3241" s="39" t="n">
        <v>1340</v>
      </c>
      <c r="C3241" s="40" t="n">
        <v>277642813.06</v>
      </c>
      <c r="D3241" s="40" t="n">
        <f aca="false">MAX(D3240,C3241)</f>
        <v>926027832.58</v>
      </c>
      <c r="E3241" s="41" t="n">
        <f aca="false">C3241/D3241-1</f>
        <v>-0.700178759976943</v>
      </c>
      <c r="F3241" s="42" t="n">
        <f aca="false">YEAR(A3241)</f>
        <v>2026</v>
      </c>
    </row>
    <row r="3242" customFormat="false" ht="15" hidden="false" customHeight="false" outlineLevel="0" collapsed="false">
      <c r="A3242" s="38" t="n">
        <v>46227</v>
      </c>
      <c r="B3242" s="39" t="n">
        <v>1333</v>
      </c>
      <c r="C3242" s="40" t="n">
        <v>284479573.06</v>
      </c>
      <c r="D3242" s="40" t="n">
        <f aca="false">MAX(D3241,C3242)</f>
        <v>926027832.58</v>
      </c>
      <c r="E3242" s="41" t="n">
        <f aca="false">C3242/D3242-1</f>
        <v>-0.692795871731616</v>
      </c>
      <c r="F3242" s="42" t="n">
        <f aca="false">YEAR(A3242)</f>
        <v>2026</v>
      </c>
    </row>
    <row r="3243" customFormat="false" ht="15" hidden="false" customHeight="false" outlineLevel="0" collapsed="false">
      <c r="A3243" s="38" t="n">
        <v>46230</v>
      </c>
      <c r="B3243" s="39" t="n">
        <v>1328.5</v>
      </c>
      <c r="C3243" s="40" t="n">
        <v>288874633.06</v>
      </c>
      <c r="D3243" s="40" t="n">
        <f aca="false">MAX(D3242,C3243)</f>
        <v>926027832.58</v>
      </c>
      <c r="E3243" s="41" t="n">
        <f aca="false">C3243/D3243-1</f>
        <v>-0.688049729288192</v>
      </c>
      <c r="F3243" s="42" t="n">
        <f aca="false">YEAR(A3243)</f>
        <v>2026</v>
      </c>
    </row>
    <row r="3244" customFormat="false" ht="15" hidden="false" customHeight="false" outlineLevel="0" collapsed="false">
      <c r="A3244" s="38" t="n">
        <v>46231</v>
      </c>
      <c r="B3244" s="39" t="n">
        <v>1295</v>
      </c>
      <c r="C3244" s="40" t="n">
        <v>321593413.06</v>
      </c>
      <c r="D3244" s="40" t="n">
        <f aca="false">MAX(D3243,C3244)</f>
        <v>926027832.58</v>
      </c>
      <c r="E3244" s="41" t="n">
        <f aca="false">C3244/D3244-1</f>
        <v>-0.652717335542701</v>
      </c>
      <c r="F3244" s="42" t="n">
        <f aca="false">YEAR(A3244)</f>
        <v>2026</v>
      </c>
    </row>
    <row r="3245" customFormat="false" ht="15" hidden="false" customHeight="false" outlineLevel="0" collapsed="false">
      <c r="A3245" s="38" t="n">
        <v>46232</v>
      </c>
      <c r="B3245" s="39" t="n">
        <v>1298</v>
      </c>
      <c r="C3245" s="40" t="n">
        <v>318663373.06</v>
      </c>
      <c r="D3245" s="40" t="n">
        <f aca="false">MAX(D3244,C3245)</f>
        <v>926027832.58</v>
      </c>
      <c r="E3245" s="41" t="n">
        <f aca="false">C3245/D3245-1</f>
        <v>-0.655881430504984</v>
      </c>
      <c r="F3245" s="42" t="n">
        <f aca="false">YEAR(A3245)</f>
        <v>2026</v>
      </c>
    </row>
    <row r="3246" customFormat="false" ht="15" hidden="false" customHeight="false" outlineLevel="0" collapsed="false">
      <c r="A3246" s="38" t="n">
        <v>46233</v>
      </c>
      <c r="B3246" s="39" t="n">
        <v>1277</v>
      </c>
      <c r="C3246" s="40" t="n">
        <v>339173653.06</v>
      </c>
      <c r="D3246" s="40" t="n">
        <f aca="false">MAX(D3245,C3246)</f>
        <v>926027832.58</v>
      </c>
      <c r="E3246" s="41" t="n">
        <f aca="false">C3246/D3246-1</f>
        <v>-0.633732765769004</v>
      </c>
      <c r="F3246" s="42" t="n">
        <f aca="false">YEAR(A3246)</f>
        <v>2026</v>
      </c>
    </row>
    <row r="3247" customFormat="false" ht="15" hidden="false" customHeight="false" outlineLevel="0" collapsed="false">
      <c r="A3247" s="38" t="n">
        <v>46234</v>
      </c>
      <c r="B3247" s="39" t="n">
        <v>1223</v>
      </c>
      <c r="C3247" s="40" t="n">
        <v>391914373.06</v>
      </c>
      <c r="D3247" s="40" t="n">
        <f aca="false">MAX(D3246,C3247)</f>
        <v>926027832.58</v>
      </c>
      <c r="E3247" s="41" t="n">
        <f aca="false">C3247/D3247-1</f>
        <v>-0.576779056447915</v>
      </c>
      <c r="F3247" s="42" t="n">
        <f aca="false">YEAR(A3247)</f>
        <v>2026</v>
      </c>
    </row>
    <row r="3248" customFormat="false" ht="15" hidden="false" customHeight="false" outlineLevel="0" collapsed="false">
      <c r="A3248" s="38" t="n">
        <v>46237</v>
      </c>
      <c r="B3248" s="39" t="n">
        <v>1231.5</v>
      </c>
      <c r="C3248" s="40" t="n">
        <v>383612593.06</v>
      </c>
      <c r="D3248" s="40" t="n">
        <f aca="false">MAX(D3247,C3248)</f>
        <v>926027832.58</v>
      </c>
      <c r="E3248" s="41" t="n">
        <f aca="false">C3248/D3248-1</f>
        <v>-0.585743992174383</v>
      </c>
      <c r="F3248" s="42" t="n">
        <f aca="false">YEAR(A3248)</f>
        <v>2026</v>
      </c>
    </row>
    <row r="3249" customFormat="false" ht="15" hidden="false" customHeight="false" outlineLevel="0" collapsed="false">
      <c r="A3249" s="38" t="n">
        <v>46238</v>
      </c>
      <c r="B3249" s="39" t="n">
        <v>1250.5</v>
      </c>
      <c r="C3249" s="40" t="n">
        <v>365055673.06</v>
      </c>
      <c r="D3249" s="40" t="n">
        <f aca="false">MAX(D3248,C3249)</f>
        <v>926027832.58</v>
      </c>
      <c r="E3249" s="41" t="n">
        <f aca="false">C3249/D3249-1</f>
        <v>-0.60578326026884</v>
      </c>
      <c r="F3249" s="42" t="n">
        <f aca="false">YEAR(A3249)</f>
        <v>2026</v>
      </c>
    </row>
    <row r="3250" customFormat="false" ht="15" hidden="false" customHeight="false" outlineLevel="0" collapsed="false">
      <c r="A3250" s="38" t="n">
        <v>46239</v>
      </c>
      <c r="B3250" s="39" t="n">
        <v>1285.5</v>
      </c>
      <c r="C3250" s="40" t="n">
        <v>330871873.06</v>
      </c>
      <c r="D3250" s="40" t="n">
        <f aca="false">MAX(D3249,C3250)</f>
        <v>926027832.58</v>
      </c>
      <c r="E3250" s="41" t="n">
        <f aca="false">C3250/D3250-1</f>
        <v>-0.642697701495472</v>
      </c>
      <c r="F3250" s="42" t="n">
        <f aca="false">YEAR(A3250)</f>
        <v>2026</v>
      </c>
    </row>
    <row r="3251" customFormat="false" ht="15" hidden="false" customHeight="false" outlineLevel="0" collapsed="false">
      <c r="A3251" s="38" t="n">
        <v>46240</v>
      </c>
      <c r="B3251" s="39" t="n">
        <v>1304.5</v>
      </c>
      <c r="C3251" s="40" t="n">
        <v>312314953.06</v>
      </c>
      <c r="D3251" s="40" t="n">
        <f aca="false">MAX(D3250,C3251)</f>
        <v>926027832.58</v>
      </c>
      <c r="E3251" s="41" t="n">
        <f aca="false">C3251/D3251-1</f>
        <v>-0.66273696958993</v>
      </c>
      <c r="F3251" s="42" t="n">
        <f aca="false">YEAR(A3251)</f>
        <v>2026</v>
      </c>
    </row>
    <row r="3252" customFormat="false" ht="15" hidden="false" customHeight="false" outlineLevel="0" collapsed="false">
      <c r="A3252" s="38" t="n">
        <v>46241</v>
      </c>
      <c r="B3252" s="39" t="n">
        <v>1337.5</v>
      </c>
      <c r="C3252" s="40" t="n">
        <v>280084513.06</v>
      </c>
      <c r="D3252" s="40" t="n">
        <f aca="false">MAX(D3251,C3252)</f>
        <v>926027832.58</v>
      </c>
      <c r="E3252" s="41" t="n">
        <f aca="false">C3252/D3252-1</f>
        <v>-0.69754201417504</v>
      </c>
      <c r="F3252" s="42" t="n">
        <f aca="false">YEAR(A3252)</f>
        <v>2026</v>
      </c>
    </row>
    <row r="3253" customFormat="false" ht="15" hidden="false" customHeight="false" outlineLevel="0" collapsed="false">
      <c r="A3253" s="38" t="n">
        <v>46244</v>
      </c>
      <c r="B3253" s="39" t="n">
        <v>1329.5</v>
      </c>
      <c r="C3253" s="40" t="n">
        <v>287897953.06</v>
      </c>
      <c r="D3253" s="40" t="n">
        <f aca="false">MAX(D3252,C3253)</f>
        <v>926027832.58</v>
      </c>
      <c r="E3253" s="41" t="n">
        <f aca="false">C3253/D3253-1</f>
        <v>-0.689104427608953</v>
      </c>
      <c r="F3253" s="42" t="n">
        <f aca="false">YEAR(A3253)</f>
        <v>2026</v>
      </c>
    </row>
    <row r="3254" customFormat="false" ht="15" hidden="false" customHeight="false" outlineLevel="0" collapsed="false">
      <c r="A3254" s="38" t="n">
        <v>46245</v>
      </c>
      <c r="B3254" s="39" t="n">
        <v>1393.5</v>
      </c>
      <c r="C3254" s="40" t="n">
        <v>232545117.52</v>
      </c>
      <c r="D3254" s="40" t="n">
        <f aca="false">MAX(D3253,C3254)</f>
        <v>926027832.58</v>
      </c>
      <c r="E3254" s="41" t="n">
        <f aca="false">C3254/D3254-1</f>
        <v>-0.748878911261115</v>
      </c>
      <c r="F3254" s="42" t="n">
        <f aca="false">YEAR(A3254)</f>
        <v>2026</v>
      </c>
    </row>
    <row r="3255" customFormat="false" ht="15" hidden="false" customHeight="false" outlineLevel="0" collapsed="false">
      <c r="A3255" s="38" t="n">
        <v>46246</v>
      </c>
      <c r="B3255" s="39" t="n">
        <v>1397.5</v>
      </c>
      <c r="C3255" s="40" t="n">
        <v>232545117.52</v>
      </c>
      <c r="D3255" s="40" t="n">
        <f aca="false">MAX(D3254,C3255)</f>
        <v>926027832.58</v>
      </c>
      <c r="E3255" s="41" t="n">
        <f aca="false">C3255/D3255-1</f>
        <v>-0.748878911261115</v>
      </c>
      <c r="F3255" s="42" t="n">
        <f aca="false">YEAR(A3255)</f>
        <v>2026</v>
      </c>
    </row>
    <row r="3256" customFormat="false" ht="15" hidden="false" customHeight="false" outlineLevel="0" collapsed="false">
      <c r="A3256" s="38" t="n">
        <v>46247</v>
      </c>
      <c r="B3256" s="39" t="n">
        <v>1389.5</v>
      </c>
      <c r="C3256" s="40" t="n">
        <v>232545117.52</v>
      </c>
      <c r="D3256" s="40" t="n">
        <f aca="false">MAX(D3255,C3256)</f>
        <v>926027832.58</v>
      </c>
      <c r="E3256" s="41" t="n">
        <f aca="false">C3256/D3256-1</f>
        <v>-0.748878911261115</v>
      </c>
      <c r="F3256" s="42" t="n">
        <f aca="false">YEAR(A3256)</f>
        <v>2026</v>
      </c>
    </row>
    <row r="3257" customFormat="false" ht="15" hidden="false" customHeight="false" outlineLevel="0" collapsed="false">
      <c r="A3257" s="38" t="n">
        <v>46248</v>
      </c>
      <c r="B3257" s="39" t="n">
        <v>1442</v>
      </c>
      <c r="C3257" s="40" t="n">
        <v>232545117.52</v>
      </c>
      <c r="D3257" s="40" t="n">
        <f aca="false">MAX(D3256,C3257)</f>
        <v>926027832.58</v>
      </c>
      <c r="E3257" s="41" t="n">
        <f aca="false">C3257/D3257-1</f>
        <v>-0.748878911261115</v>
      </c>
      <c r="F3257" s="42" t="n">
        <f aca="false">YEAR(A3257)</f>
        <v>2026</v>
      </c>
    </row>
    <row r="3258" customFormat="false" ht="15" hidden="false" customHeight="false" outlineLevel="0" collapsed="false">
      <c r="A3258" s="38" t="n">
        <v>46251</v>
      </c>
      <c r="B3258" s="39" t="n">
        <v>1446</v>
      </c>
      <c r="C3258" s="40" t="n">
        <v>232545117.52</v>
      </c>
      <c r="D3258" s="40" t="n">
        <f aca="false">MAX(D3257,C3258)</f>
        <v>926027832.58</v>
      </c>
      <c r="E3258" s="41" t="n">
        <f aca="false">C3258/D3258-1</f>
        <v>-0.748878911261115</v>
      </c>
      <c r="F3258" s="42" t="n">
        <f aca="false">YEAR(A3258)</f>
        <v>2026</v>
      </c>
    </row>
    <row r="3259" customFormat="false" ht="15" hidden="false" customHeight="false" outlineLevel="0" collapsed="false">
      <c r="A3259" s="38" t="n">
        <v>46252</v>
      </c>
      <c r="B3259" s="39" t="n">
        <v>1469.5</v>
      </c>
      <c r="C3259" s="40" t="n">
        <v>232545117.52</v>
      </c>
      <c r="D3259" s="40" t="n">
        <f aca="false">MAX(D3258,C3259)</f>
        <v>926027832.58</v>
      </c>
      <c r="E3259" s="41" t="n">
        <f aca="false">C3259/D3259-1</f>
        <v>-0.748878911261115</v>
      </c>
      <c r="F3259" s="42" t="n">
        <f aca="false">YEAR(A3259)</f>
        <v>2026</v>
      </c>
    </row>
    <row r="3260" customFormat="false" ht="15" hidden="false" customHeight="false" outlineLevel="0" collapsed="false">
      <c r="A3260" s="38" t="n">
        <v>46253</v>
      </c>
      <c r="B3260" s="39" t="n">
        <v>1519</v>
      </c>
      <c r="C3260" s="40" t="n">
        <v>232545117.52</v>
      </c>
      <c r="D3260" s="40" t="n">
        <f aca="false">MAX(D3259,C3260)</f>
        <v>926027832.58</v>
      </c>
      <c r="E3260" s="41" t="n">
        <f aca="false">C3260/D3260-1</f>
        <v>-0.748878911261115</v>
      </c>
      <c r="F3260" s="42" t="n">
        <f aca="false">YEAR(A3260)</f>
        <v>2026</v>
      </c>
    </row>
    <row r="3261" customFormat="false" ht="15" hidden="false" customHeight="false" outlineLevel="0" collapsed="false">
      <c r="A3261" s="38" t="n">
        <v>46254</v>
      </c>
      <c r="B3261" s="39" t="n">
        <v>1548.5</v>
      </c>
      <c r="C3261" s="40" t="n">
        <v>232545117.52</v>
      </c>
      <c r="D3261" s="40" t="n">
        <f aca="false">MAX(D3260,C3261)</f>
        <v>926027832.58</v>
      </c>
      <c r="E3261" s="41" t="n">
        <f aca="false">C3261/D3261-1</f>
        <v>-0.748878911261115</v>
      </c>
      <c r="F3261" s="42" t="n">
        <f aca="false">YEAR(A3261)</f>
        <v>2026</v>
      </c>
    </row>
    <row r="3262" customFormat="false" ht="15" hidden="false" customHeight="false" outlineLevel="0" collapsed="false">
      <c r="A3262" s="38" t="n">
        <v>46255</v>
      </c>
      <c r="B3262" s="39" t="n">
        <v>1549.5</v>
      </c>
      <c r="C3262" s="40" t="n">
        <v>232545117.52</v>
      </c>
      <c r="D3262" s="40" t="n">
        <f aca="false">MAX(D3261,C3262)</f>
        <v>926027832.58</v>
      </c>
      <c r="E3262" s="41" t="n">
        <f aca="false">C3262/D3262-1</f>
        <v>-0.748878911261115</v>
      </c>
      <c r="F3262" s="42" t="n">
        <f aca="false">YEAR(A3262)</f>
        <v>2026</v>
      </c>
    </row>
    <row r="3263" customFormat="false" ht="15" hidden="false" customHeight="false" outlineLevel="0" collapsed="false">
      <c r="A3263" s="38" t="n">
        <v>46258</v>
      </c>
      <c r="B3263" s="39" t="n">
        <v>1574</v>
      </c>
      <c r="C3263" s="40" t="n">
        <v>232545117.52</v>
      </c>
      <c r="D3263" s="40" t="n">
        <f aca="false">MAX(D3262,C3263)</f>
        <v>926027832.58</v>
      </c>
      <c r="E3263" s="41" t="n">
        <f aca="false">C3263/D3263-1</f>
        <v>-0.748878911261115</v>
      </c>
      <c r="F3263" s="42" t="n">
        <f aca="false">YEAR(A3263)</f>
        <v>2026</v>
      </c>
    </row>
    <row r="3264" customFormat="false" ht="15" hidden="false" customHeight="false" outlineLevel="0" collapsed="false">
      <c r="A3264" s="38" t="n">
        <v>46259</v>
      </c>
      <c r="B3264" s="39" t="n">
        <v>1573.5</v>
      </c>
      <c r="C3264" s="40" t="n">
        <v>232545117.52</v>
      </c>
      <c r="D3264" s="40" t="n">
        <f aca="false">MAX(D3263,C3264)</f>
        <v>926027832.58</v>
      </c>
      <c r="E3264" s="41" t="n">
        <f aca="false">C3264/D3264-1</f>
        <v>-0.748878911261115</v>
      </c>
      <c r="F3264" s="42" t="n">
        <f aca="false">YEAR(A3264)</f>
        <v>2026</v>
      </c>
    </row>
    <row r="3265" customFormat="false" ht="15" hidden="false" customHeight="false" outlineLevel="0" collapsed="false">
      <c r="A3265" s="38" t="n">
        <v>46260</v>
      </c>
      <c r="B3265" s="39" t="n">
        <v>1561.5</v>
      </c>
      <c r="C3265" s="40" t="n">
        <v>232545117.52</v>
      </c>
      <c r="D3265" s="40" t="n">
        <f aca="false">MAX(D3264,C3265)</f>
        <v>926027832.58</v>
      </c>
      <c r="E3265" s="41" t="n">
        <f aca="false">C3265/D3265-1</f>
        <v>-0.748878911261115</v>
      </c>
      <c r="F3265" s="42" t="n">
        <f aca="false">YEAR(A3265)</f>
        <v>2026</v>
      </c>
    </row>
    <row r="3266" customFormat="false" ht="15" hidden="false" customHeight="false" outlineLevel="0" collapsed="false">
      <c r="A3266" s="38" t="n">
        <v>46261</v>
      </c>
      <c r="B3266" s="39" t="n">
        <v>1610.5</v>
      </c>
      <c r="C3266" s="40" t="n">
        <v>232545117.52</v>
      </c>
      <c r="D3266" s="40" t="n">
        <f aca="false">MAX(D3265,C3266)</f>
        <v>926027832.58</v>
      </c>
      <c r="E3266" s="41" t="n">
        <f aca="false">C3266/D3266-1</f>
        <v>-0.748878911261115</v>
      </c>
      <c r="F3266" s="42" t="n">
        <f aca="false">YEAR(A3266)</f>
        <v>2026</v>
      </c>
    </row>
    <row r="3267" customFormat="false" ht="15" hidden="false" customHeight="false" outlineLevel="0" collapsed="false">
      <c r="A3267" s="38" t="n">
        <v>46262</v>
      </c>
      <c r="B3267" s="39" t="n">
        <v>1640</v>
      </c>
      <c r="C3267" s="40" t="n">
        <v>232545117.52</v>
      </c>
      <c r="D3267" s="40" t="n">
        <f aca="false">MAX(D3266,C3267)</f>
        <v>926027832.58</v>
      </c>
      <c r="E3267" s="41" t="n">
        <f aca="false">C3267/D3267-1</f>
        <v>-0.748878911261115</v>
      </c>
      <c r="F3267" s="42" t="n">
        <f aca="false">YEAR(A3267)</f>
        <v>2026</v>
      </c>
    </row>
    <row r="3268" customFormat="false" ht="15" hidden="false" customHeight="false" outlineLevel="0" collapsed="false">
      <c r="A3268" s="38" t="n">
        <v>46265</v>
      </c>
      <c r="B3268" s="39" t="n">
        <v>1732</v>
      </c>
      <c r="C3268" s="40" t="n">
        <v>232545117.52</v>
      </c>
      <c r="D3268" s="40" t="n">
        <f aca="false">MAX(D3267,C3268)</f>
        <v>926027832.58</v>
      </c>
      <c r="E3268" s="41" t="n">
        <f aca="false">C3268/D3268-1</f>
        <v>-0.748878911261115</v>
      </c>
      <c r="F3268" s="42" t="n">
        <f aca="false">YEAR(A3268)</f>
        <v>2026</v>
      </c>
    </row>
    <row r="3269" customFormat="false" ht="15" hidden="false" customHeight="false" outlineLevel="0" collapsed="false">
      <c r="A3269" s="38" t="n">
        <v>46266</v>
      </c>
      <c r="B3269" s="39" t="n">
        <v>1683.5</v>
      </c>
      <c r="C3269" s="40" t="n">
        <v>232545117.52</v>
      </c>
      <c r="D3269" s="40" t="n">
        <f aca="false">MAX(D3268,C3269)</f>
        <v>926027832.58</v>
      </c>
      <c r="E3269" s="41" t="n">
        <f aca="false">C3269/D3269-1</f>
        <v>-0.748878911261115</v>
      </c>
      <c r="F3269" s="42" t="n">
        <f aca="false">YEAR(A3269)</f>
        <v>2026</v>
      </c>
    </row>
    <row r="3270" customFormat="false" ht="15" hidden="false" customHeight="false" outlineLevel="0" collapsed="false">
      <c r="A3270" s="38" t="n">
        <v>46267</v>
      </c>
      <c r="B3270" s="39" t="n">
        <v>1641</v>
      </c>
      <c r="C3270" s="40" t="n">
        <v>232545117.52</v>
      </c>
      <c r="D3270" s="40" t="n">
        <f aca="false">MAX(D3269,C3270)</f>
        <v>926027832.58</v>
      </c>
      <c r="E3270" s="41" t="n">
        <f aca="false">C3270/D3270-1</f>
        <v>-0.748878911261115</v>
      </c>
      <c r="F3270" s="42" t="n">
        <f aca="false">YEAR(A3270)</f>
        <v>2026</v>
      </c>
    </row>
    <row r="3271" customFormat="false" ht="15" hidden="false" customHeight="false" outlineLevel="0" collapsed="false">
      <c r="A3271" s="38" t="n">
        <v>46268</v>
      </c>
      <c r="B3271" s="39" t="n">
        <v>1621</v>
      </c>
      <c r="C3271" s="40" t="n">
        <v>232545117.52</v>
      </c>
      <c r="D3271" s="40" t="n">
        <f aca="false">MAX(D3270,C3271)</f>
        <v>926027832.58</v>
      </c>
      <c r="E3271" s="41" t="n">
        <f aca="false">C3271/D3271-1</f>
        <v>-0.748878911261115</v>
      </c>
      <c r="F3271" s="42" t="n">
        <f aca="false">YEAR(A3271)</f>
        <v>2026</v>
      </c>
    </row>
    <row r="3272" customFormat="false" ht="15" hidden="false" customHeight="false" outlineLevel="0" collapsed="false">
      <c r="A3272" s="38" t="n">
        <v>46269</v>
      </c>
      <c r="B3272" s="39" t="n">
        <v>1642.5</v>
      </c>
      <c r="C3272" s="40" t="n">
        <v>232545117.52</v>
      </c>
      <c r="D3272" s="40" t="n">
        <f aca="false">MAX(D3271,C3272)</f>
        <v>926027832.58</v>
      </c>
      <c r="E3272" s="41" t="n">
        <f aca="false">C3272/D3272-1</f>
        <v>-0.748878911261115</v>
      </c>
      <c r="F3272" s="42" t="n">
        <f aca="false">YEAR(A3272)</f>
        <v>2026</v>
      </c>
    </row>
    <row r="3273" customFormat="false" ht="15" hidden="false" customHeight="false" outlineLevel="0" collapsed="false">
      <c r="A3273" s="38" t="n">
        <v>46272</v>
      </c>
      <c r="B3273" s="39" t="n">
        <v>1604</v>
      </c>
      <c r="C3273" s="40" t="n">
        <v>232545117.52</v>
      </c>
      <c r="D3273" s="40" t="n">
        <f aca="false">MAX(D3272,C3273)</f>
        <v>926027832.58</v>
      </c>
      <c r="E3273" s="41" t="n">
        <f aca="false">C3273/D3273-1</f>
        <v>-0.748878911261115</v>
      </c>
      <c r="F3273" s="42" t="n">
        <f aca="false">YEAR(A3273)</f>
        <v>2026</v>
      </c>
    </row>
    <row r="3274" customFormat="false" ht="15" hidden="false" customHeight="false" outlineLevel="0" collapsed="false">
      <c r="A3274" s="38" t="n">
        <v>46273</v>
      </c>
      <c r="B3274" s="39" t="n">
        <v>1665.5</v>
      </c>
      <c r="C3274" s="40" t="n">
        <v>232545117.52</v>
      </c>
      <c r="D3274" s="40" t="n">
        <f aca="false">MAX(D3273,C3274)</f>
        <v>926027832.58</v>
      </c>
      <c r="E3274" s="41" t="n">
        <f aca="false">C3274/D3274-1</f>
        <v>-0.748878911261115</v>
      </c>
      <c r="F3274" s="42" t="n">
        <f aca="false">YEAR(A3274)</f>
        <v>2026</v>
      </c>
    </row>
    <row r="3275" customFormat="false" ht="15" hidden="false" customHeight="false" outlineLevel="0" collapsed="false">
      <c r="A3275" s="38" t="n">
        <v>46274</v>
      </c>
      <c r="B3275" s="39" t="n">
        <v>1627.5</v>
      </c>
      <c r="C3275" s="40" t="n">
        <v>232545117.52</v>
      </c>
      <c r="D3275" s="40" t="n">
        <f aca="false">MAX(D3274,C3275)</f>
        <v>926027832.58</v>
      </c>
      <c r="E3275" s="41" t="n">
        <f aca="false">C3275/D3275-1</f>
        <v>-0.748878911261115</v>
      </c>
      <c r="F3275" s="42" t="n">
        <f aca="false">YEAR(A3275)</f>
        <v>2026</v>
      </c>
    </row>
    <row r="3276" customFormat="false" ht="15" hidden="false" customHeight="false" outlineLevel="0" collapsed="false">
      <c r="A3276" s="38" t="n">
        <v>46275</v>
      </c>
      <c r="B3276" s="39" t="n">
        <v>1624.5</v>
      </c>
      <c r="C3276" s="40" t="n">
        <v>232545117.52</v>
      </c>
      <c r="D3276" s="40" t="n">
        <f aca="false">MAX(D3275,C3276)</f>
        <v>926027832.58</v>
      </c>
      <c r="E3276" s="41" t="n">
        <f aca="false">C3276/D3276-1</f>
        <v>-0.748878911261115</v>
      </c>
      <c r="F3276" s="42" t="n">
        <f aca="false">YEAR(A3276)</f>
        <v>2026</v>
      </c>
    </row>
    <row r="3277" customFormat="false" ht="15" hidden="false" customHeight="false" outlineLevel="0" collapsed="false">
      <c r="A3277" s="38" t="n">
        <v>46276</v>
      </c>
      <c r="B3277" s="39" t="n">
        <v>1562</v>
      </c>
      <c r="C3277" s="40" t="n">
        <v>232545117.52</v>
      </c>
      <c r="D3277" s="40" t="n">
        <f aca="false">MAX(D3276,C3277)</f>
        <v>926027832.58</v>
      </c>
      <c r="E3277" s="41" t="n">
        <f aca="false">C3277/D3277-1</f>
        <v>-0.748878911261115</v>
      </c>
      <c r="F3277" s="42" t="n">
        <f aca="false">YEAR(A3277)</f>
        <v>2026</v>
      </c>
    </row>
    <row r="3278" customFormat="false" ht="15" hidden="false" customHeight="false" outlineLevel="0" collapsed="false">
      <c r="A3278" s="38" t="n">
        <v>46279</v>
      </c>
      <c r="B3278" s="39" t="n">
        <v>1573.5</v>
      </c>
      <c r="C3278" s="40" t="n">
        <v>232545117.52</v>
      </c>
      <c r="D3278" s="40" t="n">
        <f aca="false">MAX(D3277,C3278)</f>
        <v>926027832.58</v>
      </c>
      <c r="E3278" s="41" t="n">
        <f aca="false">C3278/D3278-1</f>
        <v>-0.748878911261115</v>
      </c>
      <c r="F3278" s="42" t="n">
        <f aca="false">YEAR(A3278)</f>
        <v>2026</v>
      </c>
    </row>
    <row r="3279" customFormat="false" ht="15" hidden="false" customHeight="false" outlineLevel="0" collapsed="false">
      <c r="A3279" s="38" t="n">
        <v>46280</v>
      </c>
      <c r="B3279" s="39" t="n">
        <v>1568.5</v>
      </c>
      <c r="C3279" s="40" t="n">
        <v>232545117.52</v>
      </c>
      <c r="D3279" s="40" t="n">
        <f aca="false">MAX(D3278,C3279)</f>
        <v>926027832.58</v>
      </c>
      <c r="E3279" s="41" t="n">
        <f aca="false">C3279/D3279-1</f>
        <v>-0.748878911261115</v>
      </c>
      <c r="F3279" s="42" t="n">
        <f aca="false">YEAR(A3279)</f>
        <v>2026</v>
      </c>
    </row>
    <row r="3280" customFormat="false" ht="15" hidden="false" customHeight="false" outlineLevel="0" collapsed="false">
      <c r="A3280" s="38" t="n">
        <v>46281</v>
      </c>
      <c r="B3280" s="39" t="n">
        <v>1596</v>
      </c>
      <c r="C3280" s="40" t="n">
        <v>232545117.52</v>
      </c>
      <c r="D3280" s="40" t="n">
        <f aca="false">MAX(D3279,C3280)</f>
        <v>926027832.58</v>
      </c>
      <c r="E3280" s="41" t="n">
        <f aca="false">C3280/D3280-1</f>
        <v>-0.748878911261115</v>
      </c>
      <c r="F3280" s="42" t="n">
        <f aca="false">YEAR(A3280)</f>
        <v>2026</v>
      </c>
    </row>
    <row r="3281" customFormat="false" ht="15" hidden="false" customHeight="false" outlineLevel="0" collapsed="false">
      <c r="A3281" s="38" t="n">
        <v>46282</v>
      </c>
      <c r="B3281" s="39" t="n">
        <v>1558.5</v>
      </c>
      <c r="C3281" s="40" t="n">
        <v>232545117.52</v>
      </c>
      <c r="D3281" s="40" t="n">
        <f aca="false">MAX(D3280,C3281)</f>
        <v>926027832.58</v>
      </c>
      <c r="E3281" s="41" t="n">
        <f aca="false">C3281/D3281-1</f>
        <v>-0.748878911261115</v>
      </c>
      <c r="F3281" s="42" t="n">
        <f aca="false">YEAR(A3281)</f>
        <v>2026</v>
      </c>
    </row>
    <row r="3282" customFormat="false" ht="15" hidden="false" customHeight="false" outlineLevel="0" collapsed="false">
      <c r="A3282" s="38" t="n">
        <v>46283</v>
      </c>
      <c r="B3282" s="39" t="n">
        <v>1468.5</v>
      </c>
      <c r="C3282" s="40" t="n">
        <v>232545117.52</v>
      </c>
      <c r="D3282" s="40" t="n">
        <f aca="false">MAX(D3281,C3282)</f>
        <v>926027832.58</v>
      </c>
      <c r="E3282" s="41" t="n">
        <f aca="false">C3282/D3282-1</f>
        <v>-0.748878911261115</v>
      </c>
      <c r="F3282" s="42" t="n">
        <f aca="false">YEAR(A3282)</f>
        <v>2026</v>
      </c>
    </row>
    <row r="3283" customFormat="false" ht="15" hidden="false" customHeight="false" outlineLevel="0" collapsed="false">
      <c r="A3283" s="38" t="n">
        <v>46286</v>
      </c>
      <c r="B3283" s="39" t="n">
        <v>1500</v>
      </c>
      <c r="C3283" s="40" t="n">
        <v>232545117.52</v>
      </c>
      <c r="D3283" s="40" t="n">
        <f aca="false">MAX(D3282,C3283)</f>
        <v>926027832.58</v>
      </c>
      <c r="E3283" s="41" t="n">
        <f aca="false">C3283/D3283-1</f>
        <v>-0.748878911261115</v>
      </c>
      <c r="F3283" s="42" t="n">
        <f aca="false">YEAR(A3283)</f>
        <v>2026</v>
      </c>
    </row>
    <row r="3284" customFormat="false" ht="15" hidden="false" customHeight="false" outlineLevel="0" collapsed="false">
      <c r="A3284" s="38" t="n">
        <v>46287</v>
      </c>
      <c r="B3284" s="39" t="n">
        <v>1495</v>
      </c>
      <c r="C3284" s="40" t="n">
        <v>232545117.52</v>
      </c>
      <c r="D3284" s="40" t="n">
        <f aca="false">MAX(D3283,C3284)</f>
        <v>926027832.58</v>
      </c>
      <c r="E3284" s="41" t="n">
        <f aca="false">C3284/D3284-1</f>
        <v>-0.748878911261115</v>
      </c>
      <c r="F3284" s="42" t="n">
        <f aca="false">YEAR(A3284)</f>
        <v>2026</v>
      </c>
    </row>
    <row r="3285" customFormat="false" ht="15" hidden="false" customHeight="false" outlineLevel="0" collapsed="false">
      <c r="A3285" s="38" t="n">
        <v>46288</v>
      </c>
      <c r="B3285" s="39" t="n">
        <v>1475</v>
      </c>
      <c r="C3285" s="40" t="n">
        <v>232545117.52</v>
      </c>
      <c r="D3285" s="40" t="n">
        <f aca="false">MAX(D3284,C3285)</f>
        <v>926027832.58</v>
      </c>
      <c r="E3285" s="41" t="n">
        <f aca="false">C3285/D3285-1</f>
        <v>-0.748878911261115</v>
      </c>
      <c r="F3285" s="42" t="n">
        <f aca="false">YEAR(A3285)</f>
        <v>2026</v>
      </c>
    </row>
    <row r="3286" customFormat="false" ht="15" hidden="false" customHeight="false" outlineLevel="0" collapsed="false">
      <c r="A3286" s="38" t="n">
        <v>46289</v>
      </c>
      <c r="B3286" s="39" t="n">
        <v>1484</v>
      </c>
      <c r="C3286" s="40" t="n">
        <v>232545117.52</v>
      </c>
      <c r="D3286" s="40" t="n">
        <f aca="false">MAX(D3285,C3286)</f>
        <v>926027832.58</v>
      </c>
      <c r="E3286" s="41" t="n">
        <f aca="false">C3286/D3286-1</f>
        <v>-0.748878911261115</v>
      </c>
      <c r="F3286" s="42" t="n">
        <f aca="false">YEAR(A3286)</f>
        <v>2026</v>
      </c>
    </row>
    <row r="3287" customFormat="false" ht="15" hidden="false" customHeight="false" outlineLevel="0" collapsed="false">
      <c r="A3287" s="38" t="n">
        <v>46293</v>
      </c>
      <c r="B3287" s="39" t="n">
        <v>1432.5</v>
      </c>
      <c r="C3287" s="40" t="n">
        <v>232545117.52</v>
      </c>
      <c r="D3287" s="40" t="n">
        <f aca="false">MAX(D3286,C3287)</f>
        <v>926027832.58</v>
      </c>
      <c r="E3287" s="41" t="n">
        <f aca="false">C3287/D3287-1</f>
        <v>-0.748878911261115</v>
      </c>
      <c r="F3287" s="42" t="n">
        <f aca="false">YEAR(A3287)</f>
        <v>2026</v>
      </c>
    </row>
    <row r="3288" customFormat="false" ht="15" hidden="false" customHeight="false" outlineLevel="0" collapsed="false">
      <c r="A3288" s="38" t="n">
        <v>46294</v>
      </c>
      <c r="B3288" s="39" t="n">
        <v>1422.5</v>
      </c>
      <c r="C3288" s="40" t="n">
        <v>232545117.52</v>
      </c>
      <c r="D3288" s="40" t="n">
        <f aca="false">MAX(D3287,C3288)</f>
        <v>926027832.58</v>
      </c>
      <c r="E3288" s="41" t="n">
        <f aca="false">C3288/D3288-1</f>
        <v>-0.748878911261115</v>
      </c>
      <c r="F3288" s="42" t="n">
        <f aca="false">YEAR(A3288)</f>
        <v>2026</v>
      </c>
    </row>
    <row r="3289" customFormat="false" ht="15" hidden="false" customHeight="false" outlineLevel="0" collapsed="false">
      <c r="A3289" s="38" t="n">
        <v>46295</v>
      </c>
      <c r="B3289" s="39" t="n">
        <v>1419</v>
      </c>
      <c r="C3289" s="40" t="n">
        <v>232545117.52</v>
      </c>
      <c r="D3289" s="40" t="n">
        <f aca="false">MAX(D3288,C3289)</f>
        <v>926027832.58</v>
      </c>
      <c r="E3289" s="41" t="n">
        <f aca="false">C3289/D3289-1</f>
        <v>-0.748878911261115</v>
      </c>
      <c r="F3289" s="42" t="n">
        <f aca="false">YEAR(A3289)</f>
        <v>2026</v>
      </c>
    </row>
    <row r="3290" customFormat="false" ht="15" hidden="false" customHeight="false" outlineLevel="0" collapsed="false">
      <c r="A3290" s="38" t="n">
        <v>46303</v>
      </c>
      <c r="B3290" s="39" t="n">
        <v>1445</v>
      </c>
      <c r="C3290" s="40" t="n">
        <v>232545117.52</v>
      </c>
      <c r="D3290" s="40" t="n">
        <f aca="false">MAX(D3289,C3290)</f>
        <v>926027832.58</v>
      </c>
      <c r="E3290" s="41" t="n">
        <f aca="false">C3290/D3290-1</f>
        <v>-0.748878911261115</v>
      </c>
      <c r="F3290" s="42" t="n">
        <f aca="false">YEAR(A3290)</f>
        <v>2026</v>
      </c>
    </row>
    <row r="3291" customFormat="false" ht="15" hidden="false" customHeight="false" outlineLevel="0" collapsed="false">
      <c r="A3291" s="38" t="n">
        <v>46304</v>
      </c>
      <c r="B3291" s="39" t="n">
        <v>1510.5</v>
      </c>
      <c r="C3291" s="40" t="n">
        <v>232545117.52</v>
      </c>
      <c r="D3291" s="40" t="n">
        <f aca="false">MAX(D3290,C3291)</f>
        <v>926027832.58</v>
      </c>
      <c r="E3291" s="41" t="n">
        <f aca="false">C3291/D3291-1</f>
        <v>-0.748878911261115</v>
      </c>
      <c r="F3291" s="42" t="n">
        <f aca="false">YEAR(A3291)</f>
        <v>2026</v>
      </c>
    </row>
    <row r="3292" customFormat="false" ht="15" hidden="false" customHeight="false" outlineLevel="0" collapsed="false">
      <c r="A3292" s="38" t="n">
        <v>46307</v>
      </c>
      <c r="B3292" s="39" t="n">
        <v>1517.5</v>
      </c>
      <c r="C3292" s="40" t="n">
        <v>232545117.52</v>
      </c>
      <c r="D3292" s="40" t="n">
        <f aca="false">MAX(D3291,C3292)</f>
        <v>926027832.58</v>
      </c>
      <c r="E3292" s="41" t="n">
        <f aca="false">C3292/D3292-1</f>
        <v>-0.748878911261115</v>
      </c>
      <c r="F3292" s="42" t="n">
        <f aca="false">YEAR(A3292)</f>
        <v>2026</v>
      </c>
    </row>
    <row r="3293" customFormat="false" ht="15" hidden="false" customHeight="false" outlineLevel="0" collapsed="false">
      <c r="A3293" s="38" t="n">
        <v>46308</v>
      </c>
      <c r="B3293" s="39" t="n">
        <v>1538</v>
      </c>
      <c r="C3293" s="40" t="n">
        <v>232545117.52</v>
      </c>
      <c r="D3293" s="40" t="n">
        <f aca="false">MAX(D3292,C3293)</f>
        <v>926027832.58</v>
      </c>
      <c r="E3293" s="41" t="n">
        <f aca="false">C3293/D3293-1</f>
        <v>-0.748878911261115</v>
      </c>
      <c r="F3293" s="42" t="n">
        <f aca="false">YEAR(A3293)</f>
        <v>2026</v>
      </c>
    </row>
    <row r="3294" customFormat="false" ht="15" hidden="false" customHeight="false" outlineLevel="0" collapsed="false">
      <c r="A3294" s="38" t="n">
        <v>46309</v>
      </c>
      <c r="B3294" s="39" t="n">
        <v>1507.5</v>
      </c>
      <c r="C3294" s="40" t="n">
        <v>232545117.52</v>
      </c>
      <c r="D3294" s="40" t="n">
        <f aca="false">MAX(D3293,C3294)</f>
        <v>926027832.58</v>
      </c>
      <c r="E3294" s="41" t="n">
        <f aca="false">C3294/D3294-1</f>
        <v>-0.748878911261115</v>
      </c>
      <c r="F3294" s="42" t="n">
        <f aca="false">YEAR(A3294)</f>
        <v>2026</v>
      </c>
    </row>
    <row r="3295" customFormat="false" ht="15" hidden="false" customHeight="false" outlineLevel="0" collapsed="false">
      <c r="A3295" s="38" t="n">
        <v>46310</v>
      </c>
      <c r="B3295" s="39" t="n">
        <v>1474.5</v>
      </c>
      <c r="C3295" s="40" t="n">
        <v>232545117.52</v>
      </c>
      <c r="D3295" s="40" t="n">
        <f aca="false">MAX(D3294,C3295)</f>
        <v>926027832.58</v>
      </c>
      <c r="E3295" s="41" t="n">
        <f aca="false">C3295/D3295-1</f>
        <v>-0.748878911261115</v>
      </c>
      <c r="F3295" s="42" t="n">
        <f aca="false">YEAR(A3295)</f>
        <v>2026</v>
      </c>
    </row>
    <row r="3296" customFormat="false" ht="15" hidden="false" customHeight="false" outlineLevel="0" collapsed="false">
      <c r="A3296" s="38" t="n">
        <v>46311</v>
      </c>
      <c r="B3296" s="39" t="n">
        <v>1452</v>
      </c>
      <c r="C3296" s="40" t="n">
        <v>243008119.52</v>
      </c>
      <c r="D3296" s="40" t="n">
        <f aca="false">MAX(D3295,C3296)</f>
        <v>926027832.58</v>
      </c>
      <c r="E3296" s="41" t="n">
        <f aca="false">C3296/D3296-1</f>
        <v>-0.737580112637698</v>
      </c>
      <c r="F3296" s="42" t="n">
        <f aca="false">YEAR(A3296)</f>
        <v>2026</v>
      </c>
    </row>
    <row r="3297" customFormat="false" ht="15" hidden="false" customHeight="false" outlineLevel="0" collapsed="false">
      <c r="A3297" s="38" t="n">
        <v>46314</v>
      </c>
      <c r="B3297" s="39" t="n">
        <v>1379</v>
      </c>
      <c r="C3297" s="40" t="n">
        <v>291188119.52</v>
      </c>
      <c r="D3297" s="40" t="n">
        <f aca="false">MAX(D3296,C3297)</f>
        <v>926027832.58</v>
      </c>
      <c r="E3297" s="41" t="n">
        <f aca="false">C3297/D3297-1</f>
        <v>-0.685551438871203</v>
      </c>
      <c r="F3297" s="42" t="n">
        <f aca="false">YEAR(A3297)</f>
        <v>2026</v>
      </c>
    </row>
    <row r="3298" customFormat="false" ht="15" hidden="false" customHeight="false" outlineLevel="0" collapsed="false">
      <c r="A3298" s="38" t="n">
        <v>46315</v>
      </c>
      <c r="B3298" s="39" t="n">
        <v>1384</v>
      </c>
      <c r="C3298" s="40" t="n">
        <v>287888119.52</v>
      </c>
      <c r="D3298" s="40" t="n">
        <f aca="false">MAX(D3297,C3298)</f>
        <v>926027832.58</v>
      </c>
      <c r="E3298" s="41" t="n">
        <f aca="false">C3298/D3298-1</f>
        <v>-0.689115046663428</v>
      </c>
      <c r="F3298" s="42" t="n">
        <f aca="false">YEAR(A3298)</f>
        <v>2026</v>
      </c>
    </row>
    <row r="3299" customFormat="false" ht="15" hidden="false" customHeight="false" outlineLevel="0" collapsed="false">
      <c r="A3299" s="38" t="n">
        <v>46316</v>
      </c>
      <c r="B3299" s="39" t="n">
        <v>1389</v>
      </c>
      <c r="C3299" s="40" t="n">
        <v>284588119.52</v>
      </c>
      <c r="D3299" s="40" t="n">
        <f aca="false">MAX(D3298,C3299)</f>
        <v>926027832.58</v>
      </c>
      <c r="E3299" s="41" t="n">
        <f aca="false">C3299/D3299-1</f>
        <v>-0.692678654455654</v>
      </c>
      <c r="F3299" s="42" t="n">
        <f aca="false">YEAR(A3299)</f>
        <v>2026</v>
      </c>
    </row>
    <row r="3300" customFormat="false" ht="15" hidden="false" customHeight="false" outlineLevel="0" collapsed="false">
      <c r="A3300" s="38" t="n">
        <v>46317</v>
      </c>
      <c r="B3300" s="39" t="n">
        <v>1365.5</v>
      </c>
      <c r="C3300" s="40" t="n">
        <v>300098119.52</v>
      </c>
      <c r="D3300" s="40" t="n">
        <f aca="false">MAX(D3299,C3300)</f>
        <v>926027832.58</v>
      </c>
      <c r="E3300" s="41" t="n">
        <f aca="false">C3300/D3300-1</f>
        <v>-0.675929697832193</v>
      </c>
      <c r="F3300" s="42" t="n">
        <f aca="false">YEAR(A3300)</f>
        <v>2026</v>
      </c>
    </row>
    <row r="3301" customFormat="false" ht="15" hidden="false" customHeight="false" outlineLevel="0" collapsed="false">
      <c r="A3301" s="38" t="n">
        <v>46318</v>
      </c>
      <c r="B3301" s="39" t="n">
        <v>1408.5</v>
      </c>
      <c r="C3301" s="40" t="n">
        <v>271718119.52</v>
      </c>
      <c r="D3301" s="40" t="n">
        <f aca="false">MAX(D3300,C3301)</f>
        <v>926027832.58</v>
      </c>
      <c r="E3301" s="41" t="n">
        <f aca="false">C3301/D3301-1</f>
        <v>-0.706576724845334</v>
      </c>
      <c r="F3301" s="42" t="n">
        <f aca="false">YEAR(A3301)</f>
        <v>2026</v>
      </c>
    </row>
    <row r="3302" customFormat="false" ht="15" hidden="false" customHeight="false" outlineLevel="0" collapsed="false">
      <c r="A3302" s="38" t="n">
        <v>46321</v>
      </c>
      <c r="B3302" s="39" t="n">
        <v>1384.5</v>
      </c>
      <c r="C3302" s="40" t="n">
        <v>287558119.52</v>
      </c>
      <c r="D3302" s="40" t="n">
        <f aca="false">MAX(D3301,C3302)</f>
        <v>926027832.58</v>
      </c>
      <c r="E3302" s="41" t="n">
        <f aca="false">C3302/D3302-1</f>
        <v>-0.689471407442651</v>
      </c>
      <c r="F3302" s="42" t="n">
        <f aca="false">YEAR(A3302)</f>
        <v>2026</v>
      </c>
    </row>
    <row r="3303" customFormat="false" ht="15" hidden="false" customHeight="false" outlineLevel="0" collapsed="false">
      <c r="A3303" s="38" t="n">
        <v>46322</v>
      </c>
      <c r="B3303" s="39" t="n">
        <v>1393</v>
      </c>
      <c r="C3303" s="40" t="n">
        <v>281948119.52</v>
      </c>
      <c r="D3303" s="40" t="n">
        <f aca="false">MAX(D3302,C3303)</f>
        <v>926027832.58</v>
      </c>
      <c r="E3303" s="41" t="n">
        <f aca="false">C3303/D3303-1</f>
        <v>-0.695529540689435</v>
      </c>
      <c r="F3303" s="42" t="n">
        <f aca="false">YEAR(A3303)</f>
        <v>2026</v>
      </c>
    </row>
    <row r="3304" customFormat="false" ht="15" hidden="false" customHeight="false" outlineLevel="0" collapsed="false">
      <c r="A3304" s="38" t="n">
        <v>46323</v>
      </c>
      <c r="B3304" s="39" t="n">
        <v>1403</v>
      </c>
      <c r="C3304" s="40" t="n">
        <v>275348119.52</v>
      </c>
      <c r="D3304" s="40" t="n">
        <f aca="false">MAX(D3303,C3304)</f>
        <v>926027832.58</v>
      </c>
      <c r="E3304" s="41" t="n">
        <f aca="false">C3304/D3304-1</f>
        <v>-0.702656756273886</v>
      </c>
      <c r="F3304" s="42" t="n">
        <f aca="false">YEAR(A3304)</f>
        <v>2026</v>
      </c>
    </row>
    <row r="3305" customFormat="false" ht="15" hidden="false" customHeight="false" outlineLevel="0" collapsed="false">
      <c r="A3305" s="38" t="n">
        <v>46324</v>
      </c>
      <c r="B3305" s="39" t="n">
        <v>1403</v>
      </c>
      <c r="C3305" s="40" t="n">
        <v>274925378.52</v>
      </c>
      <c r="D3305" s="40" t="n">
        <f aca="false">MAX(D3304,C3305)</f>
        <v>926027832.58</v>
      </c>
      <c r="E3305" s="41" t="n">
        <f aca="false">C3305/D3305-1</f>
        <v>-0.703113266310763</v>
      </c>
      <c r="F3305" s="42" t="n">
        <f aca="false">YEAR(A3305)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2026-10-31T12:38:02Z</dcterms:created>
  <dc:creator>openpyxl</dc:creator>
  <dc:description/>
  <dc:language>en-US</dc:language>
  <cp:lastModifiedBy/>
  <dcterms:modified xsi:type="dcterms:W3CDTF">2026-10-31T12:38:13Z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